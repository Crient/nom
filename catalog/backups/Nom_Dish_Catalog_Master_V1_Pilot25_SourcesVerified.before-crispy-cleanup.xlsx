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af02372da4411f" /></Relationships>
</file>

<file path=xl/workbook.xml><?xml version="1.0" encoding="utf-8"?>
<x:workbook xmlns:x="http://schemas.openxmlformats.org/spreadsheetml/2006/main">
  <x:sheets>
    <x:sheet xmlns:r="http://schemas.openxmlformats.org/officeDocument/2006/relationships" name="Dishes" sheetId="1" r:id="Re11528efa7c04e92"/>
    <x:sheet xmlns:r="http://schemas.openxmlformats.org/officeDocument/2006/relationships" name="Images" sheetId="2" r:id="Ra4852be21f7141b2"/>
    <x:sheet xmlns:r="http://schemas.openxmlformats.org/officeDocument/2006/relationships" name="Sources" sheetId="3" r:id="Rb834c514ee864706"/>
    <x:sheet xmlns:r="http://schemas.openxmlformats.org/officeDocument/2006/relationships" name="Allowed_Values" sheetId="4" r:id="R45f54188ce6e4ae9"/>
    <x:sheet xmlns:r="http://schemas.openxmlformats.org/officeDocument/2006/relationships" name="Coverage" sheetId="5" r:id="Rf42cde56c0984182"/>
    <x:sheet xmlns:r="http://schemas.openxmlformats.org/officeDocument/2006/relationships" name="Catalog_Audit" sheetId="6" r:id="R87c770fd7c784749"/>
    <x:sheet xmlns:r="http://schemas.openxmlformats.org/officeDocument/2006/relationships" name="Rich_Comfort_Audit" sheetId="7" r:id="R4017ba3a24ce4030"/>
    <x:sheet xmlns:r="http://schemas.openxmlformats.org/officeDocument/2006/relationships" name="Flavor_Tags_Backup" sheetId="8" r:id="R8638c15ab6024284"/>
    <x:sheet xmlns:r="http://schemas.openxmlformats.org/officeDocument/2006/relationships" name="Four_Flavor_Audit" sheetId="9" r:id="R64f709dd7e434b21"/>
    <x:sheet xmlns:r="http://schemas.openxmlformats.org/officeDocument/2006/relationships" name="Retag_Resolution" sheetId="10" r:id="Rf17c733ec0cf4ce9"/>
    <x:sheet xmlns:r="http://schemas.openxmlformats.org/officeDocument/2006/relationships" name="Retag_PreChange_Backup" sheetId="11" r:id="Rd134f463d73444c8"/>
    <x:sheet xmlns:r="http://schemas.openxmlformats.org/officeDocument/2006/relationships" name="V1_Flavor_Freeze_Backup" sheetId="12" r:id="R6995df3604d14ff9"/>
    <x:sheet xmlns:r="http://schemas.openxmlformats.org/officeDocument/2006/relationships" name="V1_Final_Flavor_Audit" sheetId="13" r:id="R50891c0ff3294cf5"/>
    <x:sheet xmlns:r="http://schemas.openxmlformats.org/officeDocument/2006/relationships" name="V1_Flavor_Taxonomy" sheetId="14" r:id="R79dbf041bd5144d1"/>
    <x:sheet xmlns:r="http://schemas.openxmlformats.org/officeDocument/2006/relationships" name="Pilot_25" sheetId="15" r:id="R83bf37b747374e0b"/>
    <x:sheet xmlns:r="http://schemas.openxmlformats.org/officeDocument/2006/relationships" name="Production_Readiness" sheetId="16" r:id="R1fd27a62cbce4eb7"/>
    <x:sheet xmlns:r="http://schemas.openxmlformats.org/officeDocument/2006/relationships" name="Pilot_Source_Checks" sheetId="17" r:id="Rb3d805e5c26a44e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1">
    <x:font>
      <x:sz val="11"/>
      <x:name val="Carlito"/>
    </x:font>
    <x:font>
      <x:b/>
      <x:sz val="16"/>
      <x:color rgb="FFFFFFFF"/>
      <x:name val="Carlito"/>
    </x:font>
    <x:font>
      <x:i/>
      <x:sz val="10"/>
      <x:color rgb="FF1C1B1F"/>
      <x:name val="Carlito"/>
    </x:font>
    <x:font>
      <x:b/>
      <x:sz val="11"/>
      <x:color rgb="FFFFFFFF"/>
      <x:name val="Carlito"/>
    </x:font>
    <x:font>
      <x:i/>
      <x:sz val="11"/>
      <x:color rgb="FF1C1B1F"/>
      <x:name val="Carlito"/>
    </x:font>
    <x:font>
      <x:i/>
      <x:sz val="11"/>
      <x:name val="Carlito"/>
    </x:font>
    <x:font>
      <x:b/>
      <x:sz val="11"/>
      <x:color rgb="FF1C1B1F"/>
      <x:name val="Carlito"/>
    </x:font>
    <x:font>
      <x:i/>
      <x:sz val="11"/>
      <x:color rgb="FF334155"/>
      <x:name val="Carlito"/>
    </x:font>
    <x:font>
      <x:i/>
      <x:sz val="11"/>
      <x:color rgb="FF134E4A"/>
      <x:name val="Carlito"/>
    </x:font>
    <x:font>
      <x:sz val="11"/>
      <x:color rgb="FF334155"/>
      <x:name val="Carlito"/>
    </x:font>
    <x:font>
      <x:b/>
      <x:sz val="11"/>
      <x:color rgb="FF166534"/>
      <x:name val="Carlito"/>
    </x:font>
  </x:fonts>
  <x:fills count="39">
    <x:fill>
      <x:patternFill patternType="none"/>
    </x:fill>
    <x:fill>
      <x:patternFill patternType="gray125"/>
    </x:fill>
    <x:fill>
      <x:patternFill patternType="solid">
        <x:fgColor rgb="FF14B9B5"/>
      </x:patternFill>
    </x:fill>
    <x:fill>
      <x:patternFill patternType="solid">
        <x:fgColor rgb="FFF6FBF3"/>
      </x:patternFill>
    </x:fill>
    <x:fill>
      <x:patternFill patternType="solid">
        <x:fgColor rgb="FF1C1B1F"/>
      </x:patternFill>
    </x:fill>
    <x:fill>
      <x:patternFill patternType="solid">
        <x:fgColor rgb="FF20C3BE"/>
      </x:patternFill>
    </x:fill>
    <x:fill>
      <x:patternFill patternType="solid">
        <x:fgColor rgb="FF3461AB"/>
      </x:patternFill>
    </x:fill>
    <x:fill>
      <x:patternFill patternType="solid">
        <x:fgColor rgb="FFFEC62C"/>
      </x:patternFill>
    </x:fill>
    <x:fill>
      <x:patternFill patternType="solid">
        <x:fgColor rgb="FFE8FBFA"/>
      </x:patternFill>
    </x:fill>
    <x:fill>
      <x:patternFill patternType="solid">
        <x:fgColor rgb="FF0F766E"/>
      </x:patternFill>
    </x:fill>
    <x:fill>
      <x:patternFill patternType="solid">
        <x:fgColor rgb="FF134E4A"/>
      </x:patternFill>
    </x:fill>
    <x:fill>
      <x:patternFill patternType="solid">
        <x:fgColor rgb="FFF8FAFC"/>
      </x:patternFill>
    </x:fill>
    <x:fill>
      <x:patternFill patternType="solid">
        <x:fgColor rgb="FF0F766E"/>
      </x:patternFill>
    </x:fill>
    <x:fill>
      <x:patternFill patternType="solid">
        <x:fgColor rgb="FFF0FDFA"/>
      </x:patternFill>
    </x:fill>
    <x:fill>
      <x:patternFill patternType="solid">
        <x:fgColor rgb="FF134E4A"/>
      </x:patternFill>
    </x:fill>
    <x:fill>
      <x:patternFill patternType="solid">
        <x:fgColor rgb="FF0F766E"/>
      </x:patternFill>
    </x:fill>
    <x:fill>
      <x:patternFill patternType="solid">
        <x:fgColor rgb="FFF0FDFA"/>
      </x:patternFill>
    </x:fill>
    <x:fill>
      <x:patternFill patternType="solid">
        <x:fgColor rgb="FF134E4A"/>
      </x:patternFill>
    </x:fill>
    <x:fill>
      <x:patternFill patternType="solid">
        <x:fgColor rgb="FF0F766E"/>
      </x:patternFill>
    </x:fill>
    <x:fill>
      <x:patternFill patternType="solid">
        <x:fgColor rgb="FFF0FDFA"/>
      </x:patternFill>
    </x:fill>
    <x:fill>
      <x:patternFill patternType="solid">
        <x:fgColor rgb="FF134E4A"/>
      </x:patternFill>
    </x:fill>
    <x:fill>
      <x:patternFill patternType="solid">
        <x:fgColor rgb="FF0F766E"/>
      </x:patternFill>
    </x:fill>
    <x:fill>
      <x:patternFill patternType="solid">
        <x:fgColor rgb="FFF0FDFA"/>
      </x:patternFill>
    </x:fill>
    <x:fill>
      <x:patternFill patternType="solid">
        <x:fgColor rgb="FF134E4A"/>
      </x:patternFill>
    </x:fill>
    <x:fill>
      <x:patternFill patternType="solid">
        <x:fgColor rgb="FFF8FAFC"/>
      </x:patternFill>
    </x:fill>
    <x:fill>
      <x:patternFill patternType="solid">
        <x:fgColor rgb="FF134E4A"/>
      </x:patternFill>
    </x:fill>
    <x:fill>
      <x:patternFill patternType="solid">
        <x:fgColor rgb="FF0F766E"/>
      </x:patternFill>
    </x:fill>
    <x:fill>
      <x:patternFill patternType="solid">
        <x:fgColor rgb="FFF0FDFA"/>
      </x:patternFill>
    </x:fill>
    <x:fill>
      <x:patternFill patternType="solid">
        <x:fgColor rgb="FF0F766E"/>
      </x:patternFill>
    </x:fill>
    <x:fill>
      <x:patternFill patternType="solid">
        <x:fgColor rgb="FFF0FDFA"/>
      </x:patternFill>
    </x:fill>
    <x:fill>
      <x:patternFill patternType="solid">
        <x:fgColor rgb="FF134E4A"/>
      </x:patternFill>
    </x:fill>
    <x:fill>
      <x:patternFill patternType="solid">
        <x:fgColor rgb="FFDCFCE7"/>
      </x:patternFill>
    </x:fill>
    <x:fill>
      <x:patternFill patternType="solid">
        <x:fgColor rgb="FFF8FAFC"/>
      </x:patternFill>
    </x:fill>
    <x:fill>
      <x:patternFill patternType="solid">
        <x:fgColor rgb="FF0F766E"/>
      </x:patternFill>
    </x:fill>
    <x:fill>
      <x:patternFill patternType="solid">
        <x:fgColor rgb="FFF0FDFA"/>
      </x:patternFill>
    </x:fill>
    <x:fill>
      <x:patternFill patternType="solid">
        <x:fgColor rgb="FF134E4A"/>
      </x:patternFill>
    </x:fill>
    <x:fill>
      <x:patternFill patternType="solid">
        <x:fgColor rgb="FF0F766E"/>
      </x:patternFill>
    </x:fill>
    <x:fill>
      <x:patternFill patternType="solid">
        <x:fgColor rgb="FFF0FDFA"/>
      </x:patternFill>
    </x:fill>
    <x:fill>
      <x:patternFill patternType="solid">
        <x:fgColor rgb="FF134E4A"/>
      </x:patternFill>
    </x:fill>
  </x:fills>
  <x:borders count="2">
    <x:border/>
    <x:border/>
  </x:borders>
  <x:cellStyleXfs count="1">
    <x:xf numFmtId="0" fontId="0" fillId="0" borderId="0"/>
  </x:cellStyleXfs>
  <x:cellXfs count="19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1" xfId="0" applyNumberFormat="1" applyFont="1" applyFill="1" applyBorder="1"/>
    <x:xf numFmtId="0" fontId="4"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0" fillId="6" borderId="1" xfId="0" applyNumberFormat="1" applyFont="1" applyFill="1" applyBorder="1"/>
    <x:xf numFmtId="0" fontId="1" fillId="6" borderId="1"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1" xfId="0" applyNumberFormat="1" applyFont="1" applyFill="1" applyBorder="1"/>
    <x:xf numFmtId="0" fontId="5" fillId="3" borderId="1" xfId="0" applyNumberFormat="1" applyFont="1" applyFill="1" applyBorder="1" applyAlignment="1">
      <x:alignment wrapText="1"/>
    </x:xf>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0" fillId="7" borderId="0" xfId="0" applyNumberFormat="1" applyFont="1" applyFill="1" applyBorder="1"/>
    <x:xf numFmtId="0" fontId="6" fillId="7" borderId="0" xfId="0" applyNumberFormat="1" applyFont="1" applyFill="1" applyBorder="1"/>
    <x:xf numFmtId="0" fontId="0" fillId="7" borderId="1" xfId="0" applyNumberFormat="1" applyFont="1" applyFill="1" applyBorder="1"/>
    <x:xf numFmtId="0" fontId="6" fillId="7" borderId="1" xfId="0" applyNumberFormat="1" applyFont="1" applyFill="1" applyBorder="1"/>
    <x:xf numFmtId="0" fontId="6" fillId="8" borderId="0" xfId="0" applyNumberFormat="1" applyFont="1" applyFill="1" applyBorder="1"/>
    <x:xf numFmtId="0" fontId="6" fillId="8"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vertical="top"/>
    </x:xf>
    <x:xf numFmtId="0" fontId="5" fillId="3" borderId="0" xfId="0" applyNumberFormat="1" applyFont="1" applyFill="1" applyBorder="1" applyAlignment="1">
      <x:alignment vertical="top" wrapText="1"/>
    </x:xf>
    <x:xf numFmtId="0" fontId="3" fillId="4" borderId="0" xfId="0" applyNumberFormat="1" applyFont="1" applyFill="1" applyBorder="1" applyAlignment="1">
      <x:alignment vertical="top"/>
    </x:xf>
    <x:xf numFmtId="0" fontId="3" fillId="4" borderId="0" xfId="0" applyNumberFormat="1" applyFont="1" applyFill="1" applyBorder="1" applyAlignment="1">
      <x:alignment horizontal="center" vertical="top"/>
    </x:xf>
    <x:xf numFmtId="200" fontId="0" fillId="0" borderId="0" xfId="0" applyNumberFormat="1" applyFont="1" applyFill="1" applyBorder="1" applyAlignment="1">
      <x:alignment vertical="top"/>
    </x:xf>
    <x:xf numFmtId="0" fontId="6" fillId="7" borderId="0" xfId="0" applyNumberFormat="1" applyFont="1" applyFill="1" applyBorder="1" applyAlignment="1">
      <x:alignment vertical="top"/>
    </x:xf>
    <x:xf numFmtId="0" fontId="1" fillId="2" borderId="1" xfId="0" applyNumberFormat="1" applyFont="1" applyFill="1" applyBorder="1" applyAlignment="1">
      <x:alignment vertical="top"/>
    </x:xf>
    <x:xf numFmtId="0" fontId="5" fillId="3" borderId="1" xfId="0" applyNumberFormat="1" applyFont="1" applyFill="1" applyBorder="1" applyAlignment="1">
      <x:alignment vertical="top" wrapText="1"/>
    </x:xf>
    <x:xf numFmtId="0" fontId="3" fillId="4" borderId="1" xfId="0" applyNumberFormat="1" applyFont="1" applyFill="1" applyBorder="1" applyAlignment="1">
      <x:alignment vertical="top"/>
    </x:xf>
    <x:xf numFmtId="0" fontId="3" fillId="4" borderId="1" xfId="0" applyNumberFormat="1" applyFont="1" applyFill="1" applyBorder="1" applyAlignment="1">
      <x:alignment horizontal="center" vertical="top"/>
    </x:xf>
    <x:xf numFmtId="200" fontId="0" fillId="0" borderId="1" xfId="0" applyNumberFormat="1" applyFont="1" applyFill="1" applyBorder="1" applyAlignment="1">
      <x:alignment vertical="top"/>
    </x:xf>
    <x:xf numFmtId="0" fontId="6" fillId="7" borderId="1" xfId="0" applyNumberFormat="1" applyFont="1" applyFill="1" applyBorder="1" applyAlignment="1">
      <x:alignment vertical="top"/>
    </x:xf>
    <x:xf numFmtId="0" fontId="1"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200" fontId="0" fillId="0"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x:xf>
    <x:xf numFmtId="0" fontId="1" fillId="9" borderId="0" xfId="0" applyNumberFormat="1" applyFont="1" applyFill="1" applyBorder="1" applyAlignment="1">
      <x:alignment horizontal="left"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201" fontId="0" fillId="0" borderId="0" xfId="0" applyNumberFormat="1" applyFont="1" applyFill="1" applyBorder="1"/>
    <x:xf numFmtId="0" fontId="1" fillId="9" borderId="0" xfId="0" applyNumberFormat="1" applyFont="1" applyFill="1" applyBorder="1" applyAlignment="1">
      <x:alignment horizontal="left" vertical="center" wrapText="1"/>
    </x:xf>
    <x:xf numFmtId="201" fontId="0" fillId="0" borderId="0" xfId="0" applyNumberFormat="1" applyFont="1" applyFill="1" applyBorder="1" applyAlignment="1">
      <x:alignment wrapText="1"/>
    </x:xf>
    <x:xf numFmtId="0" fontId="0" fillId="11" borderId="0" xfId="0" applyNumberFormat="1" applyFont="1" applyFill="1" applyBorder="1" applyAlignment="1">
      <x:alignment wrapText="1"/>
    </x:xf>
    <x:xf numFmtId="0" fontId="7" fillId="11" borderId="0" xfId="0" applyNumberFormat="1" applyFont="1" applyFill="1" applyBorder="1" applyAlignment="1">
      <x:alignment wrapText="1"/>
    </x:xf>
    <x:xf numFmtId="0" fontId="7" fillId="11" borderId="0" xfId="0" applyNumberFormat="1" applyFont="1" applyFill="1" applyBorder="1" applyAlignment="1">
      <x:alignment vertical="top"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vertical="center"/>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vertical="top"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wrapText="1"/>
    </x:xf>
    <x:xf numFmtId="0" fontId="3" fillId="14" borderId="0" xfId="0" applyNumberFormat="1" applyFont="1" applyFill="1" applyBorder="1" applyAlignment="1">
      <x:alignment vertical="center" wrapText="1"/>
    </x:xf>
    <x:xf numFmtId="0" fontId="1" fillId="9" borderId="0" xfId="0" applyNumberFormat="1" applyFont="1" applyFill="1" applyBorder="1" applyAlignment="1">
      <x:alignment vertical="center"/>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vertical="center"/>
    </x:xf>
    <x:xf numFmtId="0" fontId="0" fillId="16" borderId="0" xfId="0" applyNumberFormat="1" applyFont="1" applyFill="1" applyBorder="1"/>
    <x:xf numFmtId="0" fontId="8" fillId="16" borderId="0" xfId="0" applyNumberFormat="1" applyFont="1" applyFill="1" applyBorder="1"/>
    <x:xf numFmtId="0" fontId="8" fillId="16" borderId="0" xfId="0" applyNumberFormat="1" applyFont="1" applyFill="1" applyBorder="1" applyAlignment="1">
      <x:alignment wrapText="1"/>
    </x:xf>
    <x:xf numFmtId="0" fontId="8" fillId="16" borderId="0" xfId="0" applyNumberFormat="1" applyFont="1" applyFill="1" applyBorder="1" applyAlignment="1">
      <x:alignment vertical="top"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3" fillId="17" borderId="0" xfId="0" applyNumberFormat="1" applyFont="1" applyFill="1" applyBorder="1" applyAlignment="1">
      <x:alignment vertical="center"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vertical="center"/>
    </x:xf>
    <x:xf numFmtId="0" fontId="0" fillId="19" borderId="0" xfId="0" applyNumberFormat="1" applyFont="1" applyFill="1" applyBorder="1"/>
    <x:xf numFmtId="0" fontId="8" fillId="19" borderId="0" xfId="0" applyNumberFormat="1" applyFont="1" applyFill="1" applyBorder="1"/>
    <x:xf numFmtId="0" fontId="8" fillId="19" borderId="0" xfId="0" applyNumberFormat="1" applyFont="1" applyFill="1" applyBorder="1" applyAlignment="1">
      <x:alignment wrapText="1"/>
    </x:xf>
    <x:xf numFmtId="0" fontId="8" fillId="19" borderId="0" xfId="0" applyNumberFormat="1" applyFont="1" applyFill="1" applyBorder="1" applyAlignment="1">
      <x:alignment vertical="top"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3" fillId="20" borderId="0" xfId="0" applyNumberFormat="1" applyFont="1" applyFill="1" applyBorder="1" applyAlignment="1">
      <x:alignment vertical="center" wrapText="1"/>
    </x:xf>
    <x:xf numFmtId="0" fontId="0" fillId="21" borderId="0" xfId="0" applyNumberFormat="1" applyFont="1" applyFill="1" applyBorder="1"/>
    <x:xf numFmtId="0" fontId="1" fillId="21" borderId="0" xfId="0" applyNumberFormat="1" applyFont="1" applyFill="1" applyBorder="1"/>
    <x:xf numFmtId="0" fontId="1" fillId="21" borderId="0" xfId="0" applyNumberFormat="1" applyFont="1" applyFill="1" applyBorder="1" applyAlignment="1">
      <x:alignment vertical="center"/>
    </x:xf>
    <x:xf numFmtId="0" fontId="0" fillId="22" borderId="0" xfId="0" applyNumberFormat="1" applyFont="1" applyFill="1" applyBorder="1"/>
    <x:xf numFmtId="0" fontId="8" fillId="22" borderId="0" xfId="0" applyNumberFormat="1" applyFont="1" applyFill="1" applyBorder="1"/>
    <x:xf numFmtId="0" fontId="8" fillId="22" borderId="0" xfId="0" applyNumberFormat="1" applyFont="1" applyFill="1" applyBorder="1" applyAlignment="1">
      <x:alignment wrapText="1"/>
    </x:xf>
    <x:xf numFmtId="0" fontId="8" fillId="22" borderId="0" xfId="0" applyNumberFormat="1" applyFont="1" applyFill="1" applyBorder="1" applyAlignment="1">
      <x:alignment vertical="top" wrapText="1"/>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wrapText="1"/>
    </x:xf>
    <x:xf numFmtId="0" fontId="3" fillId="23" borderId="0" xfId="0" applyNumberFormat="1" applyFont="1" applyFill="1" applyBorder="1" applyAlignment="1">
      <x:alignment vertical="center" wrapText="1"/>
    </x:xf>
    <x:xf numFmtId="0" fontId="0" fillId="24" borderId="0" xfId="0" applyNumberFormat="1" applyFont="1" applyFill="1" applyBorder="1"/>
    <x:xf numFmtId="0" fontId="9" fillId="24" borderId="0" xfId="0" applyNumberFormat="1" applyFont="1" applyFill="1" applyBorder="1"/>
    <x:xf numFmtId="0" fontId="9" fillId="24" borderId="0" xfId="0" applyNumberFormat="1" applyFont="1" applyFill="1" applyBorder="1" applyAlignment="1">
      <x:alignment wrapText="1"/>
    </x:xf>
    <x:xf numFmtId="0" fontId="9" fillId="24" borderId="0" xfId="0" applyNumberFormat="1" applyFont="1" applyFill="1" applyBorder="1" applyAlignment="1">
      <x:alignment vertical="top"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9" fillId="11" borderId="0" xfId="0" applyNumberFormat="1" applyFont="1" applyFill="1" applyBorder="1" applyAlignment="1">
      <x:alignment vertical="top"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wrapText="1"/>
    </x:xf>
    <x:xf numFmtId="0" fontId="3" fillId="25" borderId="0" xfId="0" applyNumberFormat="1" applyFont="1" applyFill="1" applyBorder="1" applyAlignment="1">
      <x:alignment vertical="center" wrapText="1"/>
    </x:xf>
    <x:xf numFmtId="0" fontId="0" fillId="26" borderId="0" xfId="0" applyNumberFormat="1" applyFont="1" applyFill="1" applyBorder="1"/>
    <x:xf numFmtId="0" fontId="1" fillId="26" borderId="0" xfId="0" applyNumberFormat="1" applyFont="1" applyFill="1" applyBorder="1"/>
    <x:xf numFmtId="0" fontId="1" fillId="26" borderId="0" xfId="0" applyNumberFormat="1" applyFont="1" applyFill="1" applyBorder="1" applyAlignment="1">
      <x:alignment vertical="center"/>
    </x:xf>
    <x:xf numFmtId="0" fontId="0" fillId="27" borderId="0" xfId="0" applyNumberFormat="1" applyFont="1" applyFill="1" applyBorder="1"/>
    <x:xf numFmtId="0" fontId="8" fillId="27" borderId="0" xfId="0" applyNumberFormat="1" applyFont="1" applyFill="1" applyBorder="1"/>
    <x:xf numFmtId="0" fontId="8" fillId="27" borderId="0" xfId="0" applyNumberFormat="1" applyFont="1" applyFill="1" applyBorder="1" applyAlignment="1">
      <x:alignment wrapText="1"/>
    </x:xf>
    <x:xf numFmtId="0" fontId="8" fillId="27" borderId="0" xfId="0" applyNumberFormat="1" applyFont="1" applyFill="1" applyBorder="1" applyAlignment="1">
      <x:alignment vertical="top" wrapText="1"/>
    </x:xf>
    <x:xf numFmtId="0" fontId="0" fillId="28" borderId="0" xfId="0" applyNumberFormat="1" applyFont="1" applyFill="1" applyBorder="1"/>
    <x:xf numFmtId="0" fontId="1" fillId="28" borderId="0" xfId="0" applyNumberFormat="1" applyFont="1" applyFill="1" applyBorder="1"/>
    <x:xf numFmtId="0" fontId="1" fillId="28" borderId="0" xfId="0" applyNumberFormat="1" applyFont="1" applyFill="1" applyBorder="1" applyAlignment="1">
      <x:alignment vertical="center"/>
    </x:xf>
    <x:xf numFmtId="0" fontId="0" fillId="29" borderId="0" xfId="0" applyNumberFormat="1" applyFont="1" applyFill="1" applyBorder="1"/>
    <x:xf numFmtId="0" fontId="8" fillId="29" borderId="0" xfId="0" applyNumberFormat="1" applyFont="1" applyFill="1" applyBorder="1"/>
    <x:xf numFmtId="0" fontId="8" fillId="29" borderId="0" xfId="0" applyNumberFormat="1" applyFont="1" applyFill="1" applyBorder="1" applyAlignment="1">
      <x:alignment wrapText="1"/>
    </x:xf>
    <x:xf numFmtId="0" fontId="8" fillId="29" borderId="0" xfId="0" applyNumberFormat="1" applyFont="1" applyFill="1" applyBorder="1" applyAlignment="1">
      <x:alignment vertical="top" wrapText="1"/>
    </x:xf>
    <x:xf numFmtId="0" fontId="0" fillId="30" borderId="0" xfId="0" applyNumberFormat="1" applyFont="1" applyFill="1" applyBorder="1"/>
    <x:xf numFmtId="0" fontId="3" fillId="30" borderId="0" xfId="0" applyNumberFormat="1" applyFont="1" applyFill="1" applyBorder="1"/>
    <x:xf numFmtId="0" fontId="3" fillId="30" borderId="0" xfId="0" applyNumberFormat="1" applyFont="1" applyFill="1" applyBorder="1" applyAlignment="1">
      <x:alignment wrapText="1"/>
    </x:xf>
    <x:xf numFmtId="0" fontId="3" fillId="30" borderId="0" xfId="0" applyNumberFormat="1" applyFont="1" applyFill="1" applyBorder="1" applyAlignment="1">
      <x:alignment vertical="center" wrapText="1"/>
    </x:xf>
    <x:xf numFmtId="0" fontId="0" fillId="31" borderId="0" xfId="0" applyNumberFormat="1" applyFont="1" applyFill="1" applyBorder="1"/>
    <x:xf numFmtId="0" fontId="10" fillId="31" borderId="0" xfId="0" applyNumberFormat="1" applyFont="1" applyFill="1" applyBorder="1"/>
    <x:xf numFmtId="0" fontId="10" fillId="31" borderId="0" xfId="0" applyNumberFormat="1" applyFont="1" applyFill="1" applyBorder="1" applyAlignment="1">
      <x:alignment horizontal="center"/>
    </x:xf>
    <x:xf numFmtId="0" fontId="0" fillId="32" borderId="0" xfId="0" applyNumberFormat="1" applyFont="1" applyFill="1" applyBorder="1"/>
    <x:xf numFmtId="0" fontId="9" fillId="32" borderId="0" xfId="0" applyNumberFormat="1" applyFont="1" applyFill="1" applyBorder="1"/>
    <x:xf numFmtId="0" fontId="9" fillId="32" borderId="0" xfId="0" applyNumberFormat="1" applyFont="1" applyFill="1" applyBorder="1" applyAlignment="1">
      <x:alignment wrapText="1"/>
    </x:xf>
    <x:xf numFmtId="0" fontId="9" fillId="32" borderId="0" xfId="0" applyNumberFormat="1" applyFont="1" applyFill="1" applyBorder="1" applyAlignment="1">
      <x:alignment vertical="top" wrapText="1"/>
    </x:xf>
    <x:xf numFmtId="0" fontId="0" fillId="33" borderId="0" xfId="0" applyNumberFormat="1" applyFont="1" applyFill="1" applyBorder="1"/>
    <x:xf numFmtId="0" fontId="1" fillId="33" borderId="0" xfId="0" applyNumberFormat="1" applyFont="1" applyFill="1" applyBorder="1"/>
    <x:xf numFmtId="0" fontId="1" fillId="33" borderId="0" xfId="0" applyNumberFormat="1" applyFont="1" applyFill="1" applyBorder="1" applyAlignment="1">
      <x:alignment vertical="center"/>
    </x:xf>
    <x:xf numFmtId="0" fontId="0" fillId="34" borderId="0" xfId="0" applyNumberFormat="1" applyFont="1" applyFill="1" applyBorder="1"/>
    <x:xf numFmtId="0" fontId="8" fillId="34" borderId="0" xfId="0" applyNumberFormat="1" applyFont="1" applyFill="1" applyBorder="1"/>
    <x:xf numFmtId="0" fontId="8" fillId="34" borderId="0" xfId="0" applyNumberFormat="1" applyFont="1" applyFill="1" applyBorder="1" applyAlignment="1">
      <x:alignment wrapText="1"/>
    </x:xf>
    <x:xf numFmtId="0" fontId="8" fillId="34" borderId="0" xfId="0" applyNumberFormat="1" applyFont="1" applyFill="1" applyBorder="1" applyAlignment="1">
      <x:alignment vertical="top" wrapText="1"/>
    </x:xf>
    <x:xf numFmtId="0" fontId="0" fillId="35" borderId="0" xfId="0" applyNumberFormat="1" applyFont="1" applyFill="1" applyBorder="1"/>
    <x:xf numFmtId="0" fontId="3" fillId="35" borderId="0" xfId="0" applyNumberFormat="1" applyFont="1" applyFill="1" applyBorder="1"/>
    <x:xf numFmtId="0" fontId="3" fillId="35" borderId="0" xfId="0" applyNumberFormat="1" applyFont="1" applyFill="1" applyBorder="1" applyAlignment="1">
      <x:alignment wrapText="1"/>
    </x:xf>
    <x:xf numFmtId="0" fontId="3" fillId="35" borderId="0" xfId="0" applyNumberFormat="1" applyFont="1" applyFill="1" applyBorder="1" applyAlignment="1">
      <x:alignment vertical="center" wrapText="1"/>
    </x:xf>
    <x:xf numFmtId="0" fontId="0" fillId="36" borderId="0" xfId="0" applyNumberFormat="1" applyFont="1" applyFill="1" applyBorder="1"/>
    <x:xf numFmtId="0" fontId="1" fillId="36" borderId="0" xfId="0" applyNumberFormat="1" applyFont="1" applyFill="1" applyBorder="1"/>
    <x:xf numFmtId="0" fontId="1" fillId="36" borderId="0" xfId="0" applyNumberFormat="1" applyFont="1" applyFill="1" applyBorder="1" applyAlignment="1">
      <x:alignment vertical="center"/>
    </x:xf>
    <x:xf numFmtId="0" fontId="0" fillId="37" borderId="0" xfId="0" applyNumberFormat="1" applyFont="1" applyFill="1" applyBorder="1"/>
    <x:xf numFmtId="0" fontId="8" fillId="37" borderId="0" xfId="0" applyNumberFormat="1" applyFont="1" applyFill="1" applyBorder="1"/>
    <x:xf numFmtId="0" fontId="8" fillId="37" borderId="0" xfId="0" applyNumberFormat="1" applyFont="1" applyFill="1" applyBorder="1" applyAlignment="1">
      <x:alignment wrapText="1"/>
    </x:xf>
    <x:xf numFmtId="0" fontId="8" fillId="37" borderId="0" xfId="0" applyNumberFormat="1" applyFont="1" applyFill="1" applyBorder="1" applyAlignment="1">
      <x:alignment vertical="top" wrapText="1"/>
    </x:xf>
    <x:xf numFmtId="0" fontId="0" fillId="38" borderId="0" xfId="0" applyNumberFormat="1" applyFont="1" applyFill="1" applyBorder="1"/>
    <x:xf numFmtId="0" fontId="3" fillId="38" borderId="0" xfId="0" applyNumberFormat="1" applyFont="1" applyFill="1" applyBorder="1"/>
    <x:xf numFmtId="0" fontId="3" fillId="38" borderId="0" xfId="0" applyNumberFormat="1" applyFont="1" applyFill="1" applyBorder="1" applyAlignment="1">
      <x:alignment wrapText="1"/>
    </x:xf>
    <x:xf numFmtId="0" fontId="3" fillId="38" borderId="0" xfId="0" applyNumberFormat="1" applyFont="1" applyFill="1" applyBorder="1" applyAlignment="1">
      <x:alignment vertical="center" wrapText="1"/>
    </x:xf>
  </x:cellXfs>
  <x:cellStyles count="1">
    <x:cellStyle name="Normal" xfId="0"/>
  </x:cellStyles>
  <x:dxfs count="62">
    <x:dxf>
      <x:font>
        <x:color rgb="FF146C2E"/>
      </x:font>
      <x:fill>
        <x:patternFill>
          <x:bgColor rgb="FFDDF6E5"/>
        </x:patternFill>
      </x:fill>
    </x:dxf>
    <x:dxf>
      <x:fill>
        <x:patternFill>
          <x:bgColor rgb="FFFFF1CC"/>
        </x:patternFill>
      </x:fill>
    </x:dxf>
    <x:dxf>
      <x:font>
        <x:color rgb="FFA61B1B"/>
      </x:font>
      <x:fill>
        <x:patternFill>
          <x:bgColor rgb="FFFDE2E2"/>
        </x:patternFill>
      </x:fill>
    </x:dxf>
    <x:dxf>
      <x:font>
        <x:b/>
        <x:color rgb="FF146C2E"/>
      </x:font>
      <x:fill>
        <x:patternFill>
          <x:bgColor rgb="FFDDF6E5"/>
        </x:patternFill>
      </x:fill>
    </x:dxf>
    <x:dxf>
      <x:font>
        <x:b/>
        <x:color rgb="FF8A5A00"/>
      </x:font>
      <x:fill>
        <x:patternFill>
          <x:bgColor rgb="FFFFF1CC"/>
        </x:patternFill>
      </x:fill>
    </x:dxf>
    <x:dxf>
      <x:font>
        <x:b/>
        <x:color rgb="FFA61B1B"/>
      </x:font>
      <x:fill>
        <x:patternFill>
          <x:bgColor rgb="FFFDE2E2"/>
        </x:patternFill>
      </x:fill>
    </x:dxf>
    <x:dxf>
      <x:fill>
        <x:patternFill>
          <x:bgColor rgb="FFDDF6E5"/>
        </x:patternFill>
      </x:fill>
    </x:dxf>
    <x:dxf>
      <x:fill>
        <x:patternFill>
          <x:bgColor rgb="FFFFF1CC"/>
        </x:patternFill>
      </x:fill>
    </x:dxf>
    <x:dxf>
      <x:fill>
        <x:patternFill>
          <x:bgColor rgb="FFFDE2E2"/>
        </x:patternFill>
      </x:fill>
    </x:dxf>
    <x:dxf>
      <x:fill>
        <x:patternFill>
          <x:bgColor rgb="FFDDF6E5"/>
        </x:patternFill>
      </x:fill>
    </x:dxf>
    <x:dxf>
      <x:fill>
        <x:patternFill>
          <x:bgColor rgb="FFFFF1CC"/>
        </x:patternFill>
      </x:fill>
    </x:dxf>
    <x:dxf>
      <x:font>
        <x:b/>
      </x:font>
      <x:fill>
        <x:patternFill>
          <x:bgColor rgb="FFFDE68A"/>
        </x:patternFill>
      </x:fill>
    </x:dxf>
    <x:dxf>
      <x:font>
        <x:b/>
      </x:font>
      <x:fill>
        <x:patternFill>
          <x:bgColor rgb="FFFECACA"/>
        </x:patternFill>
      </x:fill>
    </x:dxf>
    <x:dxf>
      <x:fill>
        <x:patternFill>
          <x:bgColor rgb="FFDCFCE7"/>
        </x:patternFill>
      </x:fill>
    </x:dxf>
    <x:dxf>
      <x:font>
        <x:b/>
        <x:color rgb="FF991B1B"/>
      </x:font>
      <x:fill>
        <x:patternFill>
          <x:bgColor rgb="FFFECACA"/>
        </x:patternFill>
      </x:fill>
    </x:dxf>
    <x:dxf>
      <x:font>
        <x:b/>
        <x:color rgb="FF166534"/>
      </x:font>
      <x:fill>
        <x:patternFill>
          <x:bgColor rgb="FFDCFCE7"/>
        </x:patternFill>
      </x:fill>
    </x:dxf>
    <x:dxf>
      <x:font>
        <x:b/>
        <x:color rgb="FF991B1B"/>
      </x:font>
      <x:fill>
        <x:patternFill>
          <x:bgColor rgb="FFFECACA"/>
        </x:patternFill>
      </x:fill>
    </x:dxf>
    <x:dxf>
      <x:font>
        <x:b/>
        <x:color rgb="FF166534"/>
      </x:font>
      <x:fill>
        <x:patternFill>
          <x:bgColor rgb="FFDCFCE7"/>
        </x:patternFill>
      </x:fill>
    </x:dxf>
    <x:dxf>
      <x:font>
        <x:b/>
        <x:color rgb="FF9A3412"/>
      </x:font>
      <x:fill>
        <x:patternFill>
          <x:bgColor rgb="FFFED7AA"/>
        </x:patternFill>
      </x:fill>
    </x:dxf>
    <x:dxf>
      <x:font>
        <x:b/>
        <x:color rgb="FF92400E"/>
      </x:font>
      <x:fill>
        <x:patternFill>
          <x:bgColor rgb="FFFEF3C7"/>
        </x:patternFill>
      </x:fill>
    </x:dxf>
    <x:dxf>
      <x:font>
        <x:b/>
        <x:color rgb="FF991B1B"/>
      </x:font>
      <x:fill>
        <x:patternFill>
          <x:bgColor rgb="FFFECACA"/>
        </x:patternFill>
      </x:fill>
    </x:dxf>
    <x:dxf>
      <x:font>
        <x:b/>
        <x:color rgb="FF991B1B"/>
      </x:font>
      <x:fill>
        <x:patternFill>
          <x:bgColor rgb="FFFECACA"/>
        </x:patternFill>
      </x:fill>
    </x:dxf>
    <x:dxf>
      <x:font>
        <x:b/>
        <x:color rgb="FF1D4ED8"/>
      </x:font>
      <x:fill>
        <x:patternFill>
          <x:bgColor rgb="FFDBEAFE"/>
        </x:patternFill>
      </x:fill>
    </x:dxf>
    <x:dxf>
      <x:font>
        <x:b/>
        <x:color rgb="FF991B1B"/>
      </x:font>
      <x:fill>
        <x:patternFill>
          <x:bgColor rgb="FFFECACA"/>
        </x:patternFill>
      </x:fill>
    </x:dxf>
    <x:dxf>
      <x:font>
        <x:b/>
        <x:color rgb="FF166534"/>
      </x:font>
      <x:fill>
        <x:patternFill>
          <x:bgColor rgb="FFDCFCE7"/>
        </x:patternFill>
      </x:fill>
    </x:dxf>
    <x:dxf>
      <x:font>
        <x:b/>
        <x:color rgb="FF1D4ED8"/>
      </x:font>
      <x:fill>
        <x:patternFill>
          <x:bgColor rgb="FFDBEAFE"/>
        </x:patternFill>
      </x:fill>
    </x:dxf>
    <x:dxf>
      <x:font>
        <x:b/>
        <x:color rgb="FF991B1B"/>
      </x:font>
      <x:fill>
        <x:patternFill>
          <x:bgColor rgb="FFFECACA"/>
        </x:patternFill>
      </x:fill>
    </x:dxf>
    <x:dxf>
      <x:font>
        <x:b/>
        <x:color rgb="FF166534"/>
      </x:font>
      <x:fill>
        <x:patternFill>
          <x:bgColor rgb="FFDCFCE7"/>
        </x:patternFill>
      </x:fill>
    </x:dxf>
    <x:dxf>
      <x:font>
        <x:b/>
        <x:color rgb="FF1D4ED8"/>
      </x:font>
      <x:fill>
        <x:patternFill>
          <x:bgColor rgb="FFDBEAFE"/>
        </x:patternFill>
      </x:fill>
    </x:dxf>
    <x:dxf>
      <x:font>
        <x:b/>
        <x:color rgb="FF991B1B"/>
      </x:font>
      <x:fill>
        <x:patternFill>
          <x:bgColor rgb="FFFECACA"/>
        </x:patternFill>
      </x:fill>
    </x:dxf>
    <x:dxf>
      <x:font>
        <x:b/>
        <x:color rgb="FF166534"/>
      </x:font>
      <x:fill>
        <x:patternFill>
          <x:bgColor rgb="FFDCFCE7"/>
        </x:patternFill>
      </x:fill>
    </x:dxf>
    <x:dxf>
      <x:font>
        <x:b/>
        <x:color rgb="FF1D4ED8"/>
      </x:font>
      <x:fill>
        <x:patternFill>
          <x:bgColor rgb="FFDBEAFE"/>
        </x:patternFill>
      </x:fill>
    </x:dxf>
    <x:dxf>
      <x:font>
        <x:b/>
        <x:color rgb="FF991B1B"/>
      </x:font>
      <x:fill>
        <x:patternFill>
          <x:bgColor rgb="FFFECACA"/>
        </x:patternFill>
      </x:fill>
    </x:dxf>
    <x:dxf>
      <x:font>
        <x:b/>
        <x:color rgb="FF166534"/>
      </x:font>
      <x:fill>
        <x:patternFill>
          <x:bgColor rgb="FFDCFCE7"/>
        </x:patternFill>
      </x:fill>
    </x:dxf>
    <x:dxf>
      <x:font>
        <x:b/>
        <x:color rgb="FF9A3412"/>
      </x:font>
      <x:fill>
        <x:patternFill>
          <x:bgColor rgb="FFFED7AA"/>
        </x:patternFill>
      </x:fill>
    </x:dxf>
    <x:dxf>
      <x:font>
        <x:b/>
        <x:color rgb="FF6B21A8"/>
      </x:font>
      <x:fill>
        <x:patternFill>
          <x:bgColor rgb="FFE9D5FF"/>
        </x:patternFill>
      </x:fill>
    </x:dxf>
    <x:dxf>
      <x:font>
        <x:b/>
        <x:color rgb="FF92400E"/>
      </x:font>
      <x:fill>
        <x:patternFill>
          <x:bgColor rgb="FFFEF3C7"/>
        </x:patternFill>
      </x:fill>
    </x:dxf>
    <x:dxf>
      <x:font>
        <x:b/>
        <x:color rgb="FF1D4ED8"/>
      </x:font>
      <x:fill>
        <x:patternFill>
          <x:bgColor rgb="FFDBEAFE"/>
        </x:patternFill>
      </x:fill>
    </x:dxf>
    <x:dxf>
      <x:font>
        <x:b/>
        <x:color rgb="FF6B21A8"/>
      </x:font>
      <x:fill>
        <x:patternFill>
          <x:bgColor rgb="FFE9D5FF"/>
        </x:patternFill>
      </x:fill>
    </x:dxf>
    <x:dxf>
      <x:font>
        <x:b/>
        <x:color rgb="FF166534"/>
      </x:font>
      <x:fill>
        <x:patternFill>
          <x:bgColor rgb="FFDCFCE7"/>
        </x:patternFill>
      </x:fill>
    </x:dxf>
    <x:dxf>
      <x:font>
        <x:b/>
        <x:color rgb="FF166534"/>
      </x:font>
      <x:fill>
        <x:patternFill>
          <x:bgColor rgb="FFDCFCE7"/>
        </x:patternFill>
      </x:fill>
    </x:dxf>
    <x:dxf>
      <x:font>
        <x:b/>
        <x:color rgb="FF6B21A8"/>
      </x:font>
      <x:fill>
        <x:patternFill>
          <x:bgColor rgb="FFE9D5FF"/>
        </x:patternFill>
      </x:fill>
    </x:dxf>
    <x:dxf>
      <x:font>
        <x:b/>
        <x:color rgb="FF1D4ED8"/>
      </x:font>
      <x:fill>
        <x:patternFill>
          <x:bgColor rgb="FFDBEAFE"/>
        </x:patternFill>
      </x:fill>
    </x:dxf>
    <x:dxf>
      <x:font>
        <x:b/>
        <x:color rgb="FF991B1B"/>
      </x:font>
      <x:fill>
        <x:patternFill>
          <x:bgColor rgb="FFFECACA"/>
        </x:patternFill>
      </x:fill>
    </x:dxf>
    <x:dxf>
      <x:font>
        <x:b/>
        <x:color rgb="FF166534"/>
      </x:font>
      <x:fill>
        <x:patternFill>
          <x:bgColor rgb="FFDCFCE7"/>
        </x:patternFill>
      </x:fill>
    </x:dxf>
    <x:dxf>
      <x:font>
        <x:b/>
        <x:color rgb="FF1D4ED8"/>
      </x:font>
      <x:fill>
        <x:patternFill>
          <x:bgColor rgb="FFDBEAFE"/>
        </x:patternFill>
      </x:fill>
    </x:dxf>
    <x:dxf>
      <x:font>
        <x:b/>
        <x:color rgb="FF991B1B"/>
      </x:font>
      <x:fill>
        <x:patternFill>
          <x:bgColor rgb="FFFECACA"/>
        </x:patternFill>
      </x:fill>
    </x:dxf>
    <x:dxf>
      <x:font>
        <x:b/>
        <x:color rgb="FF166534"/>
      </x:font>
      <x:fill>
        <x:patternFill>
          <x:bgColor rgb="FFDCFCE7"/>
        </x:patternFill>
      </x:fill>
    </x:dxf>
    <x:dxf>
      <x:font>
        <x:b/>
        <x:color rgb="FF1D4ED8"/>
      </x:font>
      <x:fill>
        <x:patternFill>
          <x:bgColor rgb="FFDBEAFE"/>
        </x:patternFill>
      </x:fill>
    </x:dxf>
    <x:dxf>
      <x:font>
        <x:b/>
        <x:color rgb="FF991B1B"/>
      </x:font>
      <x:fill>
        <x:patternFill>
          <x:bgColor rgb="FFFECACA"/>
        </x:patternFill>
      </x:fill>
    </x:dxf>
    <x:dxf>
      <x:font>
        <x:b/>
        <x:color rgb="FF166534"/>
      </x:font>
      <x:fill>
        <x:patternFill>
          <x:bgColor rgb="FFDCFCE7"/>
        </x:patternFill>
      </x:fill>
    </x:dxf>
    <x:dxf>
      <x:font>
        <x:b/>
        <x:color rgb="FF1D4ED8"/>
      </x:font>
      <x:fill>
        <x:patternFill>
          <x:bgColor rgb="FFDBEAFE"/>
        </x:patternFill>
      </x:fill>
    </x:dxf>
    <x:dxf>
      <x:font>
        <x:b/>
        <x:color rgb="FF991B1B"/>
      </x:font>
      <x:fill>
        <x:patternFill>
          <x:bgColor rgb="FFFECACA"/>
        </x:patternFill>
      </x:fill>
    </x:dxf>
    <x:dxf>
      <x:font>
        <x:b/>
        <x:color rgb="FF166534"/>
      </x:font>
      <x:fill>
        <x:patternFill>
          <x:bgColor rgb="FFDCFCE7"/>
        </x:patternFill>
      </x:fill>
    </x:dxf>
    <x:dxf>
      <x:font>
        <x:b/>
        <x:color rgb="FF166534"/>
      </x:font>
      <x:fill>
        <x:patternFill>
          <x:bgColor rgb="FFDCFCE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1D4ED8"/>
      </x:font>
      <x:fill>
        <x:patternFill>
          <x:bgColor rgb="FFDBEAFE"/>
        </x:patternFill>
      </x:fill>
    </x:dxf>
    <x:dxf>
      <x:font>
        <x:b/>
        <x:color rgb="FF92400E"/>
      </x:font>
      <x:fill>
        <x:patternFill>
          <x:bgColor rgb="FFFEF3C7"/>
        </x:patternFill>
      </x:fill>
    </x:dxf>
    <x:dxf>
      <x:font>
        <x:b/>
        <x:color rgb="FF166534"/>
      </x:font>
      <x:fill>
        <x:patternFill patternType="solid">
          <x:bgColor rgb="FFDCFCE7"/>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042b5f73b14226" /><Relationship Type="http://schemas.openxmlformats.org/officeDocument/2006/relationships/theme" Target="/xl/theme/theme1.xml" Id="R90151a1e69044bf4" /><Relationship Type="http://schemas.microsoft.com/office/2022/11/relationships/FeaturePropertyBag" Target="/xl/featurePropertyBag/featurePropertyBag.xml" Id="R026b3280794e4d7b" /><Relationship Type="http://schemas.openxmlformats.org/officeDocument/2006/relationships/sharedStrings" Target="/xl/sharedStrings.xml" Id="Rc785bb57ab25439e" /><Relationship Type="http://schemas.openxmlformats.org/officeDocument/2006/relationships/worksheet" Target="/xl/worksheets/sheet1.xml" Id="Re11528efa7c04e92" /><Relationship Type="http://schemas.openxmlformats.org/officeDocument/2006/relationships/worksheet" Target="/xl/worksheets/sheet2.xml" Id="Ra4852be21f7141b2" /><Relationship Type="http://schemas.openxmlformats.org/officeDocument/2006/relationships/worksheet" Target="/xl/worksheets/sheet3.xml" Id="Rb834c514ee864706" /><Relationship Type="http://schemas.openxmlformats.org/officeDocument/2006/relationships/worksheet" Target="/xl/worksheets/sheet4.xml" Id="R45f54188ce6e4ae9" /><Relationship Type="http://schemas.openxmlformats.org/officeDocument/2006/relationships/worksheet" Target="/xl/worksheets/sheet5.xml" Id="Rf42cde56c0984182" /><Relationship Type="http://schemas.openxmlformats.org/officeDocument/2006/relationships/worksheet" Target="/xl/worksheets/sheet6.xml" Id="R87c770fd7c784749" /><Relationship Type="http://schemas.openxmlformats.org/officeDocument/2006/relationships/worksheet" Target="/xl/worksheets/sheet7.xml" Id="R4017ba3a24ce4030" /><Relationship Type="http://schemas.openxmlformats.org/officeDocument/2006/relationships/worksheet" Target="/xl/worksheets/sheet8.xml" Id="R8638c15ab6024284" /><Relationship Type="http://schemas.openxmlformats.org/officeDocument/2006/relationships/worksheet" Target="/xl/worksheets/sheet9.xml" Id="R64f709dd7e434b21" /><Relationship Type="http://schemas.openxmlformats.org/officeDocument/2006/relationships/worksheet" Target="/xl/worksheets/sheet10.xml" Id="Rf17c733ec0cf4ce9" /><Relationship Type="http://schemas.openxmlformats.org/officeDocument/2006/relationships/worksheet" Target="/xl/worksheets/sheet11.xml" Id="Rd134f463d73444c8" /><Relationship Type="http://schemas.openxmlformats.org/officeDocument/2006/relationships/worksheet" Target="/xl/worksheets/sheet12.xml" Id="R6995df3604d14ff9" /><Relationship Type="http://schemas.openxmlformats.org/officeDocument/2006/relationships/worksheet" Target="/xl/worksheets/sheet13.xml" Id="R50891c0ff3294cf5" /><Relationship Type="http://schemas.openxmlformats.org/officeDocument/2006/relationships/worksheet" Target="/xl/worksheets/sheet14.xml" Id="R79dbf041bd5144d1" /><Relationship Type="http://schemas.openxmlformats.org/officeDocument/2006/relationships/worksheet" Target="/xl/worksheets/sheet15.xml" Id="R83bf37b747374e0b" /><Relationship Type="http://schemas.openxmlformats.org/officeDocument/2006/relationships/worksheet" Target="/xl/worksheets/sheet16.xml" Id="R1fd27a62cbce4eb7" /><Relationship Type="http://schemas.openxmlformats.org/officeDocument/2006/relationships/worksheet" Target="/xl/worksheets/sheet17.xml" Id="Rb3d805e5c26a44e3" /></Relationships>
</file>

<file path=xl/drawings/_rels/drawing1.xml.rels>&#65279;<?xml version="1.0" encoding="utf-8"?><Relationships xmlns="http://schemas.openxmlformats.org/package/2006/relationships"><Relationship Type="http://schemas.openxmlformats.org/officeDocument/2006/relationships/chart" Target="/xl/drawings/charts/chart1.xml" Id="Rf1c98f08f35d456b" /></Relationships>
</file>

<file path=xl/drawings/_rels/drawing2.xml.rels>&#65279;<?xml version="1.0" encoding="utf-8"?><Relationships xmlns="http://schemas.openxmlformats.org/package/2006/relationships"><Relationship Type="http://schemas.openxmlformats.org/officeDocument/2006/relationships/chart" Target="/xl/drawings/charts/chart2.xml" Id="R4fef57b59aea4679" /></Relationships>
</file>

<file path=xl/drawings/_rels/drawing3.xml.rels>&#65279;<?xml version="1.0" encoding="utf-8"?><Relationships xmlns="http://schemas.openxmlformats.org/package/2006/relationships"><Relationship Type="http://schemas.openxmlformats.org/officeDocument/2006/relationships/chart" Target="/xl/drawings/charts/chart3.xml" Id="Reae938d0a08a465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Preference Flavor Coverage</a:t>
            </a:r>
          </a:p>
        </c:rich>
      </c:tx>
    </c:title>
    <c:plotArea>
      <c:barChart>
        <c:barDir val="col"/>
        <c:varyColors val="0"/>
        <c:ser>
          <c:idx val="0"/>
          <c:order val="0"/>
          <c:tx>
            <c:v>Candidate dishes</c:v>
          </c:tx>
          <c:cat>
            <c:strRef>
              <c:f>'Catalog_Audit'!$A$25:$A$30</c:f>
              <c:strCache>
                <c:ptCount val="0"/>
              </c:strCache>
            </c:strRef>
          </c:cat>
          <c:val>
            <c:numRef>
              <c:f>'Catalog_Audit'!$B$25:$B$30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Rich / Comforting Before vs After</a:t>
            </a:r>
          </a:p>
        </c:rich>
      </c:tx>
    </c:title>
    <c:plotArea>
      <c:barChart>
        <c:barDir val="col"/>
        <c:varyColors val="0"/>
        <c:ser>
          <c:idx val="0"/>
          <c:order val="0"/>
          <c:tx>
            <c:v>Before</c:v>
          </c:tx>
          <c:cat>
            <c:strRef>
              <c:f>'Rich_Comfort_Audit'!$G$5:$G$6</c:f>
              <c:strCache>
                <c:ptCount val="0"/>
              </c:strCache>
            </c:strRef>
          </c:cat>
          <c:val>
            <c:numRef>
              <c:f>'Rich_Comfort_Audit'!$H$5:$H$6</c:f>
              <c:numCache>
                <c:formatCode>General</c:formatCode>
                <c:ptCount val="0"/>
              </c:numCache>
            </c:numRef>
          </c:val>
        </c:ser>
        <c:ser>
          <c:idx val="1"/>
          <c:order val="1"/>
          <c:tx>
            <c:v>After</c:v>
          </c:tx>
          <c:cat>
            <c:strRef>
              <c:f>'Rich_Comfort_Audit'!$G$5:$G$6</c:f>
              <c:strCache>
                <c:ptCount val="0"/>
              </c:strCache>
            </c:strRef>
          </c:cat>
          <c:val>
            <c:numRef>
              <c:f>'Rich_Comfort_Audit'!$I$5:$I$6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Four Flavor Tags — Current vs Proposed</a:t>
            </a:r>
          </a:p>
        </c:rich>
      </c:tx>
    </c:title>
    <c:plotArea>
      <c:barChart>
        <c:barDir val="col"/>
        <c:varyColors val="0"/>
        <c:ser>
          <c:idx val="0"/>
          <c:order val="0"/>
          <c:tx>
            <c:v>Current</c:v>
          </c:tx>
          <c:cat>
            <c:strRef>
              <c:f>'Four_Flavor_Audit'!$M$5:$M$8</c:f>
              <c:strCache>
                <c:ptCount val="0"/>
              </c:strCache>
            </c:strRef>
          </c:cat>
          <c:val>
            <c:numRef>
              <c:f>'Four_Flavor_Audit'!$N$5:$N$8</c:f>
              <c:numCache>
                <c:formatCode>General</c:formatCode>
                <c:ptCount val="0"/>
              </c:numCache>
            </c:numRef>
          </c:val>
        </c:ser>
        <c:ser>
          <c:idx val="1"/>
          <c:order val="1"/>
          <c:tx>
            <c:v>Proposed</c:v>
          </c:tx>
          <c:cat>
            <c:strRef>
              <c:f>'Four_Flavor_Audit'!$M$5:$M$8</c:f>
              <c:strCache>
                <c:ptCount val="0"/>
              </c:strCache>
            </c:strRef>
          </c:cat>
          <c:val>
            <c:numRef>
              <c:f>'Four_Flavor_Audit'!$O$5:$O$8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23</xdr:row>
      <xdr:rowOff>0</xdr:rowOff>
    </xdr:from>
    <xdr:to>
      <xdr:col>13</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c98f08f35d456b"/>
        </a:graphicData>
      </a:graphic>
    </xdr:graphicFrame>
    <xdr:clientData/>
  </xdr:twoCellAnchor>
</xdr:wsDr>
</file>

<file path=xl/drawings/drawing2.xml><?xml version="1.0" encoding="utf-8"?>
<xdr:wsDr xmlns:xdr="http://schemas.openxmlformats.org/drawingml/2006/spreadsheetDrawing">
  <xdr:twoCellAnchor>
    <xdr:from>
      <xdr:col>6</xdr:col>
      <xdr:colOff>0</xdr:colOff>
      <xdr:row>6</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ef57b59aea4679"/>
        </a:graphicData>
      </a:graphic>
    </xdr:graphicFrame>
    <xdr:clientData/>
  </xdr:twoCellAnchor>
</xdr:wsDr>
</file>

<file path=xl/drawings/drawing3.xml><?xml version="1.0" encoding="utf-8"?>
<xdr:wsDr xmlns:xdr="http://schemas.openxmlformats.org/drawingml/2006/spreadsheetDrawing">
  <xdr:twoCellAnchor>
    <xdr:from>
      <xdr:col>12</xdr:col>
      <xdr:colOff>0</xdr:colOff>
      <xdr:row>8</xdr:row>
      <xdr:rowOff>0</xdr:rowOff>
    </xdr:from>
    <xdr:to>
      <xdr:col>17</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ae938d0a08a465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drawing" Target="/xl/drawings/drawing1.xml" Id="R22f9d91dac9f420e" /></Relationships>
</file>

<file path=xl/worksheets/_rels/sheet7.xml.rels>&#65279;<?xml version="1.0" encoding="utf-8"?><Relationships xmlns="http://schemas.openxmlformats.org/package/2006/relationships"><Relationship Type="http://schemas.openxmlformats.org/officeDocument/2006/relationships/drawing" Target="/xl/drawings/drawing2.xml" Id="R316c2be68ae04b00" /></Relationships>
</file>

<file path=xl/worksheets/_rels/sheet9.xml.rels>&#65279;<?xml version="1.0" encoding="utf-8"?><Relationships xmlns="http://schemas.openxmlformats.org/package/2006/relationships"><Relationship Type="http://schemas.openxmlformats.org/officeDocument/2006/relationships/drawing" Target="/xl/drawings/drawing3.xml" Id="R7bbbca18dcfc4d20" /></Relationships>
</file>

<file path=xl/worksheets/sheet1.xml><?xml version="1.0" encoding="utf-8"?>
<x:worksheet xmlns:x="http://schemas.openxmlformats.org/spreadsheetml/2006/main">
  <x:sheetFormatPr defaultRowHeight="15"/>
  <x:cols>
    <x:col min="1" max="1" width="18" hidden="0" customWidth="1"/>
    <x:col min="2" max="2" width="22" hidden="0" customWidth="1"/>
    <x:col min="3" max="3" width="22" hidden="0" customWidth="1"/>
    <x:col min="4" max="4" width="12" hidden="0" customWidth="1"/>
    <x:col min="5" max="5" width="20" hidden="0" customWidth="1"/>
    <x:col min="6" max="6" width="18"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36" hidden="0" customWidth="1"/>
    <x:col min="16" max="16" width="48" hidden="0" customWidth="1"/>
    <x:col min="17" max="17" width="16" hidden="0" customWidth="1"/>
    <x:col min="18" max="18" width="36" hidden="0" customWidth="1"/>
    <x:col min="19" max="19" width="22" hidden="0" customWidth="1"/>
  </x:cols>
  <x:sheetData>
    <x:row r="1" ht="28" customHeight="1">
      <x:c r="A1" s="5" t="str">
        <x:v>Nom Dish Catalog — Master Sheet</x:v>
      </x:c>
      <x:c r="B1" s="5"/>
      <x:c r="C1" s="5"/>
      <x:c r="D1" s="5"/>
      <x:c r="E1" s="5"/>
      <x:c r="F1" s="5"/>
      <x:c r="G1" s="5"/>
      <x:c r="H1" s="5"/>
      <x:c r="I1" s="5"/>
      <x:c r="J1" s="5"/>
      <x:c r="K1" s="5"/>
      <x:c r="L1" s="5"/>
      <x:c r="M1" s="5"/>
      <x:c r="N1" s="5"/>
      <x:c r="O1" s="5"/>
      <x:c r="P1" s="5"/>
      <x:c r="Q1" s="5"/>
      <x:c r="R1" s="5"/>
      <x:c r="S1" s="5"/>
    </x:row>
    <x:row r="2" ht="34" customHeight="1">
      <x:c r="A2" s="12" t="str">
        <x:v>Human-editable source of truth. Only rows with reviewStatus = approved and validationStatus = OK should enter the production catalog.</x:v>
      </x:c>
      <x:c r="B2" s="12"/>
      <x:c r="C2" s="12"/>
      <x:c r="D2" s="12"/>
      <x:c r="E2" s="12"/>
      <x:c r="F2" s="12"/>
      <x:c r="G2" s="12"/>
      <x:c r="H2" s="12"/>
      <x:c r="I2" s="12"/>
      <x:c r="J2" s="12"/>
      <x:c r="K2" s="12"/>
      <x:c r="L2" s="12"/>
      <x:c r="M2" s="12"/>
      <x:c r="N2" s="12"/>
      <x:c r="O2" s="12"/>
      <x:c r="P2" s="12"/>
      <x:c r="Q2" s="12"/>
      <x:c r="R2" s="12"/>
      <x:c r="S2" s="12"/>
    </x:row>
    <x:row r="4" ht="34" customHeight="1">
      <x:c r="A4" s="20" t="str">
        <x:v>id</x:v>
      </x:c>
      <x:c r="B4" s="20" t="str">
        <x:v>name</x:v>
      </x:c>
      <x:c r="C4" s="20" t="str">
        <x:v>aliases</x:v>
      </x:c>
      <x:c r="D4" s="20" t="str">
        <x:v>countryCode</x:v>
      </x:c>
      <x:c r="E4" s="20" t="str">
        <x:v>region</x:v>
      </x:c>
      <x:c r="F4" s="20" t="str">
        <x:v>foodType</x:v>
      </x:c>
      <x:c r="G4" s="20" t="str">
        <x:v>flavor1</x:v>
      </x:c>
      <x:c r="H4" s="20" t="str">
        <x:v>flavor2</x:v>
      </x:c>
      <x:c r="I4" s="20" t="str">
        <x:v>flavor3</x:v>
      </x:c>
      <x:c r="J4" s="20" t="str">
        <x:v>descriptor1</x:v>
      </x:c>
      <x:c r="K4" s="20" t="str">
        <x:v>descriptor2</x:v>
      </x:c>
      <x:c r="L4" s="20" t="str">
        <x:v>descriptor3</x:v>
      </x:c>
      <x:c r="M4" s="20" t="str">
        <x:v>descriptor4</x:v>
      </x:c>
      <x:c r="N4" s="20" t="str">
        <x:v>adventureLevel</x:v>
      </x:c>
      <x:c r="O4" s="20" t="str">
        <x:v>shortDescription</x:v>
      </x:c>
      <x:c r="P4" s="20" t="str">
        <x:v>description</x:v>
      </x:c>
      <x:c r="Q4" s="20" t="str">
        <x:v>reviewStatus</x:v>
      </x:c>
      <x:c r="R4" s="20" t="str">
        <x:v>notes</x:v>
      </x:c>
      <x:c r="S4" s="20" t="str">
        <x:v>validationStatus</x:v>
      </x:c>
    </x:row>
    <x:row r="5">
      <x:c r="A5" s="28" t="str">
        <x:v>lort-cha</x:v>
      </x:c>
      <x:c r="B5" s="28" t="str">
        <x:v>Lort Cha</x:v>
      </x:c>
      <x:c r="C5" s="28"/>
      <x:c r="D5" s="28" t="str">
        <x:v>KH</x:v>
      </x:c>
      <x:c r="E5" s="28" t="str">
        <x:v>southeast-asia</x:v>
      </x:c>
      <x:c r="F5" s="28" t="str">
        <x:v>noodle</x:v>
      </x:c>
      <x:c r="G5" s="28" t="str">
        <x:v>comforting</x:v>
      </x:c>
      <x:c r="H5" s="28"/>
      <x:c r="I5" s="28"/>
      <x:c r="J5" s="28" t="str">
        <x:v>savory</x:v>
      </x:c>
      <x:c r="K5" s="28" t="str">
        <x:v>smoky</x:v>
      </x:c>
      <x:c r="L5" s="28"/>
      <x:c r="M5" s="28"/>
      <x:c r="N5" s="28" t="n">
        <x:v>3</x:v>
      </x:c>
      <x:c r="O5" s="28" t="str">
        <x:v>Cambodian stir-fried short rice noodles with bean sprouts, savory sauce, and a fried egg.</x:v>
      </x:c>
      <x:c r="P5" s="28" t="str">
        <x:v>Lort cha is a Cambodian street-food dish of short rice noodles stir-fried over high heat with bean sprouts and other vegetables in a savory-sweet sauce, commonly finished with a fried egg. Meat such as beef or pork may be added depending on the vendor.</x:v>
      </x:c>
      <x:c r="Q5" s="28" t="str">
        <x:v>needs-review</x:v>
      </x:c>
      <x:c r="R5" s="28" t="str">
        <x:v>Existing Nom dish. Keep as needs-review until factual source and exact licensed primary image are approved. Verified source check: completed for pilot.</x:v>
      </x:c>
      <x:c r="S5" s="28" t="str">
        <x:f>IF(A5="","",IF(COUNTIF($A$5:$A$205,A5)&gt;1,"DUPLICATE ID",IF(AND(Q5="approved",COUNTIFS(Sources!$A$5:$A$404,A5,Sources!$F$5:$F$404,TRUE)=0),"NEEDS SOURCE",IF(AND(Q5="approved",COUNTIFS(Images!$A$5:$A$304,A5,Images!$H$5:$H$304,TRUE,Images!$I$5:$I$304,"approved")&lt;&gt;1),"NEEDS PRIMARY IMAGE","OK"))))</x:f>
        <x:v>OK</x:v>
      </x:c>
    </x:row>
    <x:row r="6">
      <x:c r="A6" s="28" t="str">
        <x:v>mie-goreng</x:v>
      </x:c>
      <x:c r="B6" s="28" t="str">
        <x:v>Mie Goreng</x:v>
      </x:c>
      <x:c r="C6" s="28" t="str">
        <x:v>Mi Goreng|Bakmi Goreng</x:v>
      </x:c>
      <x:c r="D6" s="28" t="str">
        <x:v>ID</x:v>
      </x:c>
      <x:c r="E6" s="28" t="str">
        <x:v>southeast-asia</x:v>
      </x:c>
      <x:c r="F6" s="28" t="str">
        <x:v>noodle</x:v>
      </x:c>
      <x:c r="G6" s="28" t="str">
        <x:v>spicy</x:v>
      </x:c>
      <x:c r="H6" s="28"/>
      <x:c r="I6" s="28"/>
      <x:c r="J6" s="28" t="str">
        <x:v>savory</x:v>
      </x:c>
      <x:c r="K6" s="28" t="str">
        <x:v>bold</x:v>
      </x:c>
      <x:c r="L6" s="28"/>
      <x:c r="M6" s="28"/>
      <x:c r="N6" s="28" t="n">
        <x:v>2</x:v>
      </x:c>
      <x:c r="O6" s="28" t="str">
        <x:v>Indonesian stir-fried noodles with a sweet-savory flavor.</x:v>
      </x:c>
      <x:c r="P6" s="28" t="str">
        <x:v>Mie goreng is an Indonesian stir-fried noodle dish commonly prepared with yellow noodles, aromatics, vegetables, egg, and meat or seafood, often seasoned with sweet soy sauce and sambal.</x:v>
      </x:c>
      <x:c r="Q6" s="28" t="str">
        <x:v>needs-review</x:v>
      </x:c>
      <x:c r="R6" s="28" t="str">
        <x:v>Existing Nom dish. Preference flavor is a catalog heuristic and should be reviewed before production.</x:v>
      </x:c>
      <x:c r="S6" s="28" t="str">
        <x:f>IF(A6="","",IF(COUNTIF($A$5:$A$205,A6)&gt;1,"DUPLICATE ID",IF(AND(Q6="approved",COUNTIFS(Sources!$A$5:$A$404,A6,Sources!$F$5:$F$404,TRUE)=0),"NEEDS SOURCE",IF(AND(Q6="approved",COUNTIFS(Images!$A$5:$A$304,A6,Images!$H$5:$H$304,TRUE,Images!$I$5:$I$304,"approved")&lt;&gt;1),"NEEDS PRIMARY IMAGE","OK"))))</x:f>
        <x:v>OK</x:v>
      </x:c>
    </x:row>
    <x:row r="7">
      <x:c r="A7" s="28" t="str">
        <x:v>pancit-canton</x:v>
      </x:c>
      <x:c r="B7" s="28" t="str">
        <x:v>Pancit Canton</x:v>
      </x:c>
      <x:c r="C7" s="28" t="str">
        <x:v>Pansit Canton</x:v>
      </x:c>
      <x:c r="D7" s="28" t="str">
        <x:v>PH</x:v>
      </x:c>
      <x:c r="E7" s="28" t="str">
        <x:v>southeast-asia</x:v>
      </x:c>
      <x:c r="F7" s="28" t="str">
        <x:v>noodle</x:v>
      </x:c>
      <x:c r="G7" s="28" t="str">
        <x:v>comforting</x:v>
      </x:c>
      <x:c r="H7" s="28"/>
      <x:c r="I7" s="28"/>
      <x:c r="J7" s="28" t="str">
        <x:v>savory</x:v>
      </x:c>
      <x:c r="K7" s="28" t="str">
        <x:v>bold</x:v>
      </x:c>
      <x:c r="L7" s="28"/>
      <x:c r="M7" s="28"/>
      <x:c r="N7" s="28" t="n">
        <x:v>2</x:v>
      </x:c>
      <x:c r="O7" s="28" t="str">
        <x:v>Filipino stir-fried noodles with vegetables and meat or seafood.</x:v>
      </x:c>
      <x:c r="P7" s="28" t="str">
        <x:v>Pancit canton is a Filipino stir-fried noodle dish using wheat-and-egg noodles with vegetables and varied meat or seafood additions. It is part of the broader pancit family of Filipino noodle dishes.</x:v>
      </x:c>
      <x:c r="Q7" s="28" t="str">
        <x:v>needs-review</x:v>
      </x:c>
      <x:c r="R7" s="28" t="str">
        <x:v>Existing Nom dish. Uses the general Pancit source because Canton is covered as a named pancit variant.</x:v>
      </x:c>
      <x:c r="S7" s="28" t="str">
        <x:f>IF(A7="","",IF(COUNTIF($A$5:$A$205,A7)&gt;1,"DUPLICATE ID",IF(AND(Q7="approved",COUNTIFS(Sources!$A$5:$A$404,A7,Sources!$F$5:$F$404,TRUE)=0),"NEEDS SOURCE",IF(AND(Q7="approved",COUNTIFS(Images!$A$5:$A$304,A7,Images!$H$5:$H$304,TRUE,Images!$I$5:$I$304,"approved")&lt;&gt;1),"NEEDS PRIMARY IMAGE","OK"))))</x:f>
        <x:v>OK</x:v>
      </x:c>
    </x:row>
    <x:row r="8">
      <x:c r="A8" s="28" t="str">
        <x:v>char-kway-teow</x:v>
      </x:c>
      <x:c r="B8" s="28" t="str">
        <x:v>Char Kway Teow</x:v>
      </x:c>
      <x:c r="C8" s="28" t="str">
        <x:v>Char Kuey Teow</x:v>
      </x:c>
      <x:c r="D8" s="28" t="str">
        <x:v>MY</x:v>
      </x:c>
      <x:c r="E8" s="28" t="str">
        <x:v>southeast-asia</x:v>
      </x:c>
      <x:c r="F8" s="28" t="str">
        <x:v>noodle</x:v>
      </x:c>
      <x:c r="G8" s="28" t="str">
        <x:v>rich</x:v>
      </x:c>
      <x:c r="H8" s="28"/>
      <x:c r="I8" s="28"/>
      <x:c r="J8" s="28" t="str">
        <x:v>savory</x:v>
      </x:c>
      <x:c r="K8" s="28" t="str">
        <x:v>smoky</x:v>
      </x:c>
      <x:c r="L8" s="28" t="str">
        <x:v>charred</x:v>
      </x:c>
      <x:c r="M8" s="28"/>
      <x:c r="N8" s="28" t="n">
        <x:v>2</x:v>
      </x:c>
      <x:c r="O8" s="28" t="str">
        <x:v>Malaysian stir-fried flat rice noodles with a smoky, savory flavor.</x:v>
      </x:c>
      <x:c r="P8" s="28" t="str">
        <x:v>Char kway teow is a Southeast Asian stir-fried flat rice noodle dish strongly associated with Malaysia and Singapore, commonly cooked over high heat with soy sauces, aromatics, seafood, sprouts, and chives.</x:v>
      </x:c>
      <x:c r="Q8" s="28" t="str">
        <x:v>needs-review</x:v>
      </x:c>
      <x:c r="R8" s="28" t="str">
        <x:v>Existing Nom dish. Country code uses Malaysia for catalog grouping; the dish is also strongly associated with Singapore.</x:v>
      </x:c>
      <x:c r="S8" s="28" t="str">
        <x:f>IF(A8="","",IF(COUNTIF($A$5:$A$205,A8)&gt;1,"DUPLICATE ID",IF(AND(Q8="approved",COUNTIFS(Sources!$A$5:$A$404,A8,Sources!$F$5:$F$404,TRUE)=0),"NEEDS SOURCE",IF(AND(Q8="approved",COUNTIFS(Images!$A$5:$A$304,A8,Images!$H$5:$H$304,TRUE,Images!$I$5:$I$304,"approved")&lt;&gt;1),"NEEDS PRIMARY IMAGE","OK"))))</x:f>
        <x:v>OK</x:v>
      </x:c>
    </x:row>
    <x:row r="9">
      <x:c r="A9" s="28" t="str">
        <x:v>mi-quang</x:v>
      </x:c>
      <x:c r="B9" s="28" t="str">
        <x:v>Mì Quảng</x:v>
      </x:c>
      <x:c r="C9" s="28" t="str">
        <x:v>Mỳ Quảng</x:v>
      </x:c>
      <x:c r="D9" s="28" t="str">
        <x:v>VN</x:v>
      </x:c>
      <x:c r="E9" s="28" t="str">
        <x:v>southeast-asia</x:v>
      </x:c>
      <x:c r="F9" s="28" t="str">
        <x:v>noodle</x:v>
      </x:c>
      <x:c r="G9" s="28" t="str">
        <x:v>fresh</x:v>
      </x:c>
      <x:c r="H9" s="28"/>
      <x:c r="I9" s="28"/>
      <x:c r="J9" s="28" t="str">
        <x:v>savory</x:v>
      </x:c>
      <x:c r="K9" s="28" t="str">
        <x:v>aromatic</x:v>
      </x:c>
      <x:c r="L9" s="28"/>
      <x:c r="M9" s="28"/>
      <x:c r="N9" s="28" t="n">
        <x:v>3</x:v>
      </x:c>
      <x:c r="O9" s="28" t="str">
        <x:v>Vietnamese turmeric noodles with herbs, peanuts, and a little rich broth.</x:v>
      </x:c>
      <x:c r="P9" s="28" t="str">
        <x:v>Mì Quảng is a central Vietnamese noodle dish from Quảng Nam, built around rice noodles, herbs, meat or seafood, and a small amount of seasoned broth, often with turmeric, peanuts, and rice crackers.</x:v>
      </x:c>
      <x:c r="Q9" s="28" t="str">
        <x:v>needs-review</x:v>
      </x:c>
      <x:c r="R9" s="28" t="str">
        <x:v>Existing Nom dish. Adventure level remains a Nom heuristic rather than a cultural judgment.</x:v>
      </x:c>
      <x:c r="S9" s="28" t="str">
        <x:f>IF(A9="","",IF(COUNTIF($A$5:$A$205,A9)&gt;1,"DUPLICATE ID",IF(AND(Q9="approved",COUNTIFS(Sources!$A$5:$A$404,A9,Sources!$F$5:$F$404,TRUE)=0),"NEEDS SOURCE",IF(AND(Q9="approved",COUNTIFS(Images!$A$5:$A$304,A9,Images!$H$5:$H$304,TRUE,Images!$I$5:$I$304,"approved")&lt;&gt;1),"NEEDS PRIMARY IMAGE","OK"))))</x:f>
        <x:v>OK</x:v>
      </x:c>
    </x:row>
    <x:row r="10">
      <x:c r="A10" s="28" t="str">
        <x:v>hokkien-mee</x:v>
      </x:c>
      <x:c r="B10" s="28" t="str">
        <x:v>Hokkien Mee</x:v>
      </x:c>
      <x:c r="C10" s="28"/>
      <x:c r="D10" s="28" t="str">
        <x:v>SG</x:v>
      </x:c>
      <x:c r="E10" s="28" t="str">
        <x:v>southeast-asia</x:v>
      </x:c>
      <x:c r="F10" s="28" t="str">
        <x:v>noodle</x:v>
      </x:c>
      <x:c r="G10" s="28" t="str">
        <x:v>rich</x:v>
      </x:c>
      <x:c r="H10" s="28"/>
      <x:c r="I10" s="28"/>
      <x:c r="J10" s="28" t="str">
        <x:v>savory</x:v>
      </x:c>
      <x:c r="K10" s="28" t="str">
        <x:v>umami</x:v>
      </x:c>
      <x:c r="L10" s="28"/>
      <x:c r="M10" s="28"/>
      <x:c r="N10" s="28" t="n">
        <x:v>2</x:v>
      </x:c>
      <x:c r="O10" s="28" t="str">
        <x:v>Singaporean noodles tossed in a rich, savory seafood sauce.</x:v>
      </x:c>
      <x:c r="P10" s="28" t="str">
        <x:v>Singapore Hokkien mee combines egg and rice noodles with prawns, squid, egg, and an aromatic seafood-and-pork broth that is absorbed during stir-frying, typically served with sambal and lime.</x:v>
      </x:c>
      <x:c r="Q10" s="28" t="str">
        <x:v>needs-review</x:v>
      </x:c>
      <x:c r="R10" s="28" t="str">
        <x:v>Existing Nom dish. Hokkien mee names multiple regional dishes; this row represents the Singapore fried-noodle version.</x:v>
      </x:c>
      <x:c r="S10" s="28" t="str">
        <x:f>IF(A10="","",IF(COUNTIF($A$5:$A$205,A10)&gt;1,"DUPLICATE ID",IF(AND(Q10="approved",COUNTIFS(Sources!$A$5:$A$404,A10,Sources!$F$5:$F$404,TRUE)=0),"NEEDS SOURCE",IF(AND(Q10="approved",COUNTIFS(Images!$A$5:$A$304,A10,Images!$H$5:$H$304,TRUE,Images!$I$5:$I$304,"approved")&lt;&gt;1),"NEEDS PRIMARY IMAGE","OK"))))</x:f>
        <x:v>OK</x:v>
      </x:c>
    </x:row>
    <x:row r="11">
      <x:c r="A11" s="28" t="str">
        <x:v>kolo-mee</x:v>
      </x:c>
      <x:c r="B11" s="28" t="str">
        <x:v>Kolo Mee</x:v>
      </x:c>
      <x:c r="C11" s="28" t="str">
        <x:v>Mee Kolo|Mi Kolok</x:v>
      </x:c>
      <x:c r="D11" s="28" t="str">
        <x:v>MY</x:v>
      </x:c>
      <x:c r="E11" s="28" t="str">
        <x:v>southeast-asia</x:v>
      </x:c>
      <x:c r="F11" s="28" t="str">
        <x:v>noodle</x:v>
      </x:c>
      <x:c r="G11" s="28" t="str">
        <x:v>comforting</x:v>
      </x:c>
      <x:c r="H11" s="28"/>
      <x:c r="I11" s="28"/>
      <x:c r="J11" s="28" t="str">
        <x:v>savory</x:v>
      </x:c>
      <x:c r="K11" s="28" t="str">
        <x:v>light</x:v>
      </x:c>
      <x:c r="L11" s="28"/>
      <x:c r="M11" s="28"/>
      <x:c r="N11" s="28" t="n">
        <x:v>2</x:v>
      </x:c>
      <x:c r="O11" s="28" t="str">
        <x:v>Springy Malaysian dry noodles with savory sauce and flavorful toppings.</x:v>
      </x:c>
      <x:c r="P11" s="28" t="str">
        <x:v>Kolo mee is a Sarawakian dry noodle dish made with springy egg noodles tossed in a light savory mixture, commonly topped with char siu or other meats, fried shallots, and spring onions.</x:v>
      </x:c>
      <x:c r="Q11" s="28" t="str">
        <x:v>needs-review</x:v>
      </x:c>
      <x:c r="R11" s="28" t="str">
        <x:v>Existing Nom dish. Associated with Sarawak and Brunei; country code uses Malaysia for catalog grouping.</x:v>
      </x:c>
      <x:c r="S11" s="28" t="str">
        <x:f>IF(A11="","",IF(COUNTIF($A$5:$A$205,A11)&gt;1,"DUPLICATE ID",IF(AND(Q11="approved",COUNTIFS(Sources!$A$5:$A$404,A11,Sources!$F$5:$F$404,TRUE)=0),"NEEDS SOURCE",IF(AND(Q11="approved",COUNTIFS(Images!$A$5:$A$304,A11,Images!$H$5:$H$304,TRUE,Images!$I$5:$I$304,"approved")&lt;&gt;1),"NEEDS PRIMARY IMAGE","OK"))))</x:f>
        <x:v>OK</x:v>
      </x:c>
    </x:row>
    <x:row r="12">
      <x:c r="A12" s="28" t="str">
        <x:v>pancit-bihon</x:v>
      </x:c>
      <x:c r="B12" s="28" t="str">
        <x:v>Pancit Bihon</x:v>
      </x:c>
      <x:c r="C12" s="28" t="str">
        <x:v>Pansit Bihon|Bihon Guisado</x:v>
      </x:c>
      <x:c r="D12" s="28" t="str">
        <x:v>PH</x:v>
      </x:c>
      <x:c r="E12" s="28" t="str">
        <x:v>southeast-asia</x:v>
      </x:c>
      <x:c r="F12" s="28" t="str">
        <x:v>noodle</x:v>
      </x:c>
      <x:c r="G12" s="28" t="str">
        <x:v>comforting</x:v>
      </x:c>
      <x:c r="H12" s="28"/>
      <x:c r="I12" s="28"/>
      <x:c r="J12" s="28" t="str">
        <x:v>savory</x:v>
      </x:c>
      <x:c r="K12" s="28" t="str">
        <x:v>light</x:v>
      </x:c>
      <x:c r="L12" s="28"/>
      <x:c r="M12" s="28"/>
      <x:c r="N12" s="28" t="n">
        <x:v>2</x:v>
      </x:c>
      <x:c r="O12" s="28" t="str">
        <x:v>Filipino rice noodles stir-fried with vegetables and your choice of protein.</x:v>
      </x:c>
      <x:c r="P12" s="28" t="str">
        <x:v>Pancit bihon is a Filipino stir-fried rice vermicelli dish commonly seasoned with soy sauce and citrus and mixed with vegetables and varied meat or seafood, with recipes differing by household and region.</x:v>
      </x:c>
      <x:c r="Q12" s="28" t="str">
        <x:v>needs-review</x:v>
      </x:c>
      <x:c r="R12" s="28" t="str">
        <x:v>Existing Nom dish. Uses the general Pancit source because bihon is covered there as a named variation.</x:v>
      </x:c>
      <x:c r="S12" s="28" t="str">
        <x:f>IF(A12="","",IF(COUNTIF($A$5:$A$205,A12)&gt;1,"DUPLICATE ID",IF(AND(Q12="approved",COUNTIFS(Sources!$A$5:$A$404,A12,Sources!$F$5:$F$404,TRUE)=0),"NEEDS SOURCE",IF(AND(Q12="approved",COUNTIFS(Images!$A$5:$A$304,A12,Images!$H$5:$H$304,TRUE,Images!$I$5:$I$304,"approved")&lt;&gt;1),"NEEDS PRIMARY IMAGE","OK"))))</x:f>
        <x:v>OK</x:v>
      </x:c>
    </x:row>
    <x:row r="13">
      <x:c r="A13" s="28" t="str">
        <x:v>cao-lau</x:v>
      </x:c>
      <x:c r="B13" s="28" t="str">
        <x:v>Cao Lầu</x:v>
      </x:c>
      <x:c r="C13" s="28" t="str">
        <x:v>Cao Lau</x:v>
      </x:c>
      <x:c r="D13" s="28" t="str">
        <x:v>VN</x:v>
      </x:c>
      <x:c r="E13" s="28" t="str">
        <x:v>southeast-asia</x:v>
      </x:c>
      <x:c r="F13" s="28" t="str">
        <x:v>noodle</x:v>
      </x:c>
      <x:c r="G13" s="28" t="str">
        <x:v>fresh</x:v>
      </x:c>
      <x:c r="H13" s="28" t="str">
        <x:v>crispy</x:v>
      </x:c>
      <x:c r="I13" s="28"/>
      <x:c r="J13" s="28" t="str">
        <x:v>savory</x:v>
      </x:c>
      <x:c r="K13" s="28" t="str">
        <x:v>chewy</x:v>
      </x:c>
      <x:c r="L13" s="28"/>
      <x:c r="M13" s="28"/>
      <x:c r="N13" s="28" t="n">
        <x:v>3</x:v>
      </x:c>
      <x:c r="O13" s="28" t="str">
        <x:v>Chewy Vietnamese noodles with pork, herbs, greens, and crispy toppings.</x:v>
      </x:c>
      <x:c r="P13" s="28" t="str">
        <x:v>Cao lầu is a Hội An noodle dish combining chewy rice noodles with pork, fresh greens, bean sprouts, herbs, and crisp rice pieces, served with only a small amount of concentrated broth or sauce.</x:v>
      </x:c>
      <x:c r="Q13" s="28" t="str">
        <x:v>needs-review</x:v>
      </x:c>
      <x:c r="R13" s="28" t="str">
        <x:v>Existing Nom dish. Closely associated with Hội An in central Vietnam.</x:v>
      </x:c>
      <x:c r="S13" s="28" t="str">
        <x:f>IF(A13="","",IF(COUNTIF($A$5:$A$205,A13)&gt;1,"DUPLICATE ID",IF(AND(Q13="approved",COUNTIFS(Sources!$A$5:$A$404,A13,Sources!$F$5:$F$404,TRUE)=0),"NEEDS SOURCE",IF(AND(Q13="approved",COUNTIFS(Images!$A$5:$A$304,A13,Images!$H$5:$H$304,TRUE,Images!$I$5:$I$304,"approved")&lt;&gt;1),"NEEDS PRIMARY IMAGE","OK"))))</x:f>
        <x:v>OK</x:v>
      </x:c>
    </x:row>
    <x:row r="14">
      <x:c r="A14" s="28" t="str">
        <x:v>num-banh-chok</x:v>
      </x:c>
      <x:c r="B14" s="28" t="str">
        <x:v>Num Banh Chok</x:v>
      </x:c>
      <x:c r="C14" s="28" t="str">
        <x:v>Num Banhchok|Num Banh Chok</x:v>
      </x:c>
      <x:c r="D14" s="28" t="str">
        <x:v>KH</x:v>
      </x:c>
      <x:c r="E14" s="28" t="str">
        <x:v>southeast-asia</x:v>
      </x:c>
      <x:c r="F14" s="28" t="str">
        <x:v>noodle</x:v>
      </x:c>
      <x:c r="G14" s="28" t="str">
        <x:v>fresh</x:v>
      </x:c>
      <x:c r="H14" s="28" t="str">
        <x:v>comforting</x:v>
      </x:c>
      <x:c r="I14" s="28"/>
      <x:c r="J14" s="28" t="str">
        <x:v>aromatic</x:v>
      </x:c>
      <x:c r="K14" s="28" t="str">
        <x:v>herbal</x:v>
      </x:c>
      <x:c r="L14" s="28"/>
      <x:c r="M14" s="28"/>
      <x:c r="N14" s="28" t="n">
        <x:v>2</x:v>
      </x:c>
      <x:c r="O14" s="28" t="str">
        <x:v>Cambodian rice noodles with fragrant curry gravy, herbs, and fresh vegetables.</x:v>
      </x:c>
      <x:c r="P14" s="28" t="str">
        <x:v>Num banh chok is a Cambodian rice-noodle dish commonly eaten for breakfast or lunch, pairing lightly fermented rice noodles with savory gravy or curry-style sauces, herbs, and fresh vegetables.</x:v>
      </x:c>
      <x:c r="Q14" s="28" t="str">
        <x:v>needs-review</x:v>
      </x:c>
      <x:c r="R14" s="28" t="str">
        <x:v>Existing Nom dish. Multiple regional preparations exist across Cambodia.</x:v>
      </x:c>
      <x:c r="S14" s="28" t="str">
        <x:f>IF(A14="","",IF(COUNTIF($A$5:$A$205,A14)&gt;1,"DUPLICATE ID",IF(AND(Q14="approved",COUNTIFS(Sources!$A$5:$A$404,A14,Sources!$F$5:$F$404,TRUE)=0),"NEEDS SOURCE",IF(AND(Q14="approved",COUNTIFS(Images!$A$5:$A$304,A14,Images!$H$5:$H$304,TRUE,Images!$I$5:$I$304,"approved")&lt;&gt;1),"NEEDS PRIMARY IMAGE","OK"))))</x:f>
        <x:v>OK</x:v>
      </x:c>
    </x:row>
    <x:row r="15">
      <x:c r="A15" s="28" t="str">
        <x:v>ramen</x:v>
      </x:c>
      <x:c r="B15" s="28" t="str">
        <x:v>Ramen</x:v>
      </x:c>
      <x:c r="C15" s="28"/>
      <x:c r="D15" s="28" t="str">
        <x:v>JP</x:v>
      </x:c>
      <x:c r="E15" s="28" t="str">
        <x:v>east-asia</x:v>
      </x:c>
      <x:c r="F15" s="28" t="str">
        <x:v>noodle</x:v>
      </x:c>
      <x:c r="G15" s="28" t="str">
        <x:v>comforting</x:v>
      </x:c>
      <x:c r="H15" s="28"/>
      <x:c r="I15" s="28"/>
      <x:c r="J15" s="28" t="str">
        <x:v>savory</x:v>
      </x:c>
      <x:c r="K15" s="28" t="str">
        <x:v>umami</x:v>
      </x:c>
      <x:c r="L15" s="28"/>
      <x:c r="M15" s="28"/>
      <x:c r="N15" s="28" t="n">
        <x:v>1</x:v>
      </x:c>
      <x:c r="O15" s="28" t="str">
        <x:v>Japanese wheat noodles served in a savory broth with varied regional toppings.</x:v>
      </x:c>
      <x:c r="P15" s="28" t="str">
        <x:v>Ramen is a Japanese noodle dish built around Chinese-style alkaline wheat noodles in a hot broth. Common styles use soy, miso, salt, or pork-based broths with toppings such as pork, nori, bamboo shoots, and scallions.</x:v>
      </x:c>
      <x:c r="Q15" s="28" t="str">
        <x:v>needs-review</x:v>
      </x:c>
      <x:c r="R15" s="28" t="str">
        <x:v>New batch candidate. Familiarity/adventure level is a Nom heuristic for the target audience.</x:v>
      </x:c>
      <x:c r="S15" s="28" t="str">
        <x:f>IF(A15="","",IF(COUNTIF($A$5:$A$205,A15)&gt;1,"DUPLICATE ID",IF(AND(Q15="approved",COUNTIFS(Sources!$A$5:$A$404,A15,Sources!$F$5:$F$404,TRUE)=0),"NEEDS SOURCE",IF(AND(Q15="approved",COUNTIFS(Images!$A$5:$A$304,A15,Images!$H$5:$H$304,TRUE,Images!$I$5:$I$304,"approved")&lt;&gt;1),"NEEDS PRIMARY IMAGE","OK"))))</x:f>
        <x:v>OK</x:v>
      </x:c>
    </x:row>
    <x:row r="16">
      <x:c r="A16" s="28" t="str">
        <x:v>bibimbap</x:v>
      </x:c>
      <x:c r="B16" s="28" t="str">
        <x:v>Bibimbap</x:v>
      </x:c>
      <x:c r="C16" s="28" t="str">
        <x:v>Bi Bim Bap|Bi Bim Bop</x:v>
      </x:c>
      <x:c r="D16" s="28" t="str">
        <x:v>KR</x:v>
      </x:c>
      <x:c r="E16" s="28" t="str">
        <x:v>east-asia</x:v>
      </x:c>
      <x:c r="F16" s="28" t="str">
        <x:v>rice</x:v>
      </x:c>
      <x:c r="G16" s="28" t="str">
        <x:v>fresh</x:v>
      </x:c>
      <x:c r="H16" s="28" t="str">
        <x:v>spicy</x:v>
      </x:c>
      <x:c r="I16" s="28"/>
      <x:c r="J16" s="28" t="str">
        <x:v>savory</x:v>
      </x:c>
      <x:c r="K16" s="28" t="str">
        <x:v>umami</x:v>
      </x:c>
      <x:c r="L16" s="28"/>
      <x:c r="M16" s="28"/>
      <x:c r="N16" s="28" t="n">
        <x:v>1</x:v>
      </x:c>
      <x:c r="O16" s="28" t="str">
        <x:v>Korean rice topped with seasoned vegetables, gochujang, and often egg or beef.</x:v>
      </x:c>
      <x:c r="P16" s="28" t="str">
        <x:v>Bibimbap is a Korean rice dish topped with seasoned vegetables and gochujang, often with egg and sliced meat. The ingredients are mixed together before eating, with regional versions found across Korea.</x:v>
      </x:c>
      <x:c r="Q16" s="28" t="str">
        <x:v>needs-review</x:v>
      </x:c>
      <x:c r="R16" s="28" t="str">
        <x:v>New batch candidate. Spicy preference reflects common gochujang use but should be reviewed because heat varies by preparation.</x:v>
      </x:c>
      <x:c r="S16" s="28" t="str">
        <x:f>IF(A16="","",IF(COUNTIF($A$5:$A$205,A16)&gt;1,"DUPLICATE ID",IF(AND(Q16="approved",COUNTIFS(Sources!$A$5:$A$404,A16,Sources!$F$5:$F$404,TRUE)=0),"NEEDS SOURCE",IF(AND(Q16="approved",COUNTIFS(Images!$A$5:$A$304,A16,Images!$H$5:$H$304,TRUE,Images!$I$5:$I$304,"approved")&lt;&gt;1),"NEEDS PRIMARY IMAGE","OK"))))</x:f>
        <x:v>OK</x:v>
      </x:c>
    </x:row>
    <x:row r="17">
      <x:c r="A17" s="28" t="str">
        <x:v>yakitori</x:v>
      </x:c>
      <x:c r="B17" s="28" t="str">
        <x:v>Yakitori</x:v>
      </x:c>
      <x:c r="C17" s="28"/>
      <x:c r="D17" s="28" t="str">
        <x:v>JP</x:v>
      </x:c>
      <x:c r="E17" s="28" t="str">
        <x:v>east-asia</x:v>
      </x:c>
      <x:c r="F17" s="28" t="str">
        <x:v>grilled-protein</x:v>
      </x:c>
      <x:c r="G17" s="28" t="str">
        <x:v>comforting</x:v>
      </x:c>
      <x:c r="H17" s="28"/>
      <x:c r="I17" s="28"/>
      <x:c r="J17" s="28" t="str">
        <x:v>savory</x:v>
      </x:c>
      <x:c r="K17" s="28" t="str">
        <x:v>smoky</x:v>
      </x:c>
      <x:c r="L17" s="28" t="str">
        <x:v>charred</x:v>
      </x:c>
      <x:c r="M17" s="28"/>
      <x:c r="N17" s="28" t="n">
        <x:v>1</x:v>
      </x:c>
      <x:c r="O17" s="28" t="str">
        <x:v>Japanese skewered chicken grilled over charcoal and seasoned with salt or tare.</x:v>
      </x:c>
      <x:c r="P17" s="28" t="str">
        <x:v>Yakitori is Japanese skewered chicken grilled over charcoal, with cuts ranging from thigh and breast to other parts. It is typically seasoned with salt or tare, a sweet-savory soy-based glaze.</x:v>
      </x:c>
      <x:c r="Q17" s="28" t="str">
        <x:v>needs-review</x:v>
      </x:c>
      <x:c r="R17" s="28" t="str">
        <x:v>New batch candidate. Review preference-flavor assignment before production.</x:v>
      </x:c>
      <x:c r="S17" s="28" t="str">
        <x:f>IF(A17="","",IF(COUNTIF($A$5:$A$205,A17)&gt;1,"DUPLICATE ID",IF(AND(Q17="approved",COUNTIFS(Sources!$A$5:$A$404,A17,Sources!$F$5:$F$404,TRUE)=0),"NEEDS SOURCE",IF(AND(Q17="approved",COUNTIFS(Images!$A$5:$A$304,A17,Images!$H$5:$H$304,TRUE,Images!$I$5:$I$304,"approved")&lt;&gt;1),"NEEDS PRIMARY IMAGE","OK"))))</x:f>
        <x:v>OK</x:v>
      </x:c>
    </x:row>
    <x:row r="18">
      <x:c r="A18" s="28" t="str">
        <x:v>biryani</x:v>
      </x:c>
      <x:c r="B18" s="28" t="str">
        <x:v>Biryani</x:v>
      </x:c>
      <x:c r="C18" s="28"/>
      <x:c r="D18" s="28" t="str">
        <x:v>IN</x:v>
      </x:c>
      <x:c r="E18" s="28" t="str">
        <x:v>south-asia</x:v>
      </x:c>
      <x:c r="F18" s="28" t="str">
        <x:v>rice</x:v>
      </x:c>
      <x:c r="G18" s="28" t="str">
        <x:v>rich</x:v>
      </x:c>
      <x:c r="H18" s="28"/>
      <x:c r="I18" s="28"/>
      <x:c r="J18" s="28" t="str">
        <x:v>aromatic</x:v>
      </x:c>
      <x:c r="K18" s="28" t="str">
        <x:v>savory</x:v>
      </x:c>
      <x:c r="L18" s="28"/>
      <x:c r="M18" s="28"/>
      <x:c r="N18" s="28" t="n">
        <x:v>1</x:v>
      </x:c>
      <x:c r="O18" s="28" t="str">
        <x:v>Layered South Asian rice with spices, aromatics, and meat or vegetables.</x:v>
      </x:c>
      <x:c r="P18" s="28" t="str">
        <x:v>Biryani is a South Asian rice dish made with fragrant rice, spices, and combinations of meat, seafood, eggs, or vegetables. Numerous regional styles exist across the Indian subcontinent.</x:v>
      </x:c>
      <x:c r="Q18" s="28" t="str">
        <x:v>needs-review</x:v>
      </x:c>
      <x:c r="R18" s="28" t="str">
        <x:v>Regional dish with many national traditions; country code uses India for catalog grouping and should not imply exclusive origin. Verified source check: completed for pilot.</x:v>
      </x:c>
      <x:c r="S18" s="28" t="str">
        <x:f>IF(A18="","",IF(COUNTIF($A$5:$A$205,A18)&gt;1,"DUPLICATE ID",IF(AND(Q18="approved",COUNTIFS(Sources!$A$5:$A$404,A18,Sources!$F$5:$F$404,TRUE)=0),"NEEDS SOURCE",IF(AND(Q18="approved",COUNTIFS(Images!$A$5:$A$304,A18,Images!$H$5:$H$304,TRUE,Images!$I$5:$I$304,"approved")&lt;&gt;1),"NEEDS PRIMARY IMAGE","OK"))))</x:f>
        <x:v>OK</x:v>
      </x:c>
    </x:row>
    <x:row r="19">
      <x:c r="A19" s="28" t="str">
        <x:v>masala-dosa</x:v>
      </x:c>
      <x:c r="B19" s="28" t="str">
        <x:v>Masala Dosa</x:v>
      </x:c>
      <x:c r="C19" s="28" t="str">
        <x:v>Masala Dosai</x:v>
      </x:c>
      <x:c r="D19" s="28" t="str">
        <x:v>IN</x:v>
      </x:c>
      <x:c r="E19" s="28" t="str">
        <x:v>south-asia</x:v>
      </x:c>
      <x:c r="F19" s="28" t="str">
        <x:v>handheld</x:v>
      </x:c>
      <x:c r="G19" s="28" t="str">
        <x:v>crispy</x:v>
      </x:c>
      <x:c r="H19" s="28" t="str">
        <x:v>tangy</x:v>
      </x:c>
      <x:c r="I19" s="28"/>
      <x:c r="J19" s="28" t="str">
        <x:v>savory</x:v>
      </x:c>
      <x:c r="K19" s="28" t="str">
        <x:v>aromatic</x:v>
      </x:c>
      <x:c r="L19" s="28"/>
      <x:c r="M19" s="28"/>
      <x:c r="N19" s="28" t="n">
        <x:v>2</x:v>
      </x:c>
      <x:c r="O19" s="28" t="str">
        <x:v>Crisp South Indian dosa filled with spiced potato and served with chutney and sambar.</x:v>
      </x:c>
      <x:c r="P19" s="28" t="str">
        <x:v>Masala dosa is a South Indian dish of a thin fermented rice-and-legume crepe wrapped around spiced potato curry. It is commonly served hot with chutneys and sambar.</x:v>
      </x:c>
      <x:c r="Q19" s="28" t="str">
        <x:v>needs-review</x:v>
      </x:c>
      <x:c r="R19" s="28" t="str">
        <x:v>Classified as handheld for Nom because the filled crepe functions as the primary portable format; review category if needed.</x:v>
      </x:c>
      <x:c r="S19" s="28" t="str">
        <x:f>IF(A19="","",IF(COUNTIF($A$5:$A$205,A19)&gt;1,"DUPLICATE ID",IF(AND(Q19="approved",COUNTIFS(Sources!$A$5:$A$404,A19,Sources!$F$5:$F$404,TRUE)=0),"NEEDS SOURCE",IF(AND(Q19="approved",COUNTIFS(Images!$A$5:$A$304,A19,Images!$H$5:$H$304,TRUE,Images!$I$5:$I$304,"approved")&lt;&gt;1),"NEEDS PRIMARY IMAGE","OK"))))</x:f>
        <x:v>OK</x:v>
      </x:c>
    </x:row>
    <x:row r="20">
      <x:c r="A20" s="28" t="str">
        <x:v>mansaf</x:v>
      </x:c>
      <x:c r="B20" s="28" t="str">
        <x:v>Mansaf</x:v>
      </x:c>
      <x:c r="C20" s="28"/>
      <x:c r="D20" s="28" t="str">
        <x:v>JO</x:v>
      </x:c>
      <x:c r="E20" s="28" t="str">
        <x:v>middle-east</x:v>
      </x:c>
      <x:c r="F20" s="28" t="str">
        <x:v>rice</x:v>
      </x:c>
      <x:c r="G20" s="28" t="str">
        <x:v>rich</x:v>
      </x:c>
      <x:c r="H20" s="28" t="str">
        <x:v>tangy</x:v>
      </x:c>
      <x:c r="I20" s="28"/>
      <x:c r="J20" s="28" t="str">
        <x:v>savory</x:v>
      </x:c>
      <x:c r="K20" s="28" t="str">
        <x:v>creamy</x:v>
      </x:c>
      <x:c r="L20" s="28" t="str">
        <x:v>aromatic</x:v>
      </x:c>
      <x:c r="M20" s="28"/>
      <x:c r="N20" s="28" t="n">
        <x:v>3</x:v>
      </x:c>
      <x:c r="O20" s="28" t="str">
        <x:v>Jordanian lamb with jameed yogurt sauce, rice or bulgur, and flatbread.</x:v>
      </x:c>
      <x:c r="P20" s="28" t="str">
        <x:v>Mansaf is a traditional Jordanian dish of lamb cooked with jameed, a fermented dried yogurt, and served with rice or bulgur over flatbread. It is strongly associated with Jordanian food culture.</x:v>
      </x:c>
      <x:c r="Q20" s="28" t="str">
        <x:v>needs-review</x:v>
      </x:c>
      <x:c r="R20" s="28" t="str">
        <x:v>New batch candidate. Tangy preference reflects jameed's fermented yogurt character and should be human-reviewed.</x:v>
      </x:c>
      <x:c r="S20" s="28" t="str">
        <x:f>IF(A20="","",IF(COUNTIF($A$5:$A$205,A20)&gt;1,"DUPLICATE ID",IF(AND(Q20="approved",COUNTIFS(Sources!$A$5:$A$404,A20,Sources!$F$5:$F$404,TRUE)=0),"NEEDS SOURCE",IF(AND(Q20="approved",COUNTIFS(Images!$A$5:$A$304,A20,Images!$H$5:$H$304,TRUE,Images!$I$5:$I$304,"approved")&lt;&gt;1),"NEEDS PRIMARY IMAGE","OK"))))</x:f>
        <x:v>OK</x:v>
      </x:c>
    </x:row>
    <x:row r="21">
      <x:c r="A21" s="28" t="str">
        <x:v>shish-taouk</x:v>
      </x:c>
      <x:c r="B21" s="28" t="str">
        <x:v>Shish Taouk</x:v>
      </x:c>
      <x:c r="C21" s="28" t="str">
        <x:v>Shish Tawook|Tavuk Şiş</x:v>
      </x:c>
      <x:c r="D21" s="28" t="str">
        <x:v>LB</x:v>
      </x:c>
      <x:c r="E21" s="28" t="str">
        <x:v>middle-east</x:v>
      </x:c>
      <x:c r="F21" s="28" t="str">
        <x:v>grilled-protein</x:v>
      </x:c>
      <x:c r="G21" s="28" t="str">
        <x:v>tangy</x:v>
      </x:c>
      <x:c r="H21" s="28"/>
      <x:c r="I21" s="28"/>
      <x:c r="J21" s="28" t="str">
        <x:v>savory</x:v>
      </x:c>
      <x:c r="K21" s="28" t="str">
        <x:v>charred</x:v>
      </x:c>
      <x:c r="L21" s="28" t="str">
        <x:v>garlicky</x:v>
      </x:c>
      <x:c r="M21" s="28"/>
      <x:c r="N21" s="28" t="n">
        <x:v>1</x:v>
      </x:c>
      <x:c r="O21" s="28" t="str">
        <x:v>Marinated chicken skewers grilled until charred, common across Middle Eastern cuisines.</x:v>
      </x:c>
      <x:c r="P21" s="28" t="str">
        <x:v>Shish taouk is marinated chicken cooked on skewers and grilled, widely eaten across the Middle East and linked to Ottoman culinary traditions. Marinades commonly include garlic, citrus, yogurt, or spices.</x:v>
      </x:c>
      <x:c r="Q21" s="28" t="str">
        <x:v>needs-review</x:v>
      </x:c>
      <x:c r="R21" s="28" t="str">
        <x:v>Regional dish rather than exclusively Lebanese; country code uses Lebanon for catalog grouping and requires review.</x:v>
      </x:c>
      <x:c r="S21" s="28" t="str">
        <x:f>IF(A21="","",IF(COUNTIF($A$5:$A$205,A21)&gt;1,"DUPLICATE ID",IF(AND(Q21="approved",COUNTIFS(Sources!$A$5:$A$404,A21,Sources!$F$5:$F$404,TRUE)=0),"NEEDS SOURCE",IF(AND(Q21="approved",COUNTIFS(Images!$A$5:$A$304,A21,Images!$H$5:$H$304,TRUE,Images!$I$5:$I$304,"approved")&lt;&gt;1),"NEEDS PRIMARY IMAGE","OK"))))</x:f>
        <x:v>OK</x:v>
      </x:c>
    </x:row>
    <x:row r="22">
      <x:c r="A22" s="28" t="str">
        <x:v>harira</x:v>
      </x:c>
      <x:c r="B22" s="28" t="str">
        <x:v>Harira</x:v>
      </x:c>
      <x:c r="C22" s="28"/>
      <x:c r="D22" s="28" t="str">
        <x:v>MA</x:v>
      </x:c>
      <x:c r="E22" s="28" t="str">
        <x:v>africa</x:v>
      </x:c>
      <x:c r="F22" s="28" t="str">
        <x:v>soup-broth</x:v>
      </x:c>
      <x:c r="G22" s="28" t="str">
        <x:v>comforting</x:v>
      </x:c>
      <x:c r="H22" s="28"/>
      <x:c r="I22" s="28"/>
      <x:c r="J22" s="28" t="str">
        <x:v>savory</x:v>
      </x:c>
      <x:c r="K22" s="28" t="str">
        <x:v>aromatic</x:v>
      </x:c>
      <x:c r="L22" s="28" t="str">
        <x:v>earthy</x:v>
      </x:c>
      <x:c r="M22" s="28"/>
      <x:c r="N22" s="28" t="n">
        <x:v>2</x:v>
      </x:c>
      <x:c r="O22" s="28" t="str">
        <x:v>Moroccan tomato, lentil, and chickpea soup often enriched with meat and vermicelli.</x:v>
      </x:c>
      <x:c r="P22" s="28" t="str">
        <x:v>Harira is a North African soup especially associated with Morocco and Algeria, combining tomatoes, lentils, chickpeas, aromatics, and often meat, rice, or vermicelli. It is widely served during Ramadan.</x:v>
      </x:c>
      <x:c r="Q22" s="28" t="str">
        <x:v>needs-review</x:v>
      </x:c>
      <x:c r="R22" s="28" t="str">
        <x:v>Country code uses Morocco for catalog grouping while acknowledging the dish is also traditional in Algeria.</x:v>
      </x:c>
      <x:c r="S22" s="28" t="str">
        <x:f>IF(A22="","",IF(COUNTIF($A$5:$A$205,A22)&gt;1,"DUPLICATE ID",IF(AND(Q22="approved",COUNTIFS(Sources!$A$5:$A$404,A22,Sources!$F$5:$F$404,TRUE)=0),"NEEDS SOURCE",IF(AND(Q22="approved",COUNTIFS(Images!$A$5:$A$304,A22,Images!$H$5:$H$304,TRUE,Images!$I$5:$I$304,"approved")&lt;&gt;1),"NEEDS PRIMARY IMAGE","OK"))))</x:f>
        <x:v>OK</x:v>
      </x:c>
    </x:row>
    <x:row r="23">
      <x:c r="A23" s="28" t="str">
        <x:v>suya</x:v>
      </x:c>
      <x:c r="B23" s="28" t="str">
        <x:v>Suya</x:v>
      </x:c>
      <x:c r="C23" s="28" t="str">
        <x:v>Tsire</x:v>
      </x:c>
      <x:c r="D23" s="28" t="str">
        <x:v>NG</x:v>
      </x:c>
      <x:c r="E23" s="28" t="str">
        <x:v>africa</x:v>
      </x:c>
      <x:c r="F23" s="28" t="str">
        <x:v>grilled-protein</x:v>
      </x:c>
      <x:c r="G23" s="28" t="str">
        <x:v>spicy</x:v>
      </x:c>
      <x:c r="H23" s="28"/>
      <x:c r="I23" s="28"/>
      <x:c r="J23" s="28" t="str">
        <x:v>smoky</x:v>
      </x:c>
      <x:c r="K23" s="28" t="str">
        <x:v>nutty</x:v>
      </x:c>
      <x:c r="L23" s="28" t="str">
        <x:v>charred</x:v>
      </x:c>
      <x:c r="M23" s="28"/>
      <x:c r="N23" s="28" t="n">
        <x:v>2</x:v>
      </x:c>
      <x:c r="O23" s="28" t="str">
        <x:v>Nigerian grilled meat skewers coated in a spicy, nutty yaji seasoning.</x:v>
      </x:c>
      <x:c r="P23" s="28" t="str">
        <x:v>Suya is a Hausa-style Nigerian street food of thinly sliced meat coated with yaji, a spicy seasoning that commonly includes ground peanut cake, chili, ginger, and other spices, then grilled on skewers.</x:v>
      </x:c>
      <x:c r="Q23" s="28" t="str">
        <x:v>needs-review</x:v>
      </x:c>
      <x:c r="R23" s="28" t="str">
        <x:v>New batch candidate. Peanut/nut descriptor reflects common yaji formulations.</x:v>
      </x:c>
      <x:c r="S23" s="28" t="str">
        <x:f>IF(A23="","",IF(COUNTIF($A$5:$A$205,A23)&gt;1,"DUPLICATE ID",IF(AND(Q23="approved",COUNTIFS(Sources!$A$5:$A$404,A23,Sources!$F$5:$F$404,TRUE)=0),"NEEDS SOURCE",IF(AND(Q23="approved",COUNTIFS(Images!$A$5:$A$304,A23,Images!$H$5:$H$304,TRUE,Images!$I$5:$I$304,"approved")&lt;&gt;1),"NEEDS PRIMARY IMAGE","OK"))))</x:f>
        <x:v>OK</x:v>
      </x:c>
    </x:row>
    <x:row r="24">
      <x:c r="A24" s="28" t="str">
        <x:v>carbonara</x:v>
      </x:c>
      <x:c r="B24" s="28" t="str">
        <x:v>Spaghetti Carbonara</x:v>
      </x:c>
      <x:c r="C24" s="28" t="str">
        <x:v>Carbonara|Pasta alla Carbonara</x:v>
      </x:c>
      <x:c r="D24" s="28" t="str">
        <x:v>IT</x:v>
      </x:c>
      <x:c r="E24" s="28" t="str">
        <x:v>europe</x:v>
      </x:c>
      <x:c r="F24" s="28" t="str">
        <x:v>noodle</x:v>
      </x:c>
      <x:c r="G24" s="28" t="str">
        <x:v>rich</x:v>
      </x:c>
      <x:c r="H24" s="28" t="str">
        <x:v>comforting</x:v>
      </x:c>
      <x:c r="I24" s="28"/>
      <x:c r="J24" s="28" t="str">
        <x:v>creamy</x:v>
      </x:c>
      <x:c r="K24" s="28" t="str">
        <x:v>savory</x:v>
      </x:c>
      <x:c r="L24" s="28"/>
      <x:c r="M24" s="28"/>
      <x:c r="N24" s="28" t="n">
        <x:v>1</x:v>
      </x:c>
      <x:c r="O24" s="28" t="str">
        <x:v>Roman pasta with egg, cured pork, hard cheese, and black pepper.</x:v>
      </x:c>
      <x:c r="P24" s="28" t="str">
        <x:v>Carbonara is a pasta dish associated with Lazio and Rome, typically made with pasta, cured pork such as guanciale, eggs, hard cheese, salt, and black pepper, creating a rich sauce without cream.</x:v>
      </x:c>
      <x:c r="Q24" s="28" t="str">
        <x:v>needs-review</x:v>
      </x:c>
      <x:c r="R24" s="28" t="str">
        <x:v>New batch candidate. 'Creamy' is a texture descriptor; traditional carbonara does not require added cream.</x:v>
      </x:c>
      <x:c r="S24" s="28" t="str">
        <x:f>IF(A24="","",IF(COUNTIF($A$5:$A$205,A24)&gt;1,"DUPLICATE ID",IF(AND(Q24="approved",COUNTIFS(Sources!$A$5:$A$404,A24,Sources!$F$5:$F$404,TRUE)=0),"NEEDS SOURCE",IF(AND(Q24="approved",COUNTIFS(Images!$A$5:$A$304,A24,Images!$H$5:$H$304,TRUE,Images!$I$5:$I$304,"approved")&lt;&gt;1),"NEEDS PRIMARY IMAGE","OK"))))</x:f>
        <x:v>OK</x:v>
      </x:c>
    </x:row>
    <x:row r="25">
      <x:c r="A25" s="28" t="str">
        <x:v>french-onion-soup</x:v>
      </x:c>
      <x:c r="B25" s="28" t="str">
        <x:v>French Onion Soup</x:v>
      </x:c>
      <x:c r="C25" s="28" t="str">
        <x:v>Soupe à l'oignon</x:v>
      </x:c>
      <x:c r="D25" s="28" t="str">
        <x:v>FR</x:v>
      </x:c>
      <x:c r="E25" s="28" t="str">
        <x:v>europe</x:v>
      </x:c>
      <x:c r="F25" s="28" t="str">
        <x:v>soup-broth</x:v>
      </x:c>
      <x:c r="G25" s="28" t="str">
        <x:v>rich</x:v>
      </x:c>
      <x:c r="H25" s="28" t="str">
        <x:v>comforting</x:v>
      </x:c>
      <x:c r="I25" s="28"/>
      <x:c r="J25" s="28" t="str">
        <x:v>savory</x:v>
      </x:c>
      <x:c r="K25" s="28" t="str">
        <x:v>buttery</x:v>
      </x:c>
      <x:c r="L25" s="28"/>
      <x:c r="M25" s="28"/>
      <x:c r="N25" s="28" t="n">
        <x:v>1</x:v>
      </x:c>
      <x:c r="O25" s="28" t="str">
        <x:v>French onion soup with deeply cooked onions, broth, bread, and melted cheese.</x:v>
      </x:c>
      <x:c r="P25" s="28" t="str">
        <x:v>French onion soup is made from slowly cooked onions and broth, commonly finished with bread or croutons and grated cheese that is browned on top. The modern version is strongly associated with France.</x:v>
      </x:c>
      <x:c r="Q25" s="28" t="str">
        <x:v>needs-review</x:v>
      </x:c>
      <x:c r="R25" s="28" t="str">
        <x:v>New batch candidate. Familiarity/adventure level is a Nom heuristic.</x:v>
      </x:c>
      <x:c r="S25" s="28" t="str">
        <x:f>IF(A25="","",IF(COUNTIF($A$5:$A$205,A25)&gt;1,"DUPLICATE ID",IF(AND(Q25="approved",COUNTIFS(Sources!$A$5:$A$404,A25,Sources!$F$5:$F$404,TRUE)=0),"NEEDS SOURCE",IF(AND(Q25="approved",COUNTIFS(Images!$A$5:$A$304,A25,Images!$H$5:$H$304,TRUE,Images!$I$5:$I$304,"approved")&lt;&gt;1),"NEEDS PRIMARY IMAGE","OK"))))</x:f>
        <x:v>OK</x:v>
      </x:c>
    </x:row>
    <x:row r="26">
      <x:c r="A26" s="28" t="str">
        <x:v>tacos-al-pastor</x:v>
      </x:c>
      <x:c r="B26" s="28" t="str">
        <x:v>Tacos al Pastor</x:v>
      </x:c>
      <x:c r="C26" s="28" t="str">
        <x:v>Al Pastor|Tacos de Trompo</x:v>
      </x:c>
      <x:c r="D26" s="28" t="str">
        <x:v>MX</x:v>
      </x:c>
      <x:c r="E26" s="28" t="str">
        <x:v>latin-america</x:v>
      </x:c>
      <x:c r="F26" s="28" t="str">
        <x:v>handheld</x:v>
      </x:c>
      <x:c r="G26" s="28" t="str">
        <x:v>fresh</x:v>
      </x:c>
      <x:c r="H26" s="28"/>
      <x:c r="I26" s="28"/>
      <x:c r="J26" s="28" t="str">
        <x:v>savory</x:v>
      </x:c>
      <x:c r="K26" s="28" t="str">
        <x:v>smoky</x:v>
      </x:c>
      <x:c r="L26" s="28" t="str">
        <x:v>sweet</x:v>
      </x:c>
      <x:c r="M26" s="28"/>
      <x:c r="N26" s="28" t="n">
        <x:v>2</x:v>
      </x:c>
      <x:c r="O26" s="28" t="str">
        <x:v>Mexican tacos with spit-grilled marinated pork, onion, cilantro, and pineapple.</x:v>
      </x:c>
      <x:c r="P26" s="28" t="str">
        <x:v>Tacos al pastor use thin slices of marinated pork cooked on a vertical spit, a method influenced by Lebanese shawarma traditions in Mexico. They are commonly served in tortillas with onion, cilantro, and pineapple.</x:v>
      </x:c>
      <x:c r="Q26" s="28" t="str">
        <x:v>needs-review</x:v>
      </x:c>
      <x:c r="R26" s="28" t="str">
        <x:v>New batch candidate. Pineapple is common but not universal; review flavor assignments before production. Verified source check: completed for pilot.</x:v>
      </x:c>
      <x:c r="S26" s="28" t="str">
        <x:f>IF(A26="","",IF(COUNTIF($A$5:$A$205,A26)&gt;1,"DUPLICATE ID",IF(AND(Q26="approved",COUNTIFS(Sources!$A$5:$A$404,A26,Sources!$F$5:$F$404,TRUE)=0),"NEEDS SOURCE",IF(AND(Q26="approved",COUNTIFS(Images!$A$5:$A$304,A26,Images!$H$5:$H$304,TRUE,Images!$I$5:$I$304,"approved")&lt;&gt;1),"NEEDS PRIMARY IMAGE","OK"))))</x:f>
        <x:v>OK</x:v>
      </x:c>
    </x:row>
    <x:row r="27">
      <x:c r="A27" s="28" t="str">
        <x:v>sopa-de-lima</x:v>
      </x:c>
      <x:c r="B27" s="28" t="str">
        <x:v>Sopa de Lima</x:v>
      </x:c>
      <x:c r="C27" s="28" t="str">
        <x:v>Lime Soup</x:v>
      </x:c>
      <x:c r="D27" s="28" t="str">
        <x:v>MX</x:v>
      </x:c>
      <x:c r="E27" s="28" t="str">
        <x:v>latin-america</x:v>
      </x:c>
      <x:c r="F27" s="28" t="str">
        <x:v>soup-broth</x:v>
      </x:c>
      <x:c r="G27" s="28" t="str">
        <x:v>fresh</x:v>
      </x:c>
      <x:c r="H27" s="28" t="str">
        <x:v>tangy</x:v>
      </x:c>
      <x:c r="I27" s="28" t="str">
        <x:v>crispy</x:v>
      </x:c>
      <x:c r="J27" s="28" t="str">
        <x:v>savory</x:v>
      </x:c>
      <x:c r="K27" s="28" t="str">
        <x:v>aromatic</x:v>
      </x:c>
      <x:c r="L27" s="28"/>
      <x:c r="M27" s="28"/>
      <x:c r="N27" s="28" t="n">
        <x:v>2</x:v>
      </x:c>
      <x:c r="O27" s="28" t="str">
        <x:v>Yucatecan chicken soup brightened with lime and topped with crisp tortilla strips.</x:v>
      </x:c>
      <x:c r="P27" s="28" t="str">
        <x:v>Sopa de lima is a traditional Yucatán soup made with chicken or other meat, aromatic broth, lime, and fried tortilla strips. Its defining character is a light, citrus-forward broth associated with Yucatecan cuisine.</x:v>
      </x:c>
      <x:c r="Q27" s="28" t="str">
        <x:v>needs-review</x:v>
      </x:c>
      <x:c r="R27" s="28" t="str">
        <x:v>New batch candidate. Keep image licensing review separate from factual approval.</x:v>
      </x:c>
      <x:c r="S27" s="28" t="str">
        <x:f>IF(A27="","",IF(COUNTIF($A$5:$A$205,A27)&gt;1,"DUPLICATE ID",IF(AND(Q27="approved",COUNTIFS(Sources!$A$5:$A$404,A27,Sources!$F$5:$F$404,TRUE)=0),"NEEDS SOURCE",IF(AND(Q27="approved",COUNTIFS(Images!$A$5:$A$304,A27,Images!$H$5:$H$304,TRUE,Images!$I$5:$I$304,"approved")&lt;&gt;1),"NEEDS PRIMARY IMAGE","OK"))))</x:f>
        <x:v>OK</x:v>
      </x:c>
    </x:row>
    <x:row r="28">
      <x:c r="A28" s="28" t="str">
        <x:v>jambalaya</x:v>
      </x:c>
      <x:c r="B28" s="28" t="str">
        <x:v>Jambalaya</x:v>
      </x:c>
      <x:c r="C28" s="28"/>
      <x:c r="D28" s="28" t="str">
        <x:v>US</x:v>
      </x:c>
      <x:c r="E28" s="28" t="str">
        <x:v>north-america</x:v>
      </x:c>
      <x:c r="F28" s="28" t="str">
        <x:v>rice</x:v>
      </x:c>
      <x:c r="G28" s="28" t="str">
        <x:v>comforting</x:v>
      </x:c>
      <x:c r="H28" s="28"/>
      <x:c r="I28" s="28"/>
      <x:c r="J28" s="28" t="str">
        <x:v>savory</x:v>
      </x:c>
      <x:c r="K28" s="28" t="str">
        <x:v>smoky</x:v>
      </x:c>
      <x:c r="L28" s="28" t="str">
        <x:v>aromatic</x:v>
      </x:c>
      <x:c r="M28" s="28"/>
      <x:c r="N28" s="28" t="n">
        <x:v>1</x:v>
      </x:c>
      <x:c r="O28" s="28" t="str">
        <x:v>Louisiana rice cooked with meat or seafood, vegetables, stock, and spices.</x:v>
      </x:c>
      <x:c r="P28" s="28" t="str">
        <x:v>Jambalaya is a Louisiana rice dish combining rice with meat or seafood, vegetables, stock, and seasonings. It developed through African, Spanish, and French culinary influences in the region.</x:v>
      </x:c>
      <x:c r="Q28" s="28" t="str">
        <x:v>needs-review</x:v>
      </x:c>
      <x:c r="R28" s="28" t="str">
        <x:v>New batch candidate. Variants differ widely between Creole and Cajun traditions. Retag resolution applied: preference flavor set to 'comforting'.</x:v>
      </x:c>
      <x:c r="S28" s="28" t="str">
        <x:f>IF(A28="","",IF(COUNTIF($A$5:$A$205,A28)&gt;1,"DUPLICATE ID",IF(AND(Q28="approved",COUNTIFS(Sources!$A$5:$A$404,A28,Sources!$F$5:$F$404,TRUE)=0),"NEEDS SOURCE",IF(AND(Q28="approved",COUNTIFS(Images!$A$5:$A$304,A28,Images!$H$5:$H$304,TRUE,Images!$I$5:$I$304,"approved")&lt;&gt;1),"NEEDS PRIMARY IMAGE","OK"))))</x:f>
        <x:v>OK</x:v>
      </x:c>
    </x:row>
    <x:row r="29">
      <x:c r="A29" s="28" t="str">
        <x:v>lobster-roll</x:v>
      </x:c>
      <x:c r="B29" s="28" t="str">
        <x:v>Lobster Roll</x:v>
      </x:c>
      <x:c r="C29" s="28"/>
      <x:c r="D29" s="28" t="str">
        <x:v>US</x:v>
      </x:c>
      <x:c r="E29" s="28" t="str">
        <x:v>north-america</x:v>
      </x:c>
      <x:c r="F29" s="28" t="str">
        <x:v>handheld</x:v>
      </x:c>
      <x:c r="G29" s="28" t="str">
        <x:v>rich</x:v>
      </x:c>
      <x:c r="H29" s="28"/>
      <x:c r="I29" s="28"/>
      <x:c r="J29" s="28" t="str">
        <x:v>savory</x:v>
      </x:c>
      <x:c r="K29" s="28" t="str">
        <x:v>buttery</x:v>
      </x:c>
      <x:c r="L29" s="28" t="str">
        <x:v>tender</x:v>
      </x:c>
      <x:c r="M29" s="28"/>
      <x:c r="N29" s="28" t="n">
        <x:v>1</x:v>
      </x:c>
      <x:c r="O29" s="28" t="str">
        <x:v>New England lobster served in a grilled split-top roll with butter or mayonnaise.</x:v>
      </x:c>
      <x:c r="P29" s="28" t="str">
        <x:v>A lobster roll is a New England sandwich of lobster meat served in a grilled hot-dog-style roll. Regional versions may use warm drawn butter or chilled lobster mixed or dressed with mayonnaise.</x:v>
      </x:c>
      <x:c r="Q29" s="28" t="str">
        <x:v>needs-review</x:v>
      </x:c>
      <x:c r="R29" s="28" t="str">
        <x:v>New batch candidate. Regional styles differ between Maine and Connecticut preparations.</x:v>
      </x:c>
      <x:c r="S29" s="28" t="str">
        <x:f>IF(A29="","",IF(COUNTIF($A$5:$A$205,A29)&gt;1,"DUPLICATE ID",IF(AND(Q29="approved",COUNTIFS(Sources!$A$5:$A$404,A29,Sources!$F$5:$F$404,TRUE)=0),"NEEDS SOURCE",IF(AND(Q29="approved",COUNTIFS(Images!$A$5:$A$304,A29,Images!$H$5:$H$304,TRUE,Images!$I$5:$I$304,"approved")&lt;&gt;1),"NEEDS PRIMARY IMAGE","OK"))))</x:f>
        <x:v>OK</x:v>
      </x:c>
    </x:row>
    <x:row r="30">
      <x:c r="A30" s="28" t="str">
        <x:v>udon</x:v>
      </x:c>
      <x:c r="B30" s="28" t="str">
        <x:v>Udon</x:v>
      </x:c>
      <x:c r="C30" s="28"/>
      <x:c r="D30" s="28" t="str">
        <x:v>JP</x:v>
      </x:c>
      <x:c r="E30" s="28" t="str">
        <x:v>east-asia</x:v>
      </x:c>
      <x:c r="F30" s="28" t="str">
        <x:v>noodle</x:v>
      </x:c>
      <x:c r="G30" s="28" t="str">
        <x:v>comforting</x:v>
      </x:c>
      <x:c r="H30" s="28"/>
      <x:c r="I30" s="28"/>
      <x:c r="J30" s="28" t="str">
        <x:v>savory</x:v>
      </x:c>
      <x:c r="K30" s="28" t="str">
        <x:v>chewy</x:v>
      </x:c>
      <x:c r="L30" s="28" t="str">
        <x:v>light</x:v>
      </x:c>
      <x:c r="M30" s="28"/>
      <x:c r="N30" s="28" t="n">
        <x:v>1</x:v>
      </x:c>
      <x:c r="O30" s="28" t="str">
        <x:v>Thick Japanese wheat noodles served hot in broth or chilled with dipping sauce.</x:v>
      </x:c>
      <x:c r="P30" s="28" t="str">
        <x:v>Udon is a Japanese noodle dish made with thick wheat noodles. It may be served in a hot savory broth, chilled with dipping sauce, or topped with ingredients such as scallions, tempura, or tofu.</x:v>
      </x:c>
      <x:c r="Q30" s="28" t="str">
        <x:v>needs-review</x:v>
      </x:c>
      <x:c r="R30" s="28" t="str">
        <x:v>Batch 2 candidate. Familiarity and flavor assignments are Nom heuristics.</x:v>
      </x:c>
      <x:c r="S30" s="28" t="str">
        <x:f>IF(A30="","",IF(COUNTIF($A$5:$A$205,A30)&gt;1,"DUPLICATE ID",IF(AND(Q30="approved",COUNTIFS(Sources!$A$5:$A$404,A30,Sources!$F$5:$F$404,TRUE)=0),"NEEDS SOURCE",IF(AND(Q30="approved",COUNTIFS(Images!$A$5:$A$304,A30,Images!$H$5:$H$304,TRUE,Images!$I$5:$I$304,"approved")&lt;&gt;1),"NEEDS PRIMARY IMAGE","OK"))))</x:f>
        <x:v>OK</x:v>
      </x:c>
    </x:row>
    <x:row r="31">
      <x:c r="A31" s="28" t="str">
        <x:v>kimchi-jjigae</x:v>
      </x:c>
      <x:c r="B31" s="28" t="str">
        <x:v>Kimchi-jjigae</x:v>
      </x:c>
      <x:c r="C31" s="28" t="str">
        <x:v>Kimchi Stew</x:v>
      </x:c>
      <x:c r="D31" s="28" t="str">
        <x:v>KR</x:v>
      </x:c>
      <x:c r="E31" s="28" t="str">
        <x:v>east-asia</x:v>
      </x:c>
      <x:c r="F31" s="28" t="str">
        <x:v>soup-broth</x:v>
      </x:c>
      <x:c r="G31" s="28" t="str">
        <x:v>spicy</x:v>
      </x:c>
      <x:c r="H31" s="28"/>
      <x:c r="I31" s="28"/>
      <x:c r="J31" s="28" t="str">
        <x:v>savory</x:v>
      </x:c>
      <x:c r="K31" s="28" t="str">
        <x:v>fermented</x:v>
      </x:c>
      <x:c r="L31" s="28" t="str">
        <x:v>umami</x:v>
      </x:c>
      <x:c r="M31" s="28"/>
      <x:c r="N31" s="28" t="n">
        <x:v>2</x:v>
      </x:c>
      <x:c r="O31" s="28" t="str">
        <x:v>Korean kimchi stew simmered with tofu, pork, scallions, and a deeply savory broth.</x:v>
      </x:c>
      <x:c r="P31" s="28" t="str">
        <x:v>Kimchi-jjigae is a Korean stew centered on aged kimchi, often simmered with pork, tofu, scallions, onions, and stock. The fermented kimchi gives the dish a spicy, sour, deeply savory character.</x:v>
      </x:c>
      <x:c r="Q31" s="28" t="str">
        <x:v>needs-review</x:v>
      </x:c>
      <x:c r="R31" s="28" t="str">
        <x:v>Batch 2 candidate. Richness varies by protein and preparation.</x:v>
      </x:c>
      <x:c r="S31" s="28" t="str">
        <x:f>IF(A31="","",IF(COUNTIF($A$5:$A$205,A31)&gt;1,"DUPLICATE ID",IF(AND(Q31="approved",COUNTIFS(Sources!$A$5:$A$404,A31,Sources!$F$5:$F$404,TRUE)=0),"NEEDS SOURCE",IF(AND(Q31="approved",COUNTIFS(Images!$A$5:$A$304,A31,Images!$H$5:$H$304,TRUE,Images!$I$5:$I$304,"approved")&lt;&gt;1),"NEEDS PRIMARY IMAGE","OK"))))</x:f>
        <x:v>OK</x:v>
      </x:c>
    </x:row>
    <x:row r="32">
      <x:c r="A32" s="28" t="str">
        <x:v>bulgogi</x:v>
      </x:c>
      <x:c r="B32" s="28" t="str">
        <x:v>Bulgogi</x:v>
      </x:c>
      <x:c r="C32" s="28"/>
      <x:c r="D32" s="28" t="str">
        <x:v>KR</x:v>
      </x:c>
      <x:c r="E32" s="28" t="str">
        <x:v>east-asia</x:v>
      </x:c>
      <x:c r="F32" s="28" t="str">
        <x:v>grilled-protein</x:v>
      </x:c>
      <x:c r="G32" s="28" t="str">
        <x:v>comforting</x:v>
      </x:c>
      <x:c r="H32" s="28" t="str">
        <x:v>rich</x:v>
      </x:c>
      <x:c r="I32" s="28"/>
      <x:c r="J32" s="28" t="str">
        <x:v>savory</x:v>
      </x:c>
      <x:c r="K32" s="28" t="str">
        <x:v>sweet</x:v>
      </x:c>
      <x:c r="L32" s="28" t="str">
        <x:v>tender</x:v>
      </x:c>
      <x:c r="M32" s="28"/>
      <x:c r="N32" s="28" t="n">
        <x:v>1</x:v>
      </x:c>
      <x:c r="O32" s="28" t="str">
        <x:v>Korean marinated beef grilled or pan-cooked with a sweet-savory soy-based seasoning.</x:v>
      </x:c>
      <x:c r="P32" s="28" t="str">
        <x:v>Bulgogi is a Korean dish of thinly sliced meat, commonly beef, marinated with soy sauce, sugar, aromatics, and sesame before grilling or pan-cooking. The result is tender, savory, and lightly sweet.</x:v>
      </x:c>
      <x:c r="Q32" s="28" t="str">
        <x:v>needs-review</x:v>
      </x:c>
      <x:c r="R32" s="28" t="str">
        <x:v>Batch 2 candidate. Preference flavors reflect the common beef preparation.</x:v>
      </x:c>
      <x:c r="S32" s="28" t="str">
        <x:f>IF(A32="","",IF(COUNTIF($A$5:$A$205,A32)&gt;1,"DUPLICATE ID",IF(AND(Q32="approved",COUNTIFS(Sources!$A$5:$A$404,A32,Sources!$F$5:$F$404,TRUE)=0),"NEEDS SOURCE",IF(AND(Q32="approved",COUNTIFS(Images!$A$5:$A$304,A32,Images!$H$5:$H$304,TRUE,Images!$I$5:$I$304,"approved")&lt;&gt;1),"NEEDS PRIMARY IMAGE","OK"))))</x:f>
        <x:v>OK</x:v>
      </x:c>
    </x:row>
    <x:row r="33">
      <x:c r="A33" s="28" t="str">
        <x:v>jianbing</x:v>
      </x:c>
      <x:c r="B33" s="28" t="str">
        <x:v>Jianbing</x:v>
      </x:c>
      <x:c r="C33" s="28" t="str">
        <x:v>Chinese Crepe</x:v>
      </x:c>
      <x:c r="D33" s="28" t="str">
        <x:v>CN</x:v>
      </x:c>
      <x:c r="E33" s="28" t="str">
        <x:v>east-asia</x:v>
      </x:c>
      <x:c r="F33" s="28" t="str">
        <x:v>handheld</x:v>
      </x:c>
      <x:c r="G33" s="28" t="str">
        <x:v>crispy</x:v>
      </x:c>
      <x:c r="H33" s="28"/>
      <x:c r="I33" s="28"/>
      <x:c r="J33" s="28" t="str">
        <x:v>savory</x:v>
      </x:c>
      <x:c r="K33" s="28" t="str">
        <x:v>chewy</x:v>
      </x:c>
      <x:c r="L33" s="28"/>
      <x:c r="M33" s="28"/>
      <x:c r="N33" s="28" t="n">
        <x:v>2</x:v>
      </x:c>
      <x:c r="O33" s="28" t="str">
        <x:v>Chinese breakfast crepe layered with egg, sauces, herbs, and a crisp cracker.</x:v>
      </x:c>
      <x:c r="P33" s="28" t="str">
        <x:v>Jianbing is a Chinese street-food crepe cooked on a griddle, spread with egg and sauces, and folded around herbs and a crisp fried cracker or dough component. It combines soft, chewy, and crunchy textures.</x:v>
      </x:c>
      <x:c r="Q33" s="28" t="str">
        <x:v>needs-review</x:v>
      </x:c>
      <x:c r="R33" s="28" t="str">
        <x:v>Batch 2 candidate. Classified as handheld for Nom; regional versions vary.</x:v>
      </x:c>
      <x:c r="S33" s="28" t="str">
        <x:f>IF(A33="","",IF(COUNTIF($A$5:$A$205,A33)&gt;1,"DUPLICATE ID",IF(AND(Q33="approved",COUNTIFS(Sources!$A$5:$A$404,A33,Sources!$F$5:$F$404,TRUE)=0),"NEEDS SOURCE",IF(AND(Q33="approved",COUNTIFS(Images!$A$5:$A$304,A33,Images!$H$5:$H$304,TRUE,Images!$I$5:$I$304,"approved")&lt;&gt;1),"NEEDS PRIMARY IMAGE","OK"))))</x:f>
        <x:v>OK</x:v>
      </x:c>
    </x:row>
    <x:row r="34">
      <x:c r="A34" s="28" t="str">
        <x:v>chole-bhature</x:v>
      </x:c>
      <x:c r="B34" s="28" t="str">
        <x:v>Chole Bhature</x:v>
      </x:c>
      <x:c r="C34" s="28" t="str">
        <x:v>Channa Bhatura</x:v>
      </x:c>
      <x:c r="D34" s="28" t="str">
        <x:v>IN</x:v>
      </x:c>
      <x:c r="E34" s="28" t="str">
        <x:v>south-asia</x:v>
      </x:c>
      <x:c r="F34" s="28" t="str">
        <x:v>handheld</x:v>
      </x:c>
      <x:c r="G34" s="28" t="str">
        <x:v>rich</x:v>
      </x:c>
      <x:c r="H34" s="28"/>
      <x:c r="I34" s="28"/>
      <x:c r="J34" s="28" t="str">
        <x:v>savory</x:v>
      </x:c>
      <x:c r="K34" s="28" t="str">
        <x:v>aromatic</x:v>
      </x:c>
      <x:c r="L34" s="28" t="str">
        <x:v>crispy</x:v>
      </x:c>
      <x:c r="M34" s="28"/>
      <x:c r="N34" s="28" t="n">
        <x:v>2</x:v>
      </x:c>
      <x:c r="O34" s="28" t="str">
        <x:v>North Indian chickpea curry served with a large puffed, deep-fried bhatura bread.</x:v>
      </x:c>
      <x:c r="P34" s="28" t="str">
        <x:v>Chole bhature pairs a spiced chickpea curry with bhatura, a fermented refined-flour bread fried until puffed and golden. It is strongly associated with North Indian and Punjabi street-food traditions.</x:v>
      </x:c>
      <x:c r="Q34" s="28" t="str">
        <x:v>needs-review</x:v>
      </x:c>
      <x:c r="R34" s="28" t="str">
        <x:v>Batch 2 candidate. Handheld classification reflects the fried bread and curry pairing, though the dish is plated.</x:v>
      </x:c>
      <x:c r="S34" s="28" t="str">
        <x:f>IF(A34="","",IF(COUNTIF($A$5:$A$205,A34)&gt;1,"DUPLICATE ID",IF(AND(Q34="approved",COUNTIFS(Sources!$A$5:$A$404,A34,Sources!$F$5:$F$404,TRUE)=0),"NEEDS SOURCE",IF(AND(Q34="approved",COUNTIFS(Images!$A$5:$A$304,A34,Images!$H$5:$H$304,TRUE,Images!$I$5:$I$304,"approved")&lt;&gt;1),"NEEDS PRIMARY IMAGE","OK"))))</x:f>
        <x:v>OK</x:v>
      </x:c>
    </x:row>
    <x:row r="35">
      <x:c r="A35" s="28" t="str">
        <x:v>chicken-tikka</x:v>
      </x:c>
      <x:c r="B35" s="28" t="str">
        <x:v>Chicken Tikka</x:v>
      </x:c>
      <x:c r="C35" s="28"/>
      <x:c r="D35" s="28" t="str">
        <x:v>IN</x:v>
      </x:c>
      <x:c r="E35" s="28" t="str">
        <x:v>south-asia</x:v>
      </x:c>
      <x:c r="F35" s="28" t="str">
        <x:v>grilled-protein</x:v>
      </x:c>
      <x:c r="G35" s="28" t="str">
        <x:v>tangy</x:v>
      </x:c>
      <x:c r="H35" s="28"/>
      <x:c r="I35" s="28"/>
      <x:c r="J35" s="28" t="str">
        <x:v>savory</x:v>
      </x:c>
      <x:c r="K35" s="28" t="str">
        <x:v>smoky</x:v>
      </x:c>
      <x:c r="L35" s="28" t="str">
        <x:v>charred</x:v>
      </x:c>
      <x:c r="M35" s="28"/>
      <x:c r="N35" s="28" t="n">
        <x:v>1</x:v>
      </x:c>
      <x:c r="O35" s="28" t="str">
        <x:v>Yogurt-and-spice marinated chicken pieces cooked over high heat, often in a tandoor.</x:v>
      </x:c>
      <x:c r="P35" s="28" t="str">
        <x:v>Chicken tikka consists of boneless chicken pieces marinated with yogurt, spices, ginger, garlic, and citrus, then cooked at high heat, traditionally in a tandoor. It is tender, aromatic, and lightly charred.</x:v>
      </x:c>
      <x:c r="Q35" s="28" t="str">
        <x:v>needs-review</x:v>
      </x:c>
      <x:c r="R35" s="28" t="str">
        <x:v>Batch 2 candidate. The dish spans Indian, Pakistani, and Bangladeshi traditions; country code uses India for catalog grouping. Retag resolution applied: preference flavor set to 'tangy'.</x:v>
      </x:c>
      <x:c r="S35" s="28" t="str">
        <x:f>IF(A35="","",IF(COUNTIF($A$5:$A$205,A35)&gt;1,"DUPLICATE ID",IF(AND(Q35="approved",COUNTIFS(Sources!$A$5:$A$404,A35,Sources!$F$5:$F$404,TRUE)=0),"NEEDS SOURCE",IF(AND(Q35="approved",COUNTIFS(Images!$A$5:$A$304,A35,Images!$H$5:$H$304,TRUE,Images!$I$5:$I$304,"approved")&lt;&gt;1),"NEEDS PRIMARY IMAGE","OK"))))</x:f>
        <x:v>OK</x:v>
      </x:c>
    </x:row>
    <x:row r="36">
      <x:c r="A36" s="28" t="str">
        <x:v>haleem</x:v>
      </x:c>
      <x:c r="B36" s="28" t="str">
        <x:v>Haleem</x:v>
      </x:c>
      <x:c r="C36" s="28" t="str">
        <x:v>Halim</x:v>
      </x:c>
      <x:c r="D36" s="28" t="str">
        <x:v>PK</x:v>
      </x:c>
      <x:c r="E36" s="28" t="str">
        <x:v>south-asia</x:v>
      </x:c>
      <x:c r="F36" s="28" t="str">
        <x:v>soup-broth</x:v>
      </x:c>
      <x:c r="G36" s="28" t="str">
        <x:v>rich</x:v>
      </x:c>
      <x:c r="H36" s="28" t="str">
        <x:v>comforting</x:v>
      </x:c>
      <x:c r="I36" s="28"/>
      <x:c r="J36" s="28" t="str">
        <x:v>savory</x:v>
      </x:c>
      <x:c r="K36" s="28" t="str">
        <x:v>creamy</x:v>
      </x:c>
      <x:c r="L36" s="28" t="str">
        <x:v>aromatic</x:v>
      </x:c>
      <x:c r="M36" s="28"/>
      <x:c r="N36" s="28" t="n">
        <x:v>2</x:v>
      </x:c>
      <x:c r="O36" s="28" t="str">
        <x:v>Slow-cooked South Asian stew of meat, grains, lentils, and warming spices.</x:v>
      </x:c>
      <x:c r="P36" s="28" t="str">
        <x:v>Haleem is a thick, slow-cooked stew made from meat, wheat or other grains, lentils, and spices. Long cooking breaks the ingredients down into a rich, cohesive texture often finished with herbs, fried onions, and citrus.</x:v>
      </x:c>
      <x:c r="Q36" s="28" t="str">
        <x:v>needs-review</x:v>
      </x:c>
      <x:c r="R36" s="28" t="str">
        <x:v>Batch 2 candidate. Widely eaten across South Asia and beyond; country code uses Pakistan for catalog grouping.</x:v>
      </x:c>
      <x:c r="S36" s="28" t="str">
        <x:f>IF(A36="","",IF(COUNTIF($A$5:$A$205,A36)&gt;1,"DUPLICATE ID",IF(AND(Q36="approved",COUNTIFS(Sources!$A$5:$A$404,A36,Sources!$F$5:$F$404,TRUE)=0),"NEEDS SOURCE",IF(AND(Q36="approved",COUNTIFS(Images!$A$5:$A$304,A36,Images!$H$5:$H$304,TRUE,Images!$I$5:$I$304,"approved")&lt;&gt;1),"NEEDS PRIMARY IMAGE","OK"))))</x:f>
        <x:v>OK</x:v>
      </x:c>
    </x:row>
    <x:row r="37">
      <x:c r="A37" s="28" t="str">
        <x:v>kabsa</x:v>
      </x:c>
      <x:c r="B37" s="28" t="str">
        <x:v>Kabsa</x:v>
      </x:c>
      <x:c r="C37" s="28" t="str">
        <x:v>Machboos|Makbūs</x:v>
      </x:c>
      <x:c r="D37" s="28" t="str">
        <x:v>SA</x:v>
      </x:c>
      <x:c r="E37" s="28" t="str">
        <x:v>middle-east</x:v>
      </x:c>
      <x:c r="F37" s="28" t="str">
        <x:v>rice</x:v>
      </x:c>
      <x:c r="G37" s="28" t="str">
        <x:v>comforting</x:v>
      </x:c>
      <x:c r="H37" s="28"/>
      <x:c r="I37" s="28"/>
      <x:c r="J37" s="28" t="str">
        <x:v>savory</x:v>
      </x:c>
      <x:c r="K37" s="28" t="str">
        <x:v>aromatic</x:v>
      </x:c>
      <x:c r="L37" s="28"/>
      <x:c r="M37" s="28"/>
      <x:c r="N37" s="28" t="n">
        <x:v>2</x:v>
      </x:c>
      <x:c r="O37" s="28" t="str">
        <x:v>Arabian spiced rice cooked with meat, tomatoes, and fragrant whole spices.</x:v>
      </x:c>
      <x:c r="P37" s="28" t="str">
        <x:v>Kabsa is a rice-and-meat dish associated with the Arabian Peninsula, especially Saudi Arabia. Long-grain rice is cooked with meat, tomatoes, and aromatic spices, creating a deeply seasoned one-pot meal.</x:v>
      </x:c>
      <x:c r="Q37" s="28" t="str">
        <x:v>needs-review</x:v>
      </x:c>
      <x:c r="R37" s="28" t="str">
        <x:v>Batch 2 candidate. Closely related regional rice dishes use names such as machboos.</x:v>
      </x:c>
      <x:c r="S37" s="28" t="str">
        <x:f>IF(A37="","",IF(COUNTIF($A$5:$A$205,A37)&gt;1,"DUPLICATE ID",IF(AND(Q37="approved",COUNTIFS(Sources!$A$5:$A$404,A37,Sources!$F$5:$F$404,TRUE)=0),"NEEDS SOURCE",IF(AND(Q37="approved",COUNTIFS(Images!$A$5:$A$304,A37,Images!$H$5:$H$304,TRUE,Images!$I$5:$I$304,"approved")&lt;&gt;1),"NEEDS PRIMARY IMAGE","OK"))))</x:f>
        <x:v>OK</x:v>
      </x:c>
    </x:row>
    <x:row r="38">
      <x:c r="A38" s="28" t="str">
        <x:v>shawarma</x:v>
      </x:c>
      <x:c r="B38" s="28" t="str">
        <x:v>Shawarma</x:v>
      </x:c>
      <x:c r="C38" s="28"/>
      <x:c r="D38" s="28" t="str">
        <x:v>LB</x:v>
      </x:c>
      <x:c r="E38" s="28" t="str">
        <x:v>middle-east</x:v>
      </x:c>
      <x:c r="F38" s="28" t="str">
        <x:v>handheld</x:v>
      </x:c>
      <x:c r="G38" s="28" t="str">
        <x:v>rich</x:v>
      </x:c>
      <x:c r="H38" s="28"/>
      <x:c r="I38" s="28"/>
      <x:c r="J38" s="28" t="str">
        <x:v>savory</x:v>
      </x:c>
      <x:c r="K38" s="28" t="str">
        <x:v>garlicky</x:v>
      </x:c>
      <x:c r="L38" s="28" t="str">
        <x:v>smoky</x:v>
      </x:c>
      <x:c r="M38" s="28"/>
      <x:c r="N38" s="28" t="n">
        <x:v>1</x:v>
      </x:c>
      <x:c r="O38" s="28" t="str">
        <x:v>Thin slices of seasoned meat roasted on a vertical spit and wrapped with sauces and vegetables.</x:v>
      </x:c>
      <x:c r="P38" s="28" t="str">
        <x:v>Shawarma is made from stacked, seasoned meat slowly roasted on a vertical spit and shaved into thin slices. It is commonly served in flatbread with vegetables, pickles, tahini, or garlic sauce.</x:v>
      </x:c>
      <x:c r="Q38" s="28" t="str">
        <x:v>needs-review</x:v>
      </x:c>
      <x:c r="R38" s="28" t="str">
        <x:v>Batch 2 candidate. Regional dish across the Middle East; country code uses Lebanon for catalog grouping.</x:v>
      </x:c>
      <x:c r="S38" s="28" t="str">
        <x:f>IF(A38="","",IF(COUNTIF($A$5:$A$205,A38)&gt;1,"DUPLICATE ID",IF(AND(Q38="approved",COUNTIFS(Sources!$A$5:$A$404,A38,Sources!$F$5:$F$404,TRUE)=0),"NEEDS SOURCE",IF(AND(Q38="approved",COUNTIFS(Images!$A$5:$A$304,A38,Images!$H$5:$H$304,TRUE,Images!$I$5:$I$304,"approved")&lt;&gt;1),"NEEDS PRIMARY IMAGE","OK"))))</x:f>
        <x:v>OK</x:v>
      </x:c>
    </x:row>
    <x:row r="39">
      <x:c r="A39" s="28" t="str">
        <x:v>ash-reshteh</x:v>
      </x:c>
      <x:c r="B39" s="28" t="str">
        <x:v>Ash Reshteh</x:v>
      </x:c>
      <x:c r="C39" s="28" t="str">
        <x:v>Aush Reshteh|Ash-e-Reshteh</x:v>
      </x:c>
      <x:c r="D39" s="28" t="str">
        <x:v>IR</x:v>
      </x:c>
      <x:c r="E39" s="28" t="str">
        <x:v>middle-east</x:v>
      </x:c>
      <x:c r="F39" s="28" t="str">
        <x:v>soup-broth</x:v>
      </x:c>
      <x:c r="G39" s="28" t="str">
        <x:v>comforting</x:v>
      </x:c>
      <x:c r="H39" s="28" t="str">
        <x:v>rich</x:v>
      </x:c>
      <x:c r="I39" s="28"/>
      <x:c r="J39" s="28" t="str">
        <x:v>herbal</x:v>
      </x:c>
      <x:c r="K39" s="28" t="str">
        <x:v>creamy</x:v>
      </x:c>
      <x:c r="L39" s="28" t="str">
        <x:v>savory</x:v>
      </x:c>
      <x:c r="M39" s="28"/>
      <x:c r="N39" s="28" t="n">
        <x:v>3</x:v>
      </x:c>
      <x:c r="O39" s="28" t="str">
        <x:v>Iranian thick herb-and-legume soup with noodles, beans, lentils, and tangy kashk.</x:v>
      </x:c>
      <x:c r="P39" s="28" t="str">
        <x:v>Ash reshteh is an Iranian thick soup made with noodles, legumes, and abundant herbs, commonly finished with kashk, fried onions, garlic, or mint. It is hearty, herbal, and creamy-tangy when served with kashk.</x:v>
      </x:c>
      <x:c r="Q39" s="28" t="str">
        <x:v>needs-review</x:v>
      </x:c>
      <x:c r="R39" s="28" t="str">
        <x:v>Batch 2 candidate. Adventure level is a Nom heuristic; kashk is not universal in every serving.</x:v>
      </x:c>
      <x:c r="S39" s="28" t="str">
        <x:f>IF(A39="","",IF(COUNTIF($A$5:$A$205,A39)&gt;1,"DUPLICATE ID",IF(AND(Q39="approved",COUNTIFS(Sources!$A$5:$A$404,A39,Sources!$F$5:$F$404,TRUE)=0),"NEEDS SOURCE",IF(AND(Q39="approved",COUNTIFS(Images!$A$5:$A$304,A39,Images!$H$5:$H$304,TRUE,Images!$I$5:$I$304,"approved")&lt;&gt;1),"NEEDS PRIMARY IMAGE","OK"))))</x:f>
        <x:v>OK</x:v>
      </x:c>
    </x:row>
    <x:row r="40">
      <x:c r="A40" s="28" t="str">
        <x:v>jollof-rice</x:v>
      </x:c>
      <x:c r="B40" s="28" t="str">
        <x:v>Jollof Rice</x:v>
      </x:c>
      <x:c r="C40" s="28"/>
      <x:c r="D40" s="28" t="str">
        <x:v>SN</x:v>
      </x:c>
      <x:c r="E40" s="28" t="str">
        <x:v>africa</x:v>
      </x:c>
      <x:c r="F40" s="28" t="str">
        <x:v>rice</x:v>
      </x:c>
      <x:c r="G40" s="28" t="str">
        <x:v>comforting</x:v>
      </x:c>
      <x:c r="H40" s="28"/>
      <x:c r="I40" s="28"/>
      <x:c r="J40" s="28" t="str">
        <x:v>savory</x:v>
      </x:c>
      <x:c r="K40" s="28" t="str">
        <x:v>smoky</x:v>
      </x:c>
      <x:c r="L40" s="28" t="str">
        <x:v>aromatic</x:v>
      </x:c>
      <x:c r="M40" s="28"/>
      <x:c r="N40" s="28" t="n">
        <x:v>2</x:v>
      </x:c>
      <x:c r="O40" s="28" t="str">
        <x:v>West African tomato-and-pepper rice cooked with aromatics, spices, and optional meat or vegetables.</x:v>
      </x:c>
      <x:c r="P40" s="28" t="str">
        <x:v>Jollof rice is a West African one-pot rice dish built around tomatoes, onions, peppers, spices, and oil, with many regional variations using vegetables, meat, or seafood. Senegal is one of the dish's historic centers.</x:v>
      </x:c>
      <x:c r="Q40" s="28" t="str">
        <x:v>needs-review</x:v>
      </x:c>
      <x:c r="R40" s="28" t="str">
        <x:v>Verified source check: academic source describes jollof as a West African culinary icon with debated origins and strong Wolof/Senegambian links. Senegal remains a Nom catalog grouping, not an exclusive-origin claim.</x:v>
      </x:c>
      <x:c r="S40" s="28" t="str">
        <x:f>IF(A40="","",IF(COUNTIF($A$5:$A$205,A40)&gt;1,"DUPLICATE ID",IF(AND(Q40="approved",COUNTIFS(Sources!$A$5:$A$404,A40,Sources!$F$5:$F$404,TRUE)=0),"NEEDS SOURCE",IF(AND(Q40="approved",COUNTIFS(Images!$A$5:$A$304,A40,Images!$H$5:$H$304,TRUE,Images!$I$5:$I$304,"approved")&lt;&gt;1),"NEEDS PRIMARY IMAGE","OK"))))</x:f>
        <x:v>OK</x:v>
      </x:c>
    </x:row>
    <x:row r="41">
      <x:c r="A41" s="28" t="str">
        <x:v>doro-wat</x:v>
      </x:c>
      <x:c r="B41" s="28" t="str">
        <x:v>Doro Wat</x:v>
      </x:c>
      <x:c r="C41" s="28" t="str">
        <x:v>Doro Wot</x:v>
      </x:c>
      <x:c r="D41" s="28" t="str">
        <x:v>ET</x:v>
      </x:c>
      <x:c r="E41" s="28" t="str">
        <x:v>africa</x:v>
      </x:c>
      <x:c r="F41" s="28" t="str">
        <x:v>grilled-protein</x:v>
      </x:c>
      <x:c r="G41" s="28" t="str">
        <x:v>spicy</x:v>
      </x:c>
      <x:c r="H41" s="28" t="str">
        <x:v>rich</x:v>
      </x:c>
      <x:c r="I41" s="28"/>
      <x:c r="J41" s="28" t="str">
        <x:v>savory</x:v>
      </x:c>
      <x:c r="K41" s="28" t="str">
        <x:v>aromatic</x:v>
      </x:c>
      <x:c r="L41" s="28" t="str">
        <x:v>earthy</x:v>
      </x:c>
      <x:c r="M41" s="28"/>
      <x:c r="N41" s="28" t="n">
        <x:v>3</x:v>
      </x:c>
      <x:c r="O41" s="28" t="str">
        <x:v>Ethiopian chicken stew simmered with berbere spices, onions, and often hard-boiled eggs.</x:v>
      </x:c>
      <x:c r="P41" s="28" t="str">
        <x:v>Doro wat is an Ethiopian chicken stew cooked with onions, clarified butter, and berbere spice, commonly served with injera and hard-boiled eggs. It is intensely aromatic, rich, and often quite spicy.</x:v>
      </x:c>
      <x:c r="Q41" s="28" t="str">
        <x:v>needs-review</x:v>
      </x:c>
      <x:c r="R41" s="28" t="str">
        <x:v>Batch 2 candidate. Grilled/Protein is Nom's broad protein category; the dish itself is stewed, not grilled. Verified source check: completed for pilot.</x:v>
      </x:c>
      <x:c r="S41" s="28" t="str">
        <x:f>IF(A41="","",IF(COUNTIF($A$5:$A$205,A41)&gt;1,"DUPLICATE ID",IF(AND(Q41="approved",COUNTIFS(Sources!$A$5:$A$404,A41,Sources!$F$5:$F$404,TRUE)=0),"NEEDS SOURCE",IF(AND(Q41="approved",COUNTIFS(Images!$A$5:$A$304,A41,Images!$H$5:$H$304,TRUE,Images!$I$5:$I$304,"approved")&lt;&gt;1),"NEEDS PRIMARY IMAGE","OK"))))</x:f>
        <x:v>OK</x:v>
      </x:c>
    </x:row>
    <x:row r="42">
      <x:c r="A42" s="28" t="str">
        <x:v>koshari</x:v>
      </x:c>
      <x:c r="B42" s="28" t="str">
        <x:v>Koshari</x:v>
      </x:c>
      <x:c r="C42" s="28" t="str">
        <x:v>Koshary|Kushari</x:v>
      </x:c>
      <x:c r="D42" s="28" t="str">
        <x:v>EG</x:v>
      </x:c>
      <x:c r="E42" s="28" t="str">
        <x:v>africa</x:v>
      </x:c>
      <x:c r="F42" s="28" t="str">
        <x:v>rice</x:v>
      </x:c>
      <x:c r="G42" s="28" t="str">
        <x:v>comforting</x:v>
      </x:c>
      <x:c r="H42" s="28" t="str">
        <x:v>tangy</x:v>
      </x:c>
      <x:c r="I42" s="28" t="str">
        <x:v>crispy</x:v>
      </x:c>
      <x:c r="J42" s="28" t="str">
        <x:v>savory</x:v>
      </x:c>
      <x:c r="K42" s="28" t="str">
        <x:v>crispy</x:v>
      </x:c>
      <x:c r="L42" s="28" t="str">
        <x:v>earthy</x:v>
      </x:c>
      <x:c r="M42" s="28"/>
      <x:c r="N42" s="28" t="n">
        <x:v>2</x:v>
      </x:c>
      <x:c r="O42" s="28" t="str">
        <x:v>Egyptian rice, lentils, pasta, chickpeas, tomato sauce, and crisp fried onions.</x:v>
      </x:c>
      <x:c r="P42" s="28" t="str">
        <x:v>Koshari is an Egyptian dish combining rice, lentils, pasta, and chickpeas with tomato sauce, vinegar-garlic seasoning, and fried onions. Its mix of starches, legumes, tangy sauce, and crunch makes it especially filling.</x:v>
      </x:c>
      <x:c r="Q42" s="28" t="str">
        <x:v>needs-review</x:v>
      </x:c>
      <x:c r="R42" s="28" t="str">
        <x:v>Batch 2 candidate. Food type uses rice because rice is a core base even though pasta and lentils are also central.</x:v>
      </x:c>
      <x:c r="S42" s="28" t="str">
        <x:f>IF(A42="","",IF(COUNTIF($A$5:$A$205,A42)&gt;1,"DUPLICATE ID",IF(AND(Q42="approved",COUNTIFS(Sources!$A$5:$A$404,A42,Sources!$F$5:$F$404,TRUE)=0),"NEEDS SOURCE",IF(AND(Q42="approved",COUNTIFS(Images!$A$5:$A$304,A42,Images!$H$5:$H$304,TRUE,Images!$I$5:$I$304,"approved")&lt;&gt;1),"NEEDS PRIMARY IMAGE","OK"))))</x:f>
        <x:v>OK</x:v>
      </x:c>
    </x:row>
    <x:row r="43">
      <x:c r="A43" s="28" t="str">
        <x:v>thieboudienne</x:v>
      </x:c>
      <x:c r="B43" s="28" t="str">
        <x:v>Thieboudienne</x:v>
      </x:c>
      <x:c r="C43" s="28" t="str">
        <x:v>Ceebu Jën|Tiep</x:v>
      </x:c>
      <x:c r="D43" s="28" t="str">
        <x:v>SN</x:v>
      </x:c>
      <x:c r="E43" s="28" t="str">
        <x:v>africa</x:v>
      </x:c>
      <x:c r="F43" s="28" t="str">
        <x:v>rice</x:v>
      </x:c>
      <x:c r="G43" s="28" t="str">
        <x:v>comforting</x:v>
      </x:c>
      <x:c r="H43" s="28"/>
      <x:c r="I43" s="28"/>
      <x:c r="J43" s="28" t="str">
        <x:v>savory</x:v>
      </x:c>
      <x:c r="K43" s="28" t="str">
        <x:v>aromatic</x:v>
      </x:c>
      <x:c r="L43" s="28"/>
      <x:c r="M43" s="28"/>
      <x:c r="N43" s="28" t="n">
        <x:v>3</x:v>
      </x:c>
      <x:c r="O43" s="28" t="str">
        <x:v>Senegalese fish and rice cooked with tomato, vegetables, herbs, and peppers in one pot.</x:v>
      </x:c>
      <x:c r="P43" s="28" t="str">
        <x:v>Thieboudienne, also called ceebu jën, is a Senegalese one-pot dish of fish, broken rice, tomato sauce, and vegetables. Garlic, herbs, peppers, and seasonal vegetables give it a layered, aromatic character.</x:v>
      </x:c>
      <x:c r="Q43" s="28" t="str">
        <x:v>needs-review</x:v>
      </x:c>
      <x:c r="R43" s="28" t="str">
        <x:v>Batch 2 candidate. Senegalese national dish with regional variations across West Africa. Retag resolution applied: preference flavor set to 'comforting'.</x:v>
      </x:c>
      <x:c r="S43" s="28" t="str">
        <x:f>IF(A43="","",IF(COUNTIF($A$5:$A$205,A43)&gt;1,"DUPLICATE ID",IF(AND(Q43="approved",COUNTIFS(Sources!$A$5:$A$404,A43,Sources!$F$5:$F$404,TRUE)=0),"NEEDS SOURCE",IF(AND(Q43="approved",COUNTIFS(Images!$A$5:$A$304,A43,Images!$H$5:$H$304,TRUE,Images!$I$5:$I$304,"approved")&lt;&gt;1),"NEEDS PRIMARY IMAGE","OK"))))</x:f>
        <x:v>OK</x:v>
      </x:c>
    </x:row>
    <x:row r="44">
      <x:c r="A44" s="28" t="str">
        <x:v>paella</x:v>
      </x:c>
      <x:c r="B44" s="28" t="str">
        <x:v>Paella</x:v>
      </x:c>
      <x:c r="C44" s="28"/>
      <x:c r="D44" s="28" t="str">
        <x:v>ES</x:v>
      </x:c>
      <x:c r="E44" s="28" t="str">
        <x:v>europe</x:v>
      </x:c>
      <x:c r="F44" s="28" t="str">
        <x:v>rice</x:v>
      </x:c>
      <x:c r="G44" s="28" t="str">
        <x:v>comforting</x:v>
      </x:c>
      <x:c r="H44" s="28"/>
      <x:c r="I44" s="28"/>
      <x:c r="J44" s="28" t="str">
        <x:v>savory</x:v>
      </x:c>
      <x:c r="K44" s="28" t="str">
        <x:v>aromatic</x:v>
      </x:c>
      <x:c r="L44" s="28"/>
      <x:c r="M44" s="28"/>
      <x:c r="N44" s="28" t="n">
        <x:v>1</x:v>
      </x:c>
      <x:c r="O44" s="28" t="str">
        <x:v>Spanish rice cooked in a wide pan with saffron, vegetables, and seafood or meat.</x:v>
      </x:c>
      <x:c r="P44" s="28" t="str">
        <x:v>Paella is a Valencian rice dish cooked in a broad shallow pan, traditionally seasoned with ingredients such as saffron and local aromatics. Major variations feature seafood, meats, vegetables, or combinations.</x:v>
      </x:c>
      <x:c r="Q44" s="28" t="str">
        <x:v>needs-review</x:v>
      </x:c>
      <x:c r="R44" s="28" t="str">
        <x:v>Batch 2 candidate. Country code uses Spain; origins are specifically Valencian. Retag resolution applied: preference flavor set to 'comforting'.</x:v>
      </x:c>
      <x:c r="S44" s="28" t="str">
        <x:f>IF(A44="","",IF(COUNTIF($A$5:$A$205,A44)&gt;1,"DUPLICATE ID",IF(AND(Q44="approved",COUNTIFS(Sources!$A$5:$A$404,A44,Sources!$F$5:$F$404,TRUE)=0),"NEEDS SOURCE",IF(AND(Q44="approved",COUNTIFS(Images!$A$5:$A$304,A44,Images!$H$5:$H$304,TRUE,Images!$I$5:$I$304,"approved")&lt;&gt;1),"NEEDS PRIMARY IMAGE","OK"))))</x:f>
        <x:v>OK</x:v>
      </x:c>
    </x:row>
    <x:row r="45">
      <x:c r="A45" s="28" t="str">
        <x:v>goulash</x:v>
      </x:c>
      <x:c r="B45" s="28" t="str">
        <x:v>Goulash</x:v>
      </x:c>
      <x:c r="C45" s="28" t="str">
        <x:v>Gulyás</x:v>
      </x:c>
      <x:c r="D45" s="28" t="str">
        <x:v>HU</x:v>
      </x:c>
      <x:c r="E45" s="28" t="str">
        <x:v>europe</x:v>
      </x:c>
      <x:c r="F45" s="28" t="str">
        <x:v>soup-broth</x:v>
      </x:c>
      <x:c r="G45" s="28" t="str">
        <x:v>rich</x:v>
      </x:c>
      <x:c r="H45" s="28" t="str">
        <x:v>comforting</x:v>
      </x:c>
      <x:c r="I45" s="28"/>
      <x:c r="J45" s="28" t="str">
        <x:v>savory</x:v>
      </x:c>
      <x:c r="K45" s="28" t="str">
        <x:v>smoky</x:v>
      </x:c>
      <x:c r="L45" s="28" t="str">
        <x:v>earthy</x:v>
      </x:c>
      <x:c r="M45" s="28"/>
      <x:c r="N45" s="28" t="n">
        <x:v>1</x:v>
      </x:c>
      <x:c r="O45" s="28" t="str">
        <x:v>Hungarian paprika-seasoned beef and vegetable soup or stew with a deep savory broth.</x:v>
      </x:c>
      <x:c r="P45" s="28" t="str">
        <x:v>Goulash is a Hungarian soup or stew traditionally made with meat, onions, vegetables, and paprika. Depending on preparation it may be brothy or thick, but its defining profile is savory, warming, and paprika-forward.</x:v>
      </x:c>
      <x:c r="Q45" s="28" t="str">
        <x:v>needs-review</x:v>
      </x:c>
      <x:c r="R45" s="28" t="str">
        <x:v>Batch 2 candidate. Soup/Broth reflects traditional gulyás; international versions may be thicker.</x:v>
      </x:c>
      <x:c r="S45" s="28" t="str">
        <x:f>IF(A45="","",IF(COUNTIF($A$5:$A$205,A45)&gt;1,"DUPLICATE ID",IF(AND(Q45="approved",COUNTIFS(Sources!$A$5:$A$404,A45,Sources!$F$5:$F$404,TRUE)=0),"NEEDS SOURCE",IF(AND(Q45="approved",COUNTIFS(Images!$A$5:$A$304,A45,Images!$H$5:$H$304,TRUE,Images!$I$5:$I$304,"approved")&lt;&gt;1),"NEEDS PRIMARY IMAGE","OK"))))</x:f>
        <x:v>OK</x:v>
      </x:c>
    </x:row>
    <x:row r="46">
      <x:c r="A46" s="28" t="str">
        <x:v>souvlaki</x:v>
      </x:c>
      <x:c r="B46" s="28" t="str">
        <x:v>Souvlaki</x:v>
      </x:c>
      <x:c r="C46" s="28"/>
      <x:c r="D46" s="28" t="str">
        <x:v>GR</x:v>
      </x:c>
      <x:c r="E46" s="28" t="str">
        <x:v>europe</x:v>
      </x:c>
      <x:c r="F46" s="28" t="str">
        <x:v>grilled-protein</x:v>
      </x:c>
      <x:c r="G46" s="28" t="str">
        <x:v>fresh</x:v>
      </x:c>
      <x:c r="H46" s="28"/>
      <x:c r="I46" s="28"/>
      <x:c r="J46" s="28" t="str">
        <x:v>savory</x:v>
      </x:c>
      <x:c r="K46" s="28" t="str">
        <x:v>charred</x:v>
      </x:c>
      <x:c r="L46" s="28" t="str">
        <x:v>herbal</x:v>
      </x:c>
      <x:c r="M46" s="28"/>
      <x:c r="N46" s="28" t="n">
        <x:v>1</x:v>
      </x:c>
      <x:c r="O46" s="28" t="str">
        <x:v>Greek skewered meat grilled over high heat and served with lemon, pita, or fresh sides.</x:v>
      </x:c>
      <x:c r="P46" s="28" t="str">
        <x:v>Souvlaki is a Greek dish of small pieces of meat grilled on skewers, commonly served with pita, lemon, vegetables, or sauces. High-heat grilling creates a lightly charred exterior while keeping the meat juicy.</x:v>
      </x:c>
      <x:c r="Q46" s="28" t="str">
        <x:v>needs-review</x:v>
      </x:c>
      <x:c r="R46" s="28" t="str">
        <x:v>Batch 2 candidate. Flavor assignments reflect common lemon-and-herb service rather than every regional version.</x:v>
      </x:c>
      <x:c r="S46" s="28" t="str">
        <x:f>IF(A46="","",IF(COUNTIF($A$5:$A$205,A46)&gt;1,"DUPLICATE ID",IF(AND(Q46="approved",COUNTIFS(Sources!$A$5:$A$404,A46,Sources!$F$5:$F$404,TRUE)=0),"NEEDS SOURCE",IF(AND(Q46="approved",COUNTIFS(Images!$A$5:$A$304,A46,Images!$H$5:$H$304,TRUE,Images!$I$5:$I$304,"approved")&lt;&gt;1),"NEEDS PRIMARY IMAGE","OK"))))</x:f>
        <x:v>OK</x:v>
      </x:c>
    </x:row>
    <x:row r="47">
      <x:c r="A47" s="28" t="str">
        <x:v>pierogi</x:v>
      </x:c>
      <x:c r="B47" s="28" t="str">
        <x:v>Pierogi</x:v>
      </x:c>
      <x:c r="C47" s="28" t="str">
        <x:v>Pierogy|Pierogies</x:v>
      </x:c>
      <x:c r="D47" s="28" t="str">
        <x:v>PL</x:v>
      </x:c>
      <x:c r="E47" s="28" t="str">
        <x:v>europe</x:v>
      </x:c>
      <x:c r="F47" s="28" t="str">
        <x:v>handheld</x:v>
      </x:c>
      <x:c r="G47" s="28" t="str">
        <x:v>comforting</x:v>
      </x:c>
      <x:c r="H47" s="28" t="str">
        <x:v>rich</x:v>
      </x:c>
      <x:c r="I47" s="28"/>
      <x:c r="J47" s="28" t="str">
        <x:v>savory</x:v>
      </x:c>
      <x:c r="K47" s="28" t="str">
        <x:v>buttery</x:v>
      </x:c>
      <x:c r="L47" s="28" t="str">
        <x:v>tender</x:v>
      </x:c>
      <x:c r="M47" s="28"/>
      <x:c r="N47" s="28" t="n">
        <x:v>1</x:v>
      </x:c>
      <x:c r="O47" s="28" t="str">
        <x:v>Polish filled dumplings boiled or pan-fried with savory or sweet fillings.</x:v>
      </x:c>
      <x:c r="P47" s="28" t="str">
        <x:v>Pierogi are filled dumplings strongly associated with Polish cuisine, made from unleavened dough wrapped around fillings such as potato and cheese, meat, sauerkraut, mushrooms, or fruit. They are typically boiled and may be pan-fried before serving.</x:v>
      </x:c>
      <x:c r="Q47" s="28" t="str">
        <x:v>needs-review</x:v>
      </x:c>
      <x:c r="R47" s="28" t="str">
        <x:v>Batch 2 candidate. Handheld is Nom's closest available category even though pierogi are normally plated.</x:v>
      </x:c>
      <x:c r="S47" s="28" t="str">
        <x:f>IF(A47="","",IF(COUNTIF($A$5:$A$205,A47)&gt;1,"DUPLICATE ID",IF(AND(Q47="approved",COUNTIFS(Sources!$A$5:$A$404,A47,Sources!$F$5:$F$404,TRUE)=0),"NEEDS SOURCE",IF(AND(Q47="approved",COUNTIFS(Images!$A$5:$A$304,A47,Images!$H$5:$H$304,TRUE,Images!$I$5:$I$304,"approved")&lt;&gt;1),"NEEDS PRIMARY IMAGE","OK"))))</x:f>
        <x:v>OK</x:v>
      </x:c>
    </x:row>
    <x:row r="48">
      <x:c r="A48" s="28" t="str">
        <x:v>arepa</x:v>
      </x:c>
      <x:c r="B48" s="28" t="str">
        <x:v>Arepa</x:v>
      </x:c>
      <x:c r="C48" s="28"/>
      <x:c r="D48" s="28" t="str">
        <x:v>VE</x:v>
      </x:c>
      <x:c r="E48" s="28" t="str">
        <x:v>latin-america</x:v>
      </x:c>
      <x:c r="F48" s="28" t="str">
        <x:v>handheld</x:v>
      </x:c>
      <x:c r="G48" s="28" t="str">
        <x:v>comforting</x:v>
      </x:c>
      <x:c r="H48" s="28"/>
      <x:c r="I48" s="28"/>
      <x:c r="J48" s="28" t="str">
        <x:v>savory</x:v>
      </x:c>
      <x:c r="K48" s="28" t="str">
        <x:v>crispy</x:v>
      </x:c>
      <x:c r="L48" s="28" t="str">
        <x:v>tender</x:v>
      </x:c>
      <x:c r="M48" s="28"/>
      <x:c r="N48" s="28" t="n">
        <x:v>1</x:v>
      </x:c>
      <x:c r="O48" s="28" t="str">
        <x:v>Cornmeal cake split and filled with cheese, meats, beans, or other savory fillings.</x:v>
      </x:c>
      <x:c r="P48" s="28" t="str">
        <x:v>Arepas are round cornmeal cakes widely associated with Venezuela and Colombia. They may be grilled, baked, or fried, then split and filled with ingredients such as cheese, shredded meat, beans, or avocado.</x:v>
      </x:c>
      <x:c r="Q48" s="28" t="str">
        <x:v>needs-review</x:v>
      </x:c>
      <x:c r="R48" s="28" t="str">
        <x:v>Batch 2 candidate. Shared Colombian/Venezuelan tradition; country code uses Venezuela for catalog grouping.</x:v>
      </x:c>
      <x:c r="S48" s="28" t="str">
        <x:f>IF(A48="","",IF(COUNTIF($A$5:$A$205,A48)&gt;1,"DUPLICATE ID",IF(AND(Q48="approved",COUNTIFS(Sources!$A$5:$A$404,A48,Sources!$F$5:$F$404,TRUE)=0),"NEEDS SOURCE",IF(AND(Q48="approved",COUNTIFS(Images!$A$5:$A$304,A48,Images!$H$5:$H$304,TRUE,Images!$I$5:$I$304,"approved")&lt;&gt;1),"NEEDS PRIMARY IMAGE","OK"))))</x:f>
        <x:v>OK</x:v>
      </x:c>
    </x:row>
    <x:row r="49">
      <x:c r="A49" s="28" t="str">
        <x:v>ceviche</x:v>
      </x:c>
      <x:c r="B49" s="28" t="str">
        <x:v>Ceviche</x:v>
      </x:c>
      <x:c r="C49" s="28" t="str">
        <x:v>Cebiche|Sebiche</x:v>
      </x:c>
      <x:c r="D49" s="28" t="str">
        <x:v>PE</x:v>
      </x:c>
      <x:c r="E49" s="28" t="str">
        <x:v>latin-america</x:v>
      </x:c>
      <x:c r="F49" s="28" t="str">
        <x:v>grilled-protein</x:v>
      </x:c>
      <x:c r="G49" s="28" t="str">
        <x:v>fresh</x:v>
      </x:c>
      <x:c r="H49" s="28" t="str">
        <x:v>tangy</x:v>
      </x:c>
      <x:c r="I49" s="28"/>
      <x:c r="J49" s="28" t="str">
        <x:v>savory</x:v>
      </x:c>
      <x:c r="K49" s="28" t="str">
        <x:v>light</x:v>
      </x:c>
      <x:c r="L49" s="28" t="str">
        <x:v>herbal</x:v>
      </x:c>
      <x:c r="M49" s="28"/>
      <x:c r="N49" s="28" t="n">
        <x:v>2</x:v>
      </x:c>
      <x:c r="O49" s="28" t="str">
        <x:v>Peruvian raw fish cured in citrus with onion, chile, and fresh herbs.</x:v>
      </x:c>
      <x:c r="P49" s="28" t="str">
        <x:v>Ceviche is a Peruvian dish of raw fish or seafood marinated in citrus juice, commonly combined with onion, chile, salt, and herbs. The acid firms the seafood while producing a bright, fresh, tangy profile.</x:v>
      </x:c>
      <x:c r="Q49" s="28" t="str">
        <x:v>needs-review</x:v>
      </x:c>
      <x:c r="R49" s="28" t="str">
        <x:v>Batch 2 candidate. Grilled/Protein is Nom's broad protein category; the dish is cured, not grilled.</x:v>
      </x:c>
      <x:c r="S49" s="28" t="str">
        <x:f>IF(A49="","",IF(COUNTIF($A$5:$A$205,A49)&gt;1,"DUPLICATE ID",IF(AND(Q49="approved",COUNTIFS(Sources!$A$5:$A$404,A49,Sources!$F$5:$F$404,TRUE)=0),"NEEDS SOURCE",IF(AND(Q49="approved",COUNTIFS(Images!$A$5:$A$304,A49,Images!$H$5:$H$304,TRUE,Images!$I$5:$I$304,"approved")&lt;&gt;1),"NEEDS PRIMARY IMAGE","OK"))))</x:f>
        <x:v>OK</x:v>
      </x:c>
    </x:row>
    <x:row r="50">
      <x:c r="A50" s="28" t="str">
        <x:v>arroz-con-pollo</x:v>
      </x:c>
      <x:c r="B50" s="28" t="str">
        <x:v>Arroz con Pollo</x:v>
      </x:c>
      <x:c r="C50" s="28"/>
      <x:c r="D50" s="28" t="str">
        <x:v>CO</x:v>
      </x:c>
      <x:c r="E50" s="28" t="str">
        <x:v>latin-america</x:v>
      </x:c>
      <x:c r="F50" s="28" t="str">
        <x:v>rice</x:v>
      </x:c>
      <x:c r="G50" s="28" t="str">
        <x:v>comforting</x:v>
      </x:c>
      <x:c r="H50" s="28"/>
      <x:c r="I50" s="28"/>
      <x:c r="J50" s="28" t="str">
        <x:v>savory</x:v>
      </x:c>
      <x:c r="K50" s="28" t="str">
        <x:v>aromatic</x:v>
      </x:c>
      <x:c r="L50" s="28"/>
      <x:c r="M50" s="28"/>
      <x:c r="N50" s="28" t="n">
        <x:v>1</x:v>
      </x:c>
      <x:c r="O50" s="28" t="str">
        <x:v>Latin American chicken and rice cooked together with vegetables, seasonings, and broth.</x:v>
      </x:c>
      <x:c r="P50" s="28" t="str">
        <x:v>Arroz con pollo is a chicken-and-rice dish found across Latin America and Spain, with versions that vary by country. Chicken, rice, vegetables, broth, and regional seasonings are cooked together into a savory one-pot meal.</x:v>
      </x:c>
      <x:c r="Q50" s="28" t="str">
        <x:v>needs-review</x:v>
      </x:c>
      <x:c r="R50" s="28" t="str">
        <x:v>Verified source check: Colombian preparation confirmed; the dish also exists in multiple regional traditions. Country code remains Colombia for Nom catalog grouping only.</x:v>
      </x:c>
      <x:c r="S50" s="28" t="str">
        <x:f>IF(A50="","",IF(COUNTIF($A$5:$A$205,A50)&gt;1,"DUPLICATE ID",IF(AND(Q50="approved",COUNTIFS(Sources!$A$5:$A$404,A50,Sources!$F$5:$F$404,TRUE)=0),"NEEDS SOURCE",IF(AND(Q50="approved",COUNTIFS(Images!$A$5:$A$304,A50,Images!$H$5:$H$304,TRUE,Images!$I$5:$I$304,"approved")&lt;&gt;1),"NEEDS PRIMARY IMAGE","OK"))))</x:f>
        <x:v>OK</x:v>
      </x:c>
    </x:row>
    <x:row r="51">
      <x:c r="A51" s="28" t="str">
        <x:v>sancocho</x:v>
      </x:c>
      <x:c r="B51" s="28" t="str">
        <x:v>Sancocho</x:v>
      </x:c>
      <x:c r="C51" s="28"/>
      <x:c r="D51" s="28" t="str">
        <x:v>CO</x:v>
      </x:c>
      <x:c r="E51" s="28" t="str">
        <x:v>latin-america</x:v>
      </x:c>
      <x:c r="F51" s="28" t="str">
        <x:v>soup-broth</x:v>
      </x:c>
      <x:c r="G51" s="28" t="str">
        <x:v>comforting</x:v>
      </x:c>
      <x:c r="H51" s="28"/>
      <x:c r="I51" s="28"/>
      <x:c r="J51" s="28" t="str">
        <x:v>savory</x:v>
      </x:c>
      <x:c r="K51" s="28" t="str">
        <x:v>earthy</x:v>
      </x:c>
      <x:c r="L51" s="28" t="str">
        <x:v>aromatic</x:v>
      </x:c>
      <x:c r="M51" s="28"/>
      <x:c r="N51" s="28" t="n">
        <x:v>1</x:v>
      </x:c>
      <x:c r="O51" s="28" t="str">
        <x:v>Hearty Latin American stew with meat, root vegetables, plantain, corn, and broth.</x:v>
      </x:c>
      <x:c r="P51" s="28" t="str">
        <x:v>Sancocho is a family of hearty soups and stews found across Latin America and the Caribbean. Colombian versions often combine meat with plantain, yuca, potato, corn, herbs, and a deeply savory broth.</x:v>
      </x:c>
      <x:c r="Q51" s="28" t="str">
        <x:v>needs-review</x:v>
      </x:c>
      <x:c r="R51" s="28" t="str">
        <x:v>Batch 2 candidate. Broad regional dish; country code uses Colombia for catalog grouping.</x:v>
      </x:c>
      <x:c r="S51" s="28" t="str">
        <x:f>IF(A51="","",IF(COUNTIF($A$5:$A$205,A51)&gt;1,"DUPLICATE ID",IF(AND(Q51="approved",COUNTIFS(Sources!$A$5:$A$404,A51,Sources!$F$5:$F$404,TRUE)=0),"NEEDS SOURCE",IF(AND(Q51="approved",COUNTIFS(Images!$A$5:$A$304,A51,Images!$H$5:$H$304,TRUE,Images!$I$5:$I$304,"approved")&lt;&gt;1),"NEEDS PRIMARY IMAGE","OK"))))</x:f>
        <x:v>OK</x:v>
      </x:c>
    </x:row>
    <x:row r="52">
      <x:c r="A52" s="28" t="str">
        <x:v>gumbo</x:v>
      </x:c>
      <x:c r="B52" s="28" t="str">
        <x:v>Gumbo</x:v>
      </x:c>
      <x:c r="C52" s="28"/>
      <x:c r="D52" s="28" t="str">
        <x:v>US</x:v>
      </x:c>
      <x:c r="E52" s="28" t="str">
        <x:v>north-america</x:v>
      </x:c>
      <x:c r="F52" s="28" t="str">
        <x:v>soup-broth</x:v>
      </x:c>
      <x:c r="G52" s="28" t="str">
        <x:v>rich</x:v>
      </x:c>
      <x:c r="H52" s="28"/>
      <x:c r="I52" s="28"/>
      <x:c r="J52" s="28" t="str">
        <x:v>savory</x:v>
      </x:c>
      <x:c r="K52" s="28" t="str">
        <x:v>smoky</x:v>
      </x:c>
      <x:c r="L52" s="28" t="str">
        <x:v>earthy</x:v>
      </x:c>
      <x:c r="M52" s="28"/>
      <x:c r="N52" s="28" t="n">
        <x:v>2</x:v>
      </x:c>
      <x:c r="O52" s="28" t="str">
        <x:v>Louisiana stew thickened with roux, okra, or filé and filled with meat or seafood.</x:v>
      </x:c>
      <x:c r="P52" s="28" t="str">
        <x:v>Gumbo is a Louisiana stew built from strongly flavored stock, meat or seafood, vegetables, and a thickener such as roux, okra, or filé powder. Creole and Cajun versions differ, but both are deeply savory and aromatic.</x:v>
      </x:c>
      <x:c r="Q52" s="28" t="str">
        <x:v>needs-review</x:v>
      </x:c>
      <x:c r="R52" s="28" t="str">
        <x:v>Batch 2 candidate. Spiciness varies by recipe; preference assignment should be reviewed. Verified source check: completed for pilot.</x:v>
      </x:c>
      <x:c r="S52" s="28" t="str">
        <x:f>IF(A52="","",IF(COUNTIF($A$5:$A$205,A52)&gt;1,"DUPLICATE ID",IF(AND(Q52="approved",COUNTIFS(Sources!$A$5:$A$404,A52,Sources!$F$5:$F$404,TRUE)=0),"NEEDS SOURCE",IF(AND(Q52="approved",COUNTIFS(Images!$A$5:$A$304,A52,Images!$H$5:$H$304,TRUE,Images!$I$5:$I$304,"approved")&lt;&gt;1),"NEEDS PRIMARY IMAGE","OK"))))</x:f>
        <x:v>OK</x:v>
      </x:c>
    </x:row>
    <x:row r="53">
      <x:c r="A53" s="28" t="str">
        <x:v>smoked-brisket</x:v>
      </x:c>
      <x:c r="B53" s="28" t="str">
        <x:v>Smoked Brisket</x:v>
      </x:c>
      <x:c r="C53" s="28" t="str">
        <x:v>Texas Brisket|Barbecue Brisket</x:v>
      </x:c>
      <x:c r="D53" s="28" t="str">
        <x:v>US</x:v>
      </x:c>
      <x:c r="E53" s="28" t="str">
        <x:v>north-america</x:v>
      </x:c>
      <x:c r="F53" s="28" t="str">
        <x:v>grilled-protein</x:v>
      </x:c>
      <x:c r="G53" s="28" t="str">
        <x:v>rich</x:v>
      </x:c>
      <x:c r="H53" s="28"/>
      <x:c r="I53" s="28"/>
      <x:c r="J53" s="28" t="str">
        <x:v>smoky</x:v>
      </x:c>
      <x:c r="K53" s="28" t="str">
        <x:v>charred</x:v>
      </x:c>
      <x:c r="L53" s="28" t="str">
        <x:v>tender</x:v>
      </x:c>
      <x:c r="M53" s="28"/>
      <x:c r="N53" s="28" t="n">
        <x:v>1</x:v>
      </x:c>
      <x:c r="O53" s="28" t="str">
        <x:v>Slow-smoked beef brisket with a dark bark, tender interior, and deep wood-smoke flavor.</x:v>
      </x:c>
      <x:c r="P53" s="28" t="str">
        <x:v>Smoked brisket is a barbecue preparation in which beef brisket is seasoned and cooked slowly with wood smoke until tender. Texas barbecue is especially associated with simply seasoned brisket and a pronounced smoke bark.</x:v>
      </x:c>
      <x:c r="Q53" s="28" t="str">
        <x:v>needs-review</x:v>
      </x:c>
      <x:c r="R53" s="28" t="str">
        <x:v>Batch 2 candidate. Initial source is the broader brisket reference; add a stronger Texas barbecue source before approval.</x:v>
      </x:c>
      <x:c r="S53" s="28" t="str">
        <x:f>IF(A53="","",IF(COUNTIF($A$5:$A$205,A53)&gt;1,"DUPLICATE ID",IF(AND(Q53="approved",COUNTIFS(Sources!$A$5:$A$404,A53,Sources!$F$5:$F$404,TRUE)=0),"NEEDS SOURCE",IF(AND(Q53="approved",COUNTIFS(Images!$A$5:$A$304,A53,Images!$H$5:$H$304,TRUE,Images!$I$5:$I$304,"approved")&lt;&gt;1),"NEEDS PRIMARY IMAGE","OK"))))</x:f>
        <x:v>OK</x:v>
      </x:c>
    </x:row>
    <x:row r="54">
      <x:c r="A54" s="28" t="str">
        <x:v>poke-bowl</x:v>
      </x:c>
      <x:c r="B54" s="28" t="str">
        <x:v>Poke Bowl</x:v>
      </x:c>
      <x:c r="C54" s="28" t="str">
        <x:v>Poke</x:v>
      </x:c>
      <x:c r="D54" s="28" t="str">
        <x:v>US</x:v>
      </x:c>
      <x:c r="E54" s="28" t="str">
        <x:v>north-america</x:v>
      </x:c>
      <x:c r="F54" s="28" t="str">
        <x:v>rice</x:v>
      </x:c>
      <x:c r="G54" s="28" t="str">
        <x:v>fresh</x:v>
      </x:c>
      <x:c r="H54" s="28"/>
      <x:c r="I54" s="28"/>
      <x:c r="J54" s="28" t="str">
        <x:v>savory</x:v>
      </x:c>
      <x:c r="K54" s="28" t="str">
        <x:v>light</x:v>
      </x:c>
      <x:c r="L54" s="28" t="str">
        <x:v>umami</x:v>
      </x:c>
      <x:c r="M54" s="28"/>
      <x:c r="N54" s="28" t="n">
        <x:v>2</x:v>
      </x:c>
      <x:c r="O54" s="28" t="str">
        <x:v>Hawaiian-style rice bowl topped with seasoned raw fish, vegetables, and fresh garnishes.</x:v>
      </x:c>
      <x:c r="P54" s="28" t="str">
        <x:v>Poke is a Hawaiian dish of seasoned raw fish, traditionally served as a simple seafood preparation. Modern poke bowls commonly pair poke with rice, vegetables, seaweed, and sauces for a fresh, savory meal.</x:v>
      </x:c>
      <x:c r="Q54" s="28" t="str">
        <x:v>needs-review</x:v>
      </x:c>
      <x:c r="R54" s="28" t="str">
        <x:v>Batch 2 candidate. The rice-bowl format is a modern serving style; distinguish traditional poke from contemporary poke bowls during final review.</x:v>
      </x:c>
      <x:c r="S54" s="28" t="str">
        <x:f>IF(A54="","",IF(COUNTIF($A$5:$A$205,A54)&gt;1,"DUPLICATE ID",IF(AND(Q54="approved",COUNTIFS(Sources!$A$5:$A$404,A54,Sources!$F$5:$F$404,TRUE)=0),"NEEDS SOURCE",IF(AND(Q54="approved",COUNTIFS(Images!$A$5:$A$304,A54,Images!$H$5:$H$304,TRUE,Images!$I$5:$I$304,"approved")&lt;&gt;1),"NEEDS PRIMARY IMAGE","OK"))))</x:f>
        <x:v>OK</x:v>
      </x:c>
    </x:row>
    <x:row r="55">
      <x:c r="A55" s="28" t="str">
        <x:v>nasi-goreng</x:v>
      </x:c>
      <x:c r="B55" s="28" t="str">
        <x:v>Nasi Goreng</x:v>
      </x:c>
      <x:c r="C55" s="28"/>
      <x:c r="D55" s="28" t="str">
        <x:v>ID</x:v>
      </x:c>
      <x:c r="E55" s="28" t="str">
        <x:v>southeast-asia</x:v>
      </x:c>
      <x:c r="F55" s="28" t="str">
        <x:v>rice</x:v>
      </x:c>
      <x:c r="G55" s="28" t="str">
        <x:v>comforting</x:v>
      </x:c>
      <x:c r="H55" s="28" t="str">
        <x:v>spicy</x:v>
      </x:c>
      <x:c r="I55" s="28"/>
      <x:c r="J55" s="28" t="str">
        <x:v>savory</x:v>
      </x:c>
      <x:c r="K55" s="28" t="str">
        <x:v>smoky</x:v>
      </x:c>
      <x:c r="L55" s="28" t="str">
        <x:v>aromatic</x:v>
      </x:c>
      <x:c r="M55" s="28"/>
      <x:c r="N55" s="28" t="n">
        <x:v>1</x:v>
      </x:c>
      <x:c r="O55" s="28" t="str">
        <x:v>Indonesian fried rice seasoned with sweet soy, aromatics, and savory toppings.</x:v>
      </x:c>
      <x:c r="P55" s="28" t="str">
        <x:v>Nasi goreng is an Indonesian fried-rice dish commonly seasoned with sweet soy sauce, garlic, shallots, chile, and savory accompaniments. Versions vary widely, with egg, chicken, seafood, and crisp garnishes all common.</x:v>
      </x:c>
      <x:c r="Q55" s="28" t="str">
        <x:v>needs-review</x:v>
      </x:c>
      <x:c r="R55" s="28" t="str">
        <x:v>Batch 3 candidate. Flavor and adventure assignments are Nom product heuristics.</x:v>
      </x:c>
      <x:c r="S55" s="28" t="str">
        <x:f>IF(A55="","",IF(COUNTIF($A$5:$A$205,A55)&gt;1,"DUPLICATE ID",IF(AND(Q55="approved",COUNTIFS(Sources!$A$5:$A$404,A55,Sources!$F$5:$F$404,TRUE)=0),"NEEDS SOURCE",IF(AND(Q55="approved",COUNTIFS(Images!$A$5:$A$304,A55,Images!$H$5:$H$304,TRUE,Images!$I$5:$I$304,"approved")&lt;&gt;1),"NEEDS PRIMARY IMAGE","OK"))))</x:f>
        <x:v>OK</x:v>
      </x:c>
    </x:row>
    <x:row r="56">
      <x:c r="A56" s="28" t="str">
        <x:v>chicken-adobo</x:v>
      </x:c>
      <x:c r="B56" s="28" t="str">
        <x:v>Chicken Adobo</x:v>
      </x:c>
      <x:c r="C56" s="28" t="str">
        <x:v>Philippine Adobo</x:v>
      </x:c>
      <x:c r="D56" s="28" t="str">
        <x:v>PH</x:v>
      </x:c>
      <x:c r="E56" s="28" t="str">
        <x:v>southeast-asia</x:v>
      </x:c>
      <x:c r="F56" s="28" t="str">
        <x:v>grilled-protein</x:v>
      </x:c>
      <x:c r="G56" s="28" t="str">
        <x:v>comforting</x:v>
      </x:c>
      <x:c r="H56" s="28" t="str">
        <x:v>tangy</x:v>
      </x:c>
      <x:c r="I56" s="28"/>
      <x:c r="J56" s="28" t="str">
        <x:v>savory</x:v>
      </x:c>
      <x:c r="K56" s="28" t="str">
        <x:v>garlicky</x:v>
      </x:c>
      <x:c r="L56" s="28" t="str">
        <x:v>tender</x:v>
      </x:c>
      <x:c r="M56" s="28"/>
      <x:c r="N56" s="28" t="n">
        <x:v>1</x:v>
      </x:c>
      <x:c r="O56" s="28" t="str">
        <x:v>Filipino chicken braised with vinegar, soy sauce, garlic, peppercorns, and bay leaves.</x:v>
      </x:c>
      <x:c r="P56" s="28" t="str">
        <x:v>Chicken adobo is a Filipino braised dish in which chicken is cooked with vinegar, soy sauce or salt, garlic, peppercorns, and bay leaves. The sauce is savory and tangy, while slow cooking keeps the chicken tender.</x:v>
      </x:c>
      <x:c r="Q56" s="28" t="str">
        <x:v>needs-review</x:v>
      </x:c>
      <x:c r="R56" s="28" t="str">
        <x:v>Batch 3 candidate. Grilled/Protein is Nom's broad protein category; adobo itself is braised.</x:v>
      </x:c>
      <x:c r="S56" s="28" t="str">
        <x:f>IF(A56="","",IF(COUNTIF($A$5:$A$205,A56)&gt;1,"DUPLICATE ID",IF(AND(Q56="approved",COUNTIFS(Sources!$A$5:$A$404,A56,Sources!$F$5:$F$404,TRUE)=0),"NEEDS SOURCE",IF(AND(Q56="approved",COUNTIFS(Images!$A$5:$A$304,A56,Images!$H$5:$H$304,TRUE,Images!$I$5:$I$304,"approved")&lt;&gt;1),"NEEDS PRIMARY IMAGE","OK"))))</x:f>
        <x:v>OK</x:v>
      </x:c>
    </x:row>
    <x:row r="57">
      <x:c r="A57" s="28" t="str">
        <x:v>satay</x:v>
      </x:c>
      <x:c r="B57" s="28" t="str">
        <x:v>Satay</x:v>
      </x:c>
      <x:c r="C57" s="28" t="str">
        <x:v>Sate</x:v>
      </x:c>
      <x:c r="D57" s="28" t="str">
        <x:v>ID</x:v>
      </x:c>
      <x:c r="E57" s="28" t="str">
        <x:v>southeast-asia</x:v>
      </x:c>
      <x:c r="F57" s="28" t="str">
        <x:v>grilled-protein</x:v>
      </x:c>
      <x:c r="G57" s="28" t="str">
        <x:v>rich</x:v>
      </x:c>
      <x:c r="H57" s="28"/>
      <x:c r="I57" s="28"/>
      <x:c r="J57" s="28" t="str">
        <x:v>smoky</x:v>
      </x:c>
      <x:c r="K57" s="28" t="str">
        <x:v>nutty</x:v>
      </x:c>
      <x:c r="L57" s="28" t="str">
        <x:v>charred</x:v>
      </x:c>
      <x:c r="M57" s="28"/>
      <x:c r="N57" s="28" t="n">
        <x:v>2</x:v>
      </x:c>
      <x:c r="O57" s="28" t="str">
        <x:v>Southeast Asian skewered meat grilled over high heat and often served with peanut sauce.</x:v>
      </x:c>
      <x:c r="P57" s="28" t="str">
        <x:v>Satay consists of seasoned pieces of meat threaded onto skewers and grilled, producing a smoky, charred exterior. Indonesian and neighboring regional versions are commonly served with sauces such as peanut sauce or sweet soy.</x:v>
      </x:c>
      <x:c r="Q57" s="28" t="str">
        <x:v>needs-review</x:v>
      </x:c>
      <x:c r="R57" s="28" t="str">
        <x:v>Batch 3 candidate. Regional dish across Southeast Asia; country code uses Indonesia for catalog grouping.</x:v>
      </x:c>
      <x:c r="S57" s="28" t="str">
        <x:f>IF(A57="","",IF(COUNTIF($A$5:$A$205,A57)&gt;1,"DUPLICATE ID",IF(AND(Q57="approved",COUNTIFS(Sources!$A$5:$A$404,A57,Sources!$F$5:$F$404,TRUE)=0),"NEEDS SOURCE",IF(AND(Q57="approved",COUNTIFS(Images!$A$5:$A$304,A57,Images!$H$5:$H$304,TRUE,Images!$I$5:$I$304,"approved")&lt;&gt;1),"NEEDS PRIMARY IMAGE","OK"))))</x:f>
        <x:v>OK</x:v>
      </x:c>
    </x:row>
    <x:row r="58">
      <x:c r="A58" s="28" t="str">
        <x:v>laksa</x:v>
      </x:c>
      <x:c r="B58" s="28" t="str">
        <x:v>Laksa</x:v>
      </x:c>
      <x:c r="C58" s="28"/>
      <x:c r="D58" s="28" t="str">
        <x:v>MY</x:v>
      </x:c>
      <x:c r="E58" s="28" t="str">
        <x:v>southeast-asia</x:v>
      </x:c>
      <x:c r="F58" s="28" t="str">
        <x:v>soup-broth</x:v>
      </x:c>
      <x:c r="G58" s="28" t="str">
        <x:v>spicy</x:v>
      </x:c>
      <x:c r="H58" s="28"/>
      <x:c r="I58" s="28"/>
      <x:c r="J58" s="28" t="str">
        <x:v>savory</x:v>
      </x:c>
      <x:c r="K58" s="28" t="str">
        <x:v>creamy</x:v>
      </x:c>
      <x:c r="L58" s="28" t="str">
        <x:v>aromatic</x:v>
      </x:c>
      <x:c r="M58" s="28"/>
      <x:c r="N58" s="28" t="n">
        <x:v>2</x:v>
      </x:c>
      <x:c r="O58" s="28" t="str">
        <x:v>Southeast Asian noodle soup with a spicy, aromatic broth and varied regional toppings.</x:v>
      </x:c>
      <x:c r="P58" s="28" t="str">
        <x:v>Laksa is a family of Southeast Asian noodle soups associated especially with Malaysia and Singapore. Depending on the style, the broth may be coconut-rich or sour and fish-based, with noodles, herbs, seafood, or other toppings.</x:v>
      </x:c>
      <x:c r="Q58" s="28" t="str">
        <x:v>needs-review</x:v>
      </x:c>
      <x:c r="R58" s="28" t="str">
        <x:v>Batch 3 candidate. Soup/Broth is used because the broth defines the experience even though noodles are central.</x:v>
      </x:c>
      <x:c r="S58" s="28" t="str">
        <x:f>IF(A58="","",IF(COUNTIF($A$5:$A$205,A58)&gt;1,"DUPLICATE ID",IF(AND(Q58="approved",COUNTIFS(Sources!$A$5:$A$404,A58,Sources!$F$5:$F$404,TRUE)=0),"NEEDS SOURCE",IF(AND(Q58="approved",COUNTIFS(Images!$A$5:$A$304,A58,Images!$H$5:$H$304,TRUE,Images!$I$5:$I$304,"approved")&lt;&gt;1),"NEEDS PRIMARY IMAGE","OK"))))</x:f>
        <x:v>OK</x:v>
      </x:c>
    </x:row>
    <x:row r="59">
      <x:c r="A59" s="28" t="str">
        <x:v>banh-mi</x:v>
      </x:c>
      <x:c r="B59" s="28" t="str">
        <x:v>Bánh Mì</x:v>
      </x:c>
      <x:c r="C59" s="28" t="str">
        <x:v>Banh Mi</x:v>
      </x:c>
      <x:c r="D59" s="28" t="str">
        <x:v>VN</x:v>
      </x:c>
      <x:c r="E59" s="28" t="str">
        <x:v>southeast-asia</x:v>
      </x:c>
      <x:c r="F59" s="28" t="str">
        <x:v>handheld</x:v>
      </x:c>
      <x:c r="G59" s="28" t="str">
        <x:v>fresh</x:v>
      </x:c>
      <x:c r="H59" s="28" t="str">
        <x:v>crispy</x:v>
      </x:c>
      <x:c r="I59" s="28" t="str">
        <x:v>tangy</x:v>
      </x:c>
      <x:c r="J59" s="28" t="str">
        <x:v>savory</x:v>
      </x:c>
      <x:c r="K59" s="28" t="str">
        <x:v>herbal</x:v>
      </x:c>
      <x:c r="L59" s="28"/>
      <x:c r="M59" s="28"/>
      <x:c r="N59" s="28" t="n">
        <x:v>1</x:v>
      </x:c>
      <x:c r="O59" s="28" t="str">
        <x:v>Vietnamese baguette sandwich layered with savory fillings, pickles, herbs, and chile.</x:v>
      </x:c>
      <x:c r="P59" s="28" t="str">
        <x:v>Bánh mì is a Vietnamese baguette sandwich combining a crisp, airy loaf with savory fillings and fresh accompaniments such as pickled vegetables, cucumber, cilantro, and chile. Fillings vary from pork and pâté to chicken or tofu.</x:v>
      </x:c>
      <x:c r="Q59" s="28" t="str">
        <x:v>needs-review</x:v>
      </x:c>
      <x:c r="R59" s="28" t="str">
        <x:v>Batch 3 candidate. Preference flavors reflect the common pickle-and-herb sandwich profile.</x:v>
      </x:c>
      <x:c r="S59" s="28" t="str">
        <x:f>IF(A59="","",IF(COUNTIF($A$5:$A$205,A59)&gt;1,"DUPLICATE ID",IF(AND(Q59="approved",COUNTIFS(Sources!$A$5:$A$404,A59,Sources!$F$5:$F$404,TRUE)=0),"NEEDS SOURCE",IF(AND(Q59="approved",COUNTIFS(Images!$A$5:$A$304,A59,Images!$H$5:$H$304,TRUE,Images!$I$5:$I$304,"approved")&lt;&gt;1),"NEEDS PRIMARY IMAGE","OK"))))</x:f>
        <x:v>OK</x:v>
      </x:c>
    </x:row>
    <x:row r="60">
      <x:c r="A60" s="28" t="str">
        <x:v>sinigang</x:v>
      </x:c>
      <x:c r="B60" s="28" t="str">
        <x:v>Sinigang</x:v>
      </x:c>
      <x:c r="C60" s="28"/>
      <x:c r="D60" s="28" t="str">
        <x:v>PH</x:v>
      </x:c>
      <x:c r="E60" s="28" t="str">
        <x:v>southeast-asia</x:v>
      </x:c>
      <x:c r="F60" s="28" t="str">
        <x:v>soup-broth</x:v>
      </x:c>
      <x:c r="G60" s="28" t="str">
        <x:v>tangy</x:v>
      </x:c>
      <x:c r="H60" s="28" t="str">
        <x:v>comforting</x:v>
      </x:c>
      <x:c r="I60" s="28"/>
      <x:c r="J60" s="28" t="str">
        <x:v>savory</x:v>
      </x:c>
      <x:c r="K60" s="28" t="str">
        <x:v>aromatic</x:v>
      </x:c>
      <x:c r="L60" s="28"/>
      <x:c r="M60" s="28"/>
      <x:c r="N60" s="28" t="n">
        <x:v>2</x:v>
      </x:c>
      <x:c r="O60" s="28" t="str">
        <x:v>Filipino sour soup with meat or seafood, vegetables, and a bright savory-acidic broth.</x:v>
      </x:c>
      <x:c r="P60" s="28" t="str">
        <x:v>Sinigang is a Filipino soup known for its sour broth, made with meat, fish, or seafood plus vegetables. Tamarind is a common souring agent, but regional versions also use ingredients such as kamias, guava, green mango, tomatoes, calamansi, or other sour fruits.</x:v>
      </x:c>
      <x:c r="Q60" s="28" t="str">
        <x:v>needs-review</x:v>
      </x:c>
      <x:c r="R60" s="28" t="str">
        <x:v>Batch 3 candidate. Sourness varies by region and souring ingredient. Verified source check: completed for pilot.</x:v>
      </x:c>
      <x:c r="S60" s="28" t="str">
        <x:f>IF(A60="","",IF(COUNTIF($A$5:$A$205,A60)&gt;1,"DUPLICATE ID",IF(AND(Q60="approved",COUNTIFS(Sources!$A$5:$A$404,A60,Sources!$F$5:$F$404,TRUE)=0),"NEEDS SOURCE",IF(AND(Q60="approved",COUNTIFS(Images!$A$5:$A$304,A60,Images!$H$5:$H$304,TRUE,Images!$I$5:$I$304,"approved")&lt;&gt;1),"NEEDS PRIMARY IMAGE","OK"))))</x:f>
        <x:v>OK</x:v>
      </x:c>
    </x:row>
    <x:row r="61">
      <x:c r="A61" s="28" t="str">
        <x:v>gyoza</x:v>
      </x:c>
      <x:c r="B61" s="28" t="str">
        <x:v>Gyoza</x:v>
      </x:c>
      <x:c r="C61" s="28" t="str">
        <x:v>Japanese Gyoza|Jiaozi</x:v>
      </x:c>
      <x:c r="D61" s="28" t="str">
        <x:v>JP</x:v>
      </x:c>
      <x:c r="E61" s="28" t="str">
        <x:v>east-asia</x:v>
      </x:c>
      <x:c r="F61" s="28" t="str">
        <x:v>handheld</x:v>
      </x:c>
      <x:c r="G61" s="28" t="str">
        <x:v>crispy</x:v>
      </x:c>
      <x:c r="H61" s="28"/>
      <x:c r="I61" s="28"/>
      <x:c r="J61" s="28" t="str">
        <x:v>savory</x:v>
      </x:c>
      <x:c r="K61" s="28" t="str">
        <x:v>juicy</x:v>
      </x:c>
      <x:c r="L61" s="28" t="str">
        <x:v>chewy</x:v>
      </x:c>
      <x:c r="M61" s="28"/>
      <x:c r="N61" s="28" t="n">
        <x:v>1</x:v>
      </x:c>
      <x:c r="O61" s="28" t="str">
        <x:v>Japanese dumplings filled with meat and vegetables, often pan-fried for a crisp base.</x:v>
      </x:c>
      <x:c r="P61" s="28" t="str">
        <x:v>Gyoza are Japanese dumplings derived from Chinese jiaozi, usually filled with ground meat and vegetables. A common preparation pan-fries the dumplings before steaming, creating a crisp bottom and tender wrapper.</x:v>
      </x:c>
      <x:c r="Q61" s="28" t="str">
        <x:v>needs-review</x:v>
      </x:c>
      <x:c r="R61" s="28" t="str">
        <x:v>Batch 3 candidate. Source covers jiaozi broadly; add a Japan-specific culinary source before approval.</x:v>
      </x:c>
      <x:c r="S61" s="28" t="str">
        <x:f>IF(A61="","",IF(COUNTIF($A$5:$A$205,A61)&gt;1,"DUPLICATE ID",IF(AND(Q61="approved",COUNTIFS(Sources!$A$5:$A$404,A61,Sources!$F$5:$F$404,TRUE)=0),"NEEDS SOURCE",IF(AND(Q61="approved",COUNTIFS(Images!$A$5:$A$304,A61,Images!$H$5:$H$304,TRUE,Images!$I$5:$I$304,"approved")&lt;&gt;1),"NEEDS PRIMARY IMAGE","OK"))))</x:f>
        <x:v>OK</x:v>
      </x:c>
    </x:row>
    <x:row r="62">
      <x:c r="A62" s="28" t="str">
        <x:v>tonkatsu</x:v>
      </x:c>
      <x:c r="B62" s="28" t="str">
        <x:v>Tonkatsu</x:v>
      </x:c>
      <x:c r="C62" s="28"/>
      <x:c r="D62" s="28" t="str">
        <x:v>JP</x:v>
      </x:c>
      <x:c r="E62" s="28" t="str">
        <x:v>east-asia</x:v>
      </x:c>
      <x:c r="F62" s="28" t="str">
        <x:v>grilled-protein</x:v>
      </x:c>
      <x:c r="G62" s="28" t="str">
        <x:v>crispy</x:v>
      </x:c>
      <x:c r="H62" s="28" t="str">
        <x:v>comforting</x:v>
      </x:c>
      <x:c r="I62" s="28"/>
      <x:c r="J62" s="28" t="str">
        <x:v>savory</x:v>
      </x:c>
      <x:c r="K62" s="28" t="str">
        <x:v>tender</x:v>
      </x:c>
      <x:c r="L62" s="28"/>
      <x:c r="M62" s="28"/>
      <x:c r="N62" s="28" t="n">
        <x:v>1</x:v>
      </x:c>
      <x:c r="O62" s="28" t="str">
        <x:v>Japanese breaded pork cutlet fried until crisp and served with shredded cabbage and sauce.</x:v>
      </x:c>
      <x:c r="P62" s="28" t="str">
        <x:v>Tonkatsu is a Japanese pork cutlet coated in panko breadcrumbs and deep-fried until crisp. It is commonly sliced and served with shredded cabbage, rice, and a thick savory-sweet tonkatsu sauce.</x:v>
      </x:c>
      <x:c r="Q62" s="28" t="str">
        <x:v>needs-review</x:v>
      </x:c>
      <x:c r="R62" s="28" t="str">
        <x:v>Batch 3 candidate. Grilled/Protein is Nom's broad protein category; tonkatsu is fried rather than grilled.</x:v>
      </x:c>
      <x:c r="S62" s="28" t="str">
        <x:f>IF(A62="","",IF(COUNTIF($A$5:$A$205,A62)&gt;1,"DUPLICATE ID",IF(AND(Q62="approved",COUNTIFS(Sources!$A$5:$A$404,A62,Sources!$F$5:$F$404,TRUE)=0),"NEEDS SOURCE",IF(AND(Q62="approved",COUNTIFS(Images!$A$5:$A$304,A62,Images!$H$5:$H$304,TRUE,Images!$I$5:$I$304,"approved")&lt;&gt;1),"NEEDS PRIMARY IMAGE","OK"))))</x:f>
        <x:v>OK</x:v>
      </x:c>
    </x:row>
    <x:row r="63">
      <x:c r="A63" s="28" t="str">
        <x:v>congee</x:v>
      </x:c>
      <x:c r="B63" s="28" t="str">
        <x:v>Congee</x:v>
      </x:c>
      <x:c r="C63" s="28" t="str">
        <x:v>Rice Porridge|Jook</x:v>
      </x:c>
      <x:c r="D63" s="28" t="str">
        <x:v>CN</x:v>
      </x:c>
      <x:c r="E63" s="28" t="str">
        <x:v>east-asia</x:v>
      </x:c>
      <x:c r="F63" s="28" t="str">
        <x:v>rice</x:v>
      </x:c>
      <x:c r="G63" s="28" t="str">
        <x:v>comforting</x:v>
      </x:c>
      <x:c r="H63" s="28"/>
      <x:c r="I63" s="28"/>
      <x:c r="J63" s="28" t="str">
        <x:v>savory</x:v>
      </x:c>
      <x:c r="K63" s="28" t="str">
        <x:v>light</x:v>
      </x:c>
      <x:c r="L63" s="28" t="str">
        <x:v>creamy</x:v>
      </x:c>
      <x:c r="M63" s="28"/>
      <x:c r="N63" s="28" t="n">
        <x:v>1</x:v>
      </x:c>
      <x:c r="O63" s="28" t="str">
        <x:v>Soft rice porridge served plain or topped with savory meats, eggs, herbs, and condiments.</x:v>
      </x:c>
      <x:c r="P63" s="28" t="str">
        <x:v>Congee is a rice porridge eaten across many Asian cuisines. Rice is cooked with abundant water until soft and creamy, then served plain or with savory toppings such as meat, preserved egg, scallions, herbs, or fried dough.</x:v>
      </x:c>
      <x:c r="Q63" s="28" t="str">
        <x:v>needs-review</x:v>
      </x:c>
      <x:c r="R63" s="28" t="str">
        <x:v>Batch 3 candidate. Country code uses China for catalog grouping while acknowledging broad regional traditions.</x:v>
      </x:c>
      <x:c r="S63" s="28" t="str">
        <x:f>IF(A63="","",IF(COUNTIF($A$5:$A$205,A63)&gt;1,"DUPLICATE ID",IF(AND(Q63="approved",COUNTIFS(Sources!$A$5:$A$404,A63,Sources!$F$5:$F$404,TRUE)=0),"NEEDS SOURCE",IF(AND(Q63="approved",COUNTIFS(Images!$A$5:$A$304,A63,Images!$H$5:$H$304,TRUE,Images!$I$5:$I$304,"approved")&lt;&gt;1),"NEEDS PRIMARY IMAGE","OK"))))</x:f>
        <x:v>OK</x:v>
      </x:c>
    </x:row>
    <x:row r="64">
      <x:c r="A64" s="28" t="str">
        <x:v>samosa</x:v>
      </x:c>
      <x:c r="B64" s="28" t="str">
        <x:v>Samosa</x:v>
      </x:c>
      <x:c r="C64" s="28"/>
      <x:c r="D64" s="28" t="str">
        <x:v>IN</x:v>
      </x:c>
      <x:c r="E64" s="28" t="str">
        <x:v>south-asia</x:v>
      </x:c>
      <x:c r="F64" s="28" t="str">
        <x:v>handheld</x:v>
      </x:c>
      <x:c r="G64" s="28" t="str">
        <x:v>crispy</x:v>
      </x:c>
      <x:c r="H64" s="28"/>
      <x:c r="I64" s="28"/>
      <x:c r="J64" s="28" t="str">
        <x:v>savory</x:v>
      </x:c>
      <x:c r="K64" s="28" t="str">
        <x:v>aromatic</x:v>
      </x:c>
      <x:c r="L64" s="28"/>
      <x:c r="M64" s="28"/>
      <x:c r="N64" s="28" t="n">
        <x:v>1</x:v>
      </x:c>
      <x:c r="O64" s="28" t="str">
        <x:v>Crisp South Asian pastry filled with spiced potato, peas, meat, or other savory fillings.</x:v>
      </x:c>
      <x:c r="P64" s="28" t="str">
        <x:v>A samosa is a filled pastry popular across South Asia and neighboring regions. The crisp shell is commonly stuffed with seasoned potatoes and peas or with meat, then fried or baked and served with chutneys.</x:v>
      </x:c>
      <x:c r="Q64" s="28" t="str">
        <x:v>needs-review</x:v>
      </x:c>
      <x:c r="R64" s="28" t="str">
        <x:v>Batch 3 candidate. India is used for catalog grouping; the food has a wider regional history.</x:v>
      </x:c>
      <x:c r="S64" s="28" t="str">
        <x:f>IF(A64="","",IF(COUNTIF($A$5:$A$205,A64)&gt;1,"DUPLICATE ID",IF(AND(Q64="approved",COUNTIFS(Sources!$A$5:$A$404,A64,Sources!$F$5:$F$404,TRUE)=0),"NEEDS SOURCE",IF(AND(Q64="approved",COUNTIFS(Images!$A$5:$A$304,A64,Images!$H$5:$H$304,TRUE,Images!$I$5:$I$304,"approved")&lt;&gt;1),"NEEDS PRIMARY IMAGE","OK"))))</x:f>
        <x:v>OK</x:v>
      </x:c>
    </x:row>
    <x:row r="65">
      <x:c r="A65" s="28" t="str">
        <x:v>tandoori-chicken</x:v>
      </x:c>
      <x:c r="B65" s="28" t="str">
        <x:v>Tandoori Chicken</x:v>
      </x:c>
      <x:c r="C65" s="28"/>
      <x:c r="D65" s="28" t="str">
        <x:v>IN</x:v>
      </x:c>
      <x:c r="E65" s="28" t="str">
        <x:v>south-asia</x:v>
      </x:c>
      <x:c r="F65" s="28" t="str">
        <x:v>grilled-protein</x:v>
      </x:c>
      <x:c r="G65" s="28" t="str">
        <x:v>tangy</x:v>
      </x:c>
      <x:c r="H65" s="28"/>
      <x:c r="I65" s="28"/>
      <x:c r="J65" s="28" t="str">
        <x:v>smoky</x:v>
      </x:c>
      <x:c r="K65" s="28" t="str">
        <x:v>charred</x:v>
      </x:c>
      <x:c r="L65" s="28" t="str">
        <x:v>aromatic</x:v>
      </x:c>
      <x:c r="M65" s="28"/>
      <x:c r="N65" s="28" t="n">
        <x:v>1</x:v>
      </x:c>
      <x:c r="O65" s="28" t="str">
        <x:v>Yogurt-and-spice marinated chicken roasted at high heat in a tandoor.</x:v>
      </x:c>
      <x:c r="P65" s="28" t="str">
        <x:v>Tandoori chicken is marinated in yogurt, citrus, and spices before being roasted at high heat in a cylindrical clay tandoor. The intense heat creates a charred exterior while the marinade keeps the meat flavorful and tender.</x:v>
      </x:c>
      <x:c r="Q65" s="28" t="str">
        <x:v>needs-review</x:v>
      </x:c>
      <x:c r="R65" s="28" t="str">
        <x:v>Batch 3 candidate. Spiciness varies by marinade and serving style. Retag resolution applied: preference flavor set to 'tangy'. Verified source check: completed for pilot.</x:v>
      </x:c>
      <x:c r="S65" s="28" t="str">
        <x:f>IF(A65="","",IF(COUNTIF($A$5:$A$205,A65)&gt;1,"DUPLICATE ID",IF(AND(Q65="approved",COUNTIFS(Sources!$A$5:$A$404,A65,Sources!$F$5:$F$404,TRUE)=0),"NEEDS SOURCE",IF(AND(Q65="approved",COUNTIFS(Images!$A$5:$A$304,A65,Images!$H$5:$H$304,TRUE,Images!$I$5:$I$304,"approved")&lt;&gt;1),"NEEDS PRIMARY IMAGE","OK"))))</x:f>
        <x:v>OK</x:v>
      </x:c>
    </x:row>
    <x:row r="66">
      <x:c r="A66" s="28" t="str">
        <x:v>idiyappam</x:v>
      </x:c>
      <x:c r="B66" s="28" t="str">
        <x:v>Idiyappam</x:v>
      </x:c>
      <x:c r="C66" s="28" t="str">
        <x:v>String Hoppers|Nool Puttu</x:v>
      </x:c>
      <x:c r="D66" s="28" t="str">
        <x:v>LK</x:v>
      </x:c>
      <x:c r="E66" s="28" t="str">
        <x:v>south-asia</x:v>
      </x:c>
      <x:c r="F66" s="28" t="str">
        <x:v>noodle</x:v>
      </x:c>
      <x:c r="G66" s="28" t="str">
        <x:v>comforting</x:v>
      </x:c>
      <x:c r="H66" s="28"/>
      <x:c r="I66" s="28"/>
      <x:c r="J66" s="28" t="str">
        <x:v>light</x:v>
      </x:c>
      <x:c r="K66" s="28" t="str">
        <x:v>chewy</x:v>
      </x:c>
      <x:c r="L66" s="28"/>
      <x:c r="M66" s="28"/>
      <x:c r="N66" s="28" t="n">
        <x:v>2</x:v>
      </x:c>
      <x:c r="O66" s="28" t="str">
        <x:v>Steamed rice-flour noodle nests served with curries, coconut milk, or savory accompaniments.</x:v>
      </x:c>
      <x:c r="P66" s="28" t="str">
        <x:v>Idiyappam, also called string hoppers, is made by pressing rice-flour dough into fine noodle strands and steaming them into small nests. It is eaten in Sri Lanka and South India with curries, coconut milk, or other accompaniments.</x:v>
      </x:c>
      <x:c r="Q66" s="28" t="str">
        <x:v>needs-review</x:v>
      </x:c>
      <x:c r="R66" s="28" t="str">
        <x:v>Batch 3 candidate. Country code uses Sri Lanka for catalog grouping; South Indian traditions are also important.</x:v>
      </x:c>
      <x:c r="S66" s="28" t="str">
        <x:f>IF(A66="","",IF(COUNTIF($A$5:$A$205,A66)&gt;1,"DUPLICATE ID",IF(AND(Q66="approved",COUNTIFS(Sources!$A$5:$A$404,A66,Sources!$F$5:$F$404,TRUE)=0),"NEEDS SOURCE",IF(AND(Q66="approved",COUNTIFS(Images!$A$5:$A$304,A66,Images!$H$5:$H$304,TRUE,Images!$I$5:$I$304,"approved")&lt;&gt;1),"NEEDS PRIMARY IMAGE","OK"))))</x:f>
        <x:v>OK</x:v>
      </x:c>
    </x:row>
    <x:row r="67">
      <x:c r="A67" s="28" t="str">
        <x:v>falafel</x:v>
      </x:c>
      <x:c r="B67" s="28" t="str">
        <x:v>Falafel</x:v>
      </x:c>
      <x:c r="C67" s="28"/>
      <x:c r="D67" s="28" t="str">
        <x:v>LB</x:v>
      </x:c>
      <x:c r="E67" s="28" t="str">
        <x:v>middle-east</x:v>
      </x:c>
      <x:c r="F67" s="28" t="str">
        <x:v>handheld</x:v>
      </x:c>
      <x:c r="G67" s="28" t="str">
        <x:v>crispy</x:v>
      </x:c>
      <x:c r="H67" s="28" t="str">
        <x:v>fresh</x:v>
      </x:c>
      <x:c r="I67" s="28"/>
      <x:c r="J67" s="28" t="str">
        <x:v>savory</x:v>
      </x:c>
      <x:c r="K67" s="28" t="str">
        <x:v>herbal</x:v>
      </x:c>
      <x:c r="L67" s="28" t="str">
        <x:v>earthy</x:v>
      </x:c>
      <x:c r="M67" s="28"/>
      <x:c r="N67" s="28" t="n">
        <x:v>1</x:v>
      </x:c>
      <x:c r="O67" s="28" t="str">
        <x:v>Fried chickpea or fava-bean patties served in flatbread with vegetables, herbs, and sauces.</x:v>
      </x:c>
      <x:c r="P67" s="28" t="str">
        <x:v>Falafel is made from ground chickpeas, fava beans, or a combination seasoned with herbs and spices, shaped, and fried until crisp. It is commonly served in flatbread with vegetables, pickles, tahini, or other sauces.</x:v>
      </x:c>
      <x:c r="Q67" s="28" t="str">
        <x:v>needs-review</x:v>
      </x:c>
      <x:c r="R67" s="28" t="str">
        <x:v>Verified source check: falafel is a wider Middle Eastern dish with debated/ancient origins; Lebanon remains a Nom catalog grouping. Lebanese, Syrian, and Jordanian forms commonly use chickpeas and/or fava beans.</x:v>
      </x:c>
      <x:c r="S67" s="28" t="str">
        <x:f>IF(A67="","",IF(COUNTIF($A$5:$A$205,A67)&gt;1,"DUPLICATE ID",IF(AND(Q67="approved",COUNTIFS(Sources!$A$5:$A$404,A67,Sources!$F$5:$F$404,TRUE)=0),"NEEDS SOURCE",IF(AND(Q67="approved",COUNTIFS(Images!$A$5:$A$304,A67,Images!$H$5:$H$304,TRUE,Images!$I$5:$I$304,"approved")&lt;&gt;1),"NEEDS PRIMARY IMAGE","OK"))))</x:f>
        <x:v>OK</x:v>
      </x:c>
    </x:row>
    <x:row r="68">
      <x:c r="A68" s="28" t="str">
        <x:v>kabab-koobideh</x:v>
      </x:c>
      <x:c r="B68" s="28" t="str">
        <x:v>Kabab Koobideh</x:v>
      </x:c>
      <x:c r="C68" s="28" t="str">
        <x:v>Koobideh Kebab|Kabab Kubideh</x:v>
      </x:c>
      <x:c r="D68" s="28" t="str">
        <x:v>IR</x:v>
      </x:c>
      <x:c r="E68" s="28" t="str">
        <x:v>middle-east</x:v>
      </x:c>
      <x:c r="F68" s="28" t="str">
        <x:v>grilled-protein</x:v>
      </x:c>
      <x:c r="G68" s="28" t="str">
        <x:v>rich</x:v>
      </x:c>
      <x:c r="H68" s="28"/>
      <x:c r="I68" s="28"/>
      <x:c r="J68" s="28" t="str">
        <x:v>savory</x:v>
      </x:c>
      <x:c r="K68" s="28" t="str">
        <x:v>charred</x:v>
      </x:c>
      <x:c r="L68" s="28" t="str">
        <x:v>juicy</x:v>
      </x:c>
      <x:c r="M68" s="28"/>
      <x:c r="N68" s="28" t="n">
        <x:v>2</x:v>
      </x:c>
      <x:c r="O68" s="28" t="str">
        <x:v>Iranian ground-meat kebab seasoned with onion and grilled on wide skewers.</x:v>
      </x:c>
      <x:c r="P68" s="28" t="str">
        <x:v>Kabab koobideh is an Iranian kebab made from seasoned ground meat mixed with onion, shaped onto broad skewers, and grilled over high heat. It is often served with rice, grilled tomato, herbs, and sumac.</x:v>
      </x:c>
      <x:c r="Q68" s="28" t="str">
        <x:v>needs-review</x:v>
      </x:c>
      <x:c r="R68" s="28" t="str">
        <x:v>Batch 3 candidate. Adventure level is a Nom heuristic.</x:v>
      </x:c>
      <x:c r="S68" s="28" t="str">
        <x:f>IF(A68="","",IF(COUNTIF($A$5:$A$205,A68)&gt;1,"DUPLICATE ID",IF(AND(Q68="approved",COUNTIFS(Sources!$A$5:$A$404,A68,Sources!$F$5:$F$404,TRUE)=0),"NEEDS SOURCE",IF(AND(Q68="approved",COUNTIFS(Images!$A$5:$A$304,A68,Images!$H$5:$H$304,TRUE,Images!$I$5:$I$304,"approved")&lt;&gt;1),"NEEDS PRIMARY IMAGE","OK"))))</x:f>
        <x:v>OK</x:v>
      </x:c>
    </x:row>
    <x:row r="69">
      <x:c r="A69" s="28" t="str">
        <x:v>mujadara</x:v>
      </x:c>
      <x:c r="B69" s="28" t="str">
        <x:v>Mujadara</x:v>
      </x:c>
      <x:c r="C69" s="28" t="str">
        <x:v>Mujaddara|Mjadra</x:v>
      </x:c>
      <x:c r="D69" s="28" t="str">
        <x:v>LB</x:v>
      </x:c>
      <x:c r="E69" s="28" t="str">
        <x:v>middle-east</x:v>
      </x:c>
      <x:c r="F69" s="28" t="str">
        <x:v>rice</x:v>
      </x:c>
      <x:c r="G69" s="28" t="str">
        <x:v>comforting</x:v>
      </x:c>
      <x:c r="H69" s="28"/>
      <x:c r="I69" s="28"/>
      <x:c r="J69" s="28" t="str">
        <x:v>savory</x:v>
      </x:c>
      <x:c r="K69" s="28" t="str">
        <x:v>earthy</x:v>
      </x:c>
      <x:c r="L69" s="28" t="str">
        <x:v>aromatic</x:v>
      </x:c>
      <x:c r="M69" s="28"/>
      <x:c r="N69" s="28" t="n">
        <x:v>2</x:v>
      </x:c>
      <x:c r="O69" s="28" t="str">
        <x:v>Levantine lentils and rice topped with deeply browned onions.</x:v>
      </x:c>
      <x:c r="P69" s="28" t="str">
        <x:v>Mujadara is a Levantine dish combining lentils with rice or another grain and generous browned onions. The ingredients are simple, but slow-cooked onions and earthy lentils create a deeply savory, comforting meal.</x:v>
      </x:c>
      <x:c r="Q69" s="28" t="str">
        <x:v>needs-review</x:v>
      </x:c>
      <x:c r="R69" s="28" t="str">
        <x:v>Batch 3 candidate. Regional dish across the Levant; Lebanon is used for catalog grouping.</x:v>
      </x:c>
      <x:c r="S69" s="28" t="str">
        <x:f>IF(A69="","",IF(COUNTIF($A$5:$A$205,A69)&gt;1,"DUPLICATE ID",IF(AND(Q69="approved",COUNTIFS(Sources!$A$5:$A$404,A69,Sources!$F$5:$F$404,TRUE)=0),"NEEDS SOURCE",IF(AND(Q69="approved",COUNTIFS(Images!$A$5:$A$304,A69,Images!$H$5:$H$304,TRUE,Images!$I$5:$I$304,"approved")&lt;&gt;1),"NEEDS PRIMARY IMAGE","OK"))))</x:f>
        <x:v>OK</x:v>
      </x:c>
    </x:row>
    <x:row r="70">
      <x:c r="A70" s="28" t="str">
        <x:v>bunny-chow</x:v>
      </x:c>
      <x:c r="B70" s="28" t="str">
        <x:v>Bunny Chow</x:v>
      </x:c>
      <x:c r="C70" s="28"/>
      <x:c r="D70" s="28" t="str">
        <x:v>ZA</x:v>
      </x:c>
      <x:c r="E70" s="28" t="str">
        <x:v>africa</x:v>
      </x:c>
      <x:c r="F70" s="28" t="str">
        <x:v>handheld</x:v>
      </x:c>
      <x:c r="G70" s="28" t="str">
        <x:v>rich</x:v>
      </x:c>
      <x:c r="H70" s="28"/>
      <x:c r="I70" s="28"/>
      <x:c r="J70" s="28" t="str">
        <x:v>savory</x:v>
      </x:c>
      <x:c r="K70" s="28" t="str">
        <x:v>aromatic</x:v>
      </x:c>
      <x:c r="L70" s="28" t="str">
        <x:v>tender</x:v>
      </x:c>
      <x:c r="M70" s="28"/>
      <x:c r="N70" s="28" t="n">
        <x:v>3</x:v>
      </x:c>
      <x:c r="O70" s="28" t="str">
        <x:v>South African hollowed bread loaf filled with a rich, spiced curry.</x:v>
      </x:c>
      <x:c r="P70" s="28" t="str">
        <x:v>Bunny chow is a South African dish associated with Durban, consisting of a hollowed loaf or portion of bread filled with curry. The curry may contain meat, beans, or vegetables and is eaten with the bread that surrounds it.</x:v>
      </x:c>
      <x:c r="Q70" s="28" t="str">
        <x:v>needs-review</x:v>
      </x:c>
      <x:c r="R70" s="28" t="str">
        <x:v>Batch 3 candidate. Handheld category reflects the bread vessel, though servings can be substantial and plated.</x:v>
      </x:c>
      <x:c r="S70" s="28" t="str">
        <x:f>IF(A70="","",IF(COUNTIF($A$5:$A$205,A70)&gt;1,"DUPLICATE ID",IF(AND(Q70="approved",COUNTIFS(Sources!$A$5:$A$404,A70,Sources!$F$5:$F$404,TRUE)=0),"NEEDS SOURCE",IF(AND(Q70="approved",COUNTIFS(Images!$A$5:$A$304,A70,Images!$H$5:$H$304,TRUE,Images!$I$5:$I$304,"approved")&lt;&gt;1),"NEEDS PRIMARY IMAGE","OK"))))</x:f>
        <x:v>OK</x:v>
      </x:c>
    </x:row>
    <x:row r="71">
      <x:c r="A71" s="28" t="str">
        <x:v>bobotie</x:v>
      </x:c>
      <x:c r="B71" s="28" t="str">
        <x:v>Bobotie</x:v>
      </x:c>
      <x:c r="C71" s="28"/>
      <x:c r="D71" s="28" t="str">
        <x:v>ZA</x:v>
      </x:c>
      <x:c r="E71" s="28" t="str">
        <x:v>africa</x:v>
      </x:c>
      <x:c r="F71" s="28" t="str">
        <x:v>grilled-protein</x:v>
      </x:c>
      <x:c r="G71" s="28" t="str">
        <x:v>rich</x:v>
      </x:c>
      <x:c r="H71" s="28" t="str">
        <x:v>comforting</x:v>
      </x:c>
      <x:c r="I71" s="28"/>
      <x:c r="J71" s="28" t="str">
        <x:v>savory</x:v>
      </x:c>
      <x:c r="K71" s="28" t="str">
        <x:v>sweet</x:v>
      </x:c>
      <x:c r="L71" s="28" t="str">
        <x:v>aromatic</x:v>
      </x:c>
      <x:c r="M71" s="28"/>
      <x:c r="N71" s="28" t="n">
        <x:v>3</x:v>
      </x:c>
      <x:c r="O71" s="28" t="str">
        <x:v>South African spiced minced-meat bake topped with a savory egg custard.</x:v>
      </x:c>
      <x:c r="P71" s="28" t="str">
        <x:v>Bobotie is a South African baked dish of seasoned minced meat, often balanced with fruit or sweet spices and topped with an egg-and-milk mixture that sets into a custard-like layer. It is commonly served with rice and condiments.</x:v>
      </x:c>
      <x:c r="Q71" s="28" t="str">
        <x:v>needs-review</x:v>
      </x:c>
      <x:c r="R71" s="28" t="str">
        <x:v>Batch 3 candidate. Grilled/Protein is Nom's broad protein category; bobotie is baked.</x:v>
      </x:c>
      <x:c r="S71" s="28" t="str">
        <x:f>IF(A71="","",IF(COUNTIF($A$5:$A$205,A71)&gt;1,"DUPLICATE ID",IF(AND(Q71="approved",COUNTIFS(Sources!$A$5:$A$404,A71,Sources!$F$5:$F$404,TRUE)=0),"NEEDS SOURCE",IF(AND(Q71="approved",COUNTIFS(Images!$A$5:$A$304,A71,Images!$H$5:$H$304,TRUE,Images!$I$5:$I$304,"approved")&lt;&gt;1),"NEEDS PRIMARY IMAGE","OK"))))</x:f>
        <x:v>OK</x:v>
      </x:c>
    </x:row>
    <x:row r="72">
      <x:c r="A72" s="28" t="str">
        <x:v>egusi-soup</x:v>
      </x:c>
      <x:c r="B72" s="28" t="str">
        <x:v>Egusi Soup</x:v>
      </x:c>
      <x:c r="C72" s="28"/>
      <x:c r="D72" s="28" t="str">
        <x:v>NG</x:v>
      </x:c>
      <x:c r="E72" s="28" t="str">
        <x:v>africa</x:v>
      </x:c>
      <x:c r="F72" s="28" t="str">
        <x:v>soup-broth</x:v>
      </x:c>
      <x:c r="G72" s="28" t="str">
        <x:v>rich</x:v>
      </x:c>
      <x:c r="H72" s="28" t="str">
        <x:v>spicy</x:v>
      </x:c>
      <x:c r="I72" s="28"/>
      <x:c r="J72" s="28" t="str">
        <x:v>savory</x:v>
      </x:c>
      <x:c r="K72" s="28" t="str">
        <x:v>nutty</x:v>
      </x:c>
      <x:c r="L72" s="28" t="str">
        <x:v>earthy</x:v>
      </x:c>
      <x:c r="M72" s="28"/>
      <x:c r="N72" s="28" t="n">
        <x:v>3</x:v>
      </x:c>
      <x:c r="O72" s="28" t="str">
        <x:v>West African soup thickened with ground melon seeds and cooked with greens, meat, or fish.</x:v>
      </x:c>
      <x:c r="P72" s="28" t="str">
        <x:v>Egusi soup is a West African dish thickened with ground melon seeds, which give the soup a rich, nutty body. Nigerian versions commonly include leafy greens, chile, palm oil, and meat or fish and are often served with a starch such as pounded yam.</x:v>
      </x:c>
      <x:c r="Q72" s="28" t="str">
        <x:v>needs-review</x:v>
      </x:c>
      <x:c r="R72" s="28" t="str">
        <x:v>Batch 3 candidate. Nigerian grouping is used while acknowledging wider West African preparations.</x:v>
      </x:c>
      <x:c r="S72" s="28" t="str">
        <x:f>IF(A72="","",IF(COUNTIF($A$5:$A$205,A72)&gt;1,"DUPLICATE ID",IF(AND(Q72="approved",COUNTIFS(Sources!$A$5:$A$404,A72,Sources!$F$5:$F$404,TRUE)=0),"NEEDS SOURCE",IF(AND(Q72="approved",COUNTIFS(Images!$A$5:$A$304,A72,Images!$H$5:$H$304,TRUE,Images!$I$5:$I$304,"approved")&lt;&gt;1),"NEEDS PRIMARY IMAGE","OK"))))</x:f>
        <x:v>OK</x:v>
      </x:c>
    </x:row>
    <x:row r="73">
      <x:c r="A73" s="28" t="str">
        <x:v>risotto</x:v>
      </x:c>
      <x:c r="B73" s="28" t="str">
        <x:v>Risotto</x:v>
      </x:c>
      <x:c r="C73" s="28"/>
      <x:c r="D73" s="28" t="str">
        <x:v>IT</x:v>
      </x:c>
      <x:c r="E73" s="28" t="str">
        <x:v>europe</x:v>
      </x:c>
      <x:c r="F73" s="28" t="str">
        <x:v>rice</x:v>
      </x:c>
      <x:c r="G73" s="28" t="str">
        <x:v>rich</x:v>
      </x:c>
      <x:c r="H73" s="28" t="str">
        <x:v>comforting</x:v>
      </x:c>
      <x:c r="I73" s="28"/>
      <x:c r="J73" s="28" t="str">
        <x:v>creamy</x:v>
      </x:c>
      <x:c r="K73" s="28" t="str">
        <x:v>savory</x:v>
      </x:c>
      <x:c r="L73" s="28" t="str">
        <x:v>buttery</x:v>
      </x:c>
      <x:c r="M73" s="28"/>
      <x:c r="N73" s="28" t="n">
        <x:v>1</x:v>
      </x:c>
      <x:c r="O73" s="28" t="str">
        <x:v>Italian short-grain rice cooked gradually with stock until creamy while the grains stay firm.</x:v>
      </x:c>
      <x:c r="P73" s="28" t="str">
        <x:v>Risotto is an Italian rice dish made by gradually adding stock to starchy short-grain rice while stirring, creating a creamy texture without requiring cream. Butter, cheese, vegetables, seafood, or meats may be added depending on the style.</x:v>
      </x:c>
      <x:c r="Q73" s="28" t="str">
        <x:v>needs-review</x:v>
      </x:c>
      <x:c r="R73" s="28" t="str">
        <x:v>Batch 3 candidate. Preference flavors reflect common savory risotto preparations.</x:v>
      </x:c>
      <x:c r="S73" s="28" t="str">
        <x:f>IF(A73="","",IF(COUNTIF($A$5:$A$205,A73)&gt;1,"DUPLICATE ID",IF(AND(Q73="approved",COUNTIFS(Sources!$A$5:$A$404,A73,Sources!$F$5:$F$404,TRUE)=0),"NEEDS SOURCE",IF(AND(Q73="approved",COUNTIFS(Images!$A$5:$A$304,A73,Images!$H$5:$H$304,TRUE,Images!$I$5:$I$304,"approved")&lt;&gt;1),"NEEDS PRIMARY IMAGE","OK"))))</x:f>
        <x:v>OK</x:v>
      </x:c>
    </x:row>
    <x:row r="74">
      <x:c r="A74" s="28" t="str">
        <x:v>arancini</x:v>
      </x:c>
      <x:c r="B74" s="28" t="str">
        <x:v>Arancini</x:v>
      </x:c>
      <x:c r="C74" s="28" t="str">
        <x:v>Arancine</x:v>
      </x:c>
      <x:c r="D74" s="28" t="str">
        <x:v>IT</x:v>
      </x:c>
      <x:c r="E74" s="28" t="str">
        <x:v>europe</x:v>
      </x:c>
      <x:c r="F74" s="28" t="str">
        <x:v>handheld</x:v>
      </x:c>
      <x:c r="G74" s="28" t="str">
        <x:v>crispy</x:v>
      </x:c>
      <x:c r="H74" s="28" t="str">
        <x:v>rich</x:v>
      </x:c>
      <x:c r="I74" s="28"/>
      <x:c r="J74" s="28" t="str">
        <x:v>savory</x:v>
      </x:c>
      <x:c r="K74" s="28" t="str">
        <x:v>creamy</x:v>
      </x:c>
      <x:c r="L74" s="28"/>
      <x:c r="M74" s="28"/>
      <x:c r="N74" s="28" t="n">
        <x:v>1</x:v>
      </x:c>
      <x:c r="O74" s="28" t="str">
        <x:v>Sicilian stuffed rice balls breaded and fried until crisp.</x:v>
      </x:c>
      <x:c r="P74" s="28" t="str">
        <x:v>Arancini are Sicilian rice balls formed around fillings such as ragù, cheese, or vegetables, then breaded and fried. The crisp shell surrounds soft, seasoned rice and a rich filling, making them a common snack or street food.</x:v>
      </x:c>
      <x:c r="Q74" s="28" t="str">
        <x:v>needs-review</x:v>
      </x:c>
      <x:c r="R74" s="28" t="str">
        <x:v>Batch 3 candidate. Regional naming and shapes vary within Sicily.</x:v>
      </x:c>
      <x:c r="S74" s="28" t="str">
        <x:f>IF(A74="","",IF(COUNTIF($A$5:$A$205,A74)&gt;1,"DUPLICATE ID",IF(AND(Q74="approved",COUNTIFS(Sources!$A$5:$A$404,A74,Sources!$F$5:$F$404,TRUE)=0),"NEEDS SOURCE",IF(AND(Q74="approved",COUNTIFS(Images!$A$5:$A$304,A74,Images!$H$5:$H$304,TRUE,Images!$I$5:$I$304,"approved")&lt;&gt;1),"NEEDS PRIMARY IMAGE","OK"))))</x:f>
        <x:v>OK</x:v>
      </x:c>
    </x:row>
    <x:row r="75">
      <x:c r="A75" s="28" t="str">
        <x:v>schnitzel</x:v>
      </x:c>
      <x:c r="B75" s="28" t="str">
        <x:v>Schnitzel</x:v>
      </x:c>
      <x:c r="C75" s="28" t="str">
        <x:v>Wiener Schnitzel</x:v>
      </x:c>
      <x:c r="D75" s="28" t="str">
        <x:v>AT</x:v>
      </x:c>
      <x:c r="E75" s="28" t="str">
        <x:v>europe</x:v>
      </x:c>
      <x:c r="F75" s="28" t="str">
        <x:v>grilled-protein</x:v>
      </x:c>
      <x:c r="G75" s="28" t="str">
        <x:v>crispy</x:v>
      </x:c>
      <x:c r="H75" s="28" t="str">
        <x:v>comforting</x:v>
      </x:c>
      <x:c r="I75" s="28"/>
      <x:c r="J75" s="28" t="str">
        <x:v>savory</x:v>
      </x:c>
      <x:c r="K75" s="28" t="str">
        <x:v>tender</x:v>
      </x:c>
      <x:c r="L75" s="28"/>
      <x:c r="M75" s="28"/>
      <x:c r="N75" s="28" t="n">
        <x:v>1</x:v>
      </x:c>
      <x:c r="O75" s="28" t="str">
        <x:v>Thin breaded cutlet fried until golden and crisp, strongly associated with Austrian cuisine.</x:v>
      </x:c>
      <x:c r="P75" s="28" t="str">
        <x:v>Schnitzel is a thin meat cutlet that is breaded and fried until crisp. Wiener schnitzel, the Austrian form traditionally made with veal, is commonly served with lemon and simple sides such as potatoes or salad.</x:v>
      </x:c>
      <x:c r="Q75" s="28" t="str">
        <x:v>needs-review</x:v>
      </x:c>
      <x:c r="R75" s="28" t="str">
        <x:v>Batch 3 candidate. Grilled/Protein is Nom's broad protein category; schnitzel is fried.</x:v>
      </x:c>
      <x:c r="S75" s="28" t="str">
        <x:f>IF(A75="","",IF(COUNTIF($A$5:$A$205,A75)&gt;1,"DUPLICATE ID",IF(AND(Q75="approved",COUNTIFS(Sources!$A$5:$A$404,A75,Sources!$F$5:$F$404,TRUE)=0),"NEEDS SOURCE",IF(AND(Q75="approved",COUNTIFS(Images!$A$5:$A$304,A75,Images!$H$5:$H$304,TRUE,Images!$I$5:$I$304,"approved")&lt;&gt;1),"NEEDS PRIMARY IMAGE","OK"))))</x:f>
        <x:v>OK</x:v>
      </x:c>
    </x:row>
    <x:row r="76">
      <x:c r="A76" s="28" t="str">
        <x:v>empanadas</x:v>
      </x:c>
      <x:c r="B76" s="28" t="str">
        <x:v>Empanadas</x:v>
      </x:c>
      <x:c r="C76" s="28" t="str">
        <x:v>Empanada</x:v>
      </x:c>
      <x:c r="D76" s="28" t="str">
        <x:v>AR</x:v>
      </x:c>
      <x:c r="E76" s="28" t="str">
        <x:v>latin-america</x:v>
      </x:c>
      <x:c r="F76" s="28" t="str">
        <x:v>handheld</x:v>
      </x:c>
      <x:c r="G76" s="28" t="str">
        <x:v>comforting</x:v>
      </x:c>
      <x:c r="H76" s="28"/>
      <x:c r="I76" s="28"/>
      <x:c r="J76" s="28" t="str">
        <x:v>savory</x:v>
      </x:c>
      <x:c r="K76" s="28" t="str">
        <x:v>juicy</x:v>
      </x:c>
      <x:c r="L76" s="28"/>
      <x:c r="M76" s="28"/>
      <x:c r="N76" s="28" t="n">
        <x:v>1</x:v>
      </x:c>
      <x:c r="O76" s="28" t="str">
        <x:v>Filled pastries baked or fried with meat, cheese, vegetables, or other regional fillings.</x:v>
      </x:c>
      <x:c r="P76" s="28" t="str">
        <x:v>Empanadas are filled pastries found across Latin America and Spain. Argentine versions commonly use a wheat-flour dough folded around savory fillings such as seasoned beef, chicken, cheese, or vegetables before baking or frying.</x:v>
      </x:c>
      <x:c r="Q76" s="28" t="str">
        <x:v>needs-review</x:v>
      </x:c>
      <x:c r="R76" s="28" t="str">
        <x:v>Batch 3 candidate. Broad regional dish; Argentina is used for catalog grouping. Retag resolution applied: preference flavor set to 'comforting'.</x:v>
      </x:c>
      <x:c r="S76" s="28" t="str">
        <x:f>IF(A76="","",IF(COUNTIF($A$5:$A$205,A76)&gt;1,"DUPLICATE ID",IF(AND(Q76="approved",COUNTIFS(Sources!$A$5:$A$404,A76,Sources!$F$5:$F$404,TRUE)=0),"NEEDS SOURCE",IF(AND(Q76="approved",COUNTIFS(Images!$A$5:$A$304,A76,Images!$H$5:$H$304,TRUE,Images!$I$5:$I$304,"approved")&lt;&gt;1),"NEEDS PRIMARY IMAGE","OK"))))</x:f>
        <x:v>OK</x:v>
      </x:c>
    </x:row>
    <x:row r="77">
      <x:c r="A77" s="28" t="str">
        <x:v>feijoada</x:v>
      </x:c>
      <x:c r="B77" s="28" t="str">
        <x:v>Feijoada</x:v>
      </x:c>
      <x:c r="C77" s="28"/>
      <x:c r="D77" s="28" t="str">
        <x:v>BR</x:v>
      </x:c>
      <x:c r="E77" s="28" t="str">
        <x:v>latin-america</x:v>
      </x:c>
      <x:c r="F77" s="28" t="str">
        <x:v>soup-broth</x:v>
      </x:c>
      <x:c r="G77" s="28" t="str">
        <x:v>rich</x:v>
      </x:c>
      <x:c r="H77" s="28" t="str">
        <x:v>comforting</x:v>
      </x:c>
      <x:c r="I77" s="28"/>
      <x:c r="J77" s="28" t="str">
        <x:v>savory</x:v>
      </x:c>
      <x:c r="K77" s="28" t="str">
        <x:v>smoky</x:v>
      </x:c>
      <x:c r="L77" s="28" t="str">
        <x:v>earthy</x:v>
      </x:c>
      <x:c r="M77" s="28"/>
      <x:c r="N77" s="28" t="n">
        <x:v>2</x:v>
      </x:c>
      <x:c r="O77" s="28" t="str">
        <x:v>Brazilian black-bean and meat stew served with rice and traditional accompaniments.</x:v>
      </x:c>
      <x:c r="P77" s="28" t="str">
        <x:v>Brazilian feijoada is a hearty stew built around black beans and assorted pork or beef, slowly cooked until deeply savory. It is commonly served with rice and accompaniments such as collard greens, farofa, and orange.</x:v>
      </x:c>
      <x:c r="Q77" s="28" t="str">
        <x:v>needs-review</x:v>
      </x:c>
      <x:c r="R77" s="28" t="str">
        <x:v>Batch 3 candidate. Soup/Broth is Nom's closest category for this thick stew.</x:v>
      </x:c>
      <x:c r="S77" s="28" t="str">
        <x:f>IF(A77="","",IF(COUNTIF($A$5:$A$205,A77)&gt;1,"DUPLICATE ID",IF(AND(Q77="approved",COUNTIFS(Sources!$A$5:$A$404,A77,Sources!$F$5:$F$404,TRUE)=0),"NEEDS SOURCE",IF(AND(Q77="approved",COUNTIFS(Images!$A$5:$A$304,A77,Images!$H$5:$H$304,TRUE,Images!$I$5:$I$304,"approved")&lt;&gt;1),"NEEDS PRIMARY IMAGE","OK"))))</x:f>
        <x:v>OK</x:v>
      </x:c>
    </x:row>
    <x:row r="78">
      <x:c r="A78" s="28" t="str">
        <x:v>macaroni-and-cheese</x:v>
      </x:c>
      <x:c r="B78" s="28" t="str">
        <x:v>Macaroni and Cheese</x:v>
      </x:c>
      <x:c r="C78" s="28" t="str">
        <x:v>Mac and Cheese</x:v>
      </x:c>
      <x:c r="D78" s="28" t="str">
        <x:v>US</x:v>
      </x:c>
      <x:c r="E78" s="28" t="str">
        <x:v>north-america</x:v>
      </x:c>
      <x:c r="F78" s="28" t="str">
        <x:v>noodle</x:v>
      </x:c>
      <x:c r="G78" s="28" t="str">
        <x:v>rich</x:v>
      </x:c>
      <x:c r="H78" s="28" t="str">
        <x:v>comforting</x:v>
      </x:c>
      <x:c r="I78" s="28"/>
      <x:c r="J78" s="28" t="str">
        <x:v>creamy</x:v>
      </x:c>
      <x:c r="K78" s="28" t="str">
        <x:v>buttery</x:v>
      </x:c>
      <x:c r="L78" s="28" t="str">
        <x:v>savory</x:v>
      </x:c>
      <x:c r="M78" s="28"/>
      <x:c r="N78" s="28" t="n">
        <x:v>1</x:v>
      </x:c>
      <x:c r="O78" s="28" t="str">
        <x:v>Macaroni pasta coated in a rich cheese sauce and baked or served stovetop.</x:v>
      </x:c>
      <x:c r="P78" s="28" t="str">
        <x:v>Macaroni and cheese combines cooked macaroni with a cheese-based sauce and may be served creamy from the stovetop or baked until browned. The dish is strongly associated with North American comfort-food traditions.</x:v>
      </x:c>
      <x:c r="Q78" s="28" t="str">
        <x:v>needs-review</x:v>
      </x:c>
      <x:c r="R78" s="28" t="str">
        <x:v>Batch 3 candidate. North American grouping reflects the modern product experience, though the dish has older European precedents. Verified source check: completed for pilot.</x:v>
      </x:c>
      <x:c r="S78" s="28" t="str">
        <x:f>IF(A78="","",IF(COUNTIF($A$5:$A$205,A78)&gt;1,"DUPLICATE ID",IF(AND(Q78="approved",COUNTIFS(Sources!$A$5:$A$404,A78,Sources!$F$5:$F$404,TRUE)=0),"NEEDS SOURCE",IF(AND(Q78="approved",COUNTIFS(Images!$A$5:$A$304,A78,Images!$H$5:$H$304,TRUE,Images!$I$5:$I$304,"approved")&lt;&gt;1),"NEEDS PRIMARY IMAGE","OK"))))</x:f>
        <x:v>OK</x:v>
      </x:c>
    </x:row>
    <x:row r="79">
      <x:c r="A79" s="28" t="str">
        <x:v>pulled-pork-sandwich</x:v>
      </x:c>
      <x:c r="B79" s="28" t="str">
        <x:v>Pulled Pork Sandwich</x:v>
      </x:c>
      <x:c r="C79" s="28" t="str">
        <x:v>Pulled Pork</x:v>
      </x:c>
      <x:c r="D79" s="28" t="str">
        <x:v>US</x:v>
      </x:c>
      <x:c r="E79" s="28" t="str">
        <x:v>north-america</x:v>
      </x:c>
      <x:c r="F79" s="28" t="str">
        <x:v>handheld</x:v>
      </x:c>
      <x:c r="G79" s="28" t="str">
        <x:v>rich</x:v>
      </x:c>
      <x:c r="H79" s="28" t="str">
        <x:v>comforting</x:v>
      </x:c>
      <x:c r="I79" s="28"/>
      <x:c r="J79" s="28" t="str">
        <x:v>smoky</x:v>
      </x:c>
      <x:c r="K79" s="28" t="str">
        <x:v>tender</x:v>
      </x:c>
      <x:c r="L79" s="28" t="str">
        <x:v>savory</x:v>
      </x:c>
      <x:c r="M79" s="28"/>
      <x:c r="N79" s="28" t="n">
        <x:v>1</x:v>
      </x:c>
      <x:c r="O79" s="28" t="str">
        <x:v>Slow-cooked shredded pork piled into a bun with barbecue sauce and optional slaw.</x:v>
      </x:c>
      <x:c r="P79" s="28" t="str">
        <x:v>Pulled pork is made by cooking pork slowly until tender enough to shred, often using smoke in American barbecue traditions. Served in a sandwich, the meat is commonly paired with barbecue sauce, pickles, or coleslaw.</x:v>
      </x:c>
      <x:c r="Q79" s="28" t="str">
        <x:v>needs-review</x:v>
      </x:c>
      <x:c r="R79" s="28" t="str">
        <x:v>Batch 3 candidate. Initial source covers pulled pork broadly; add a stronger regional barbecue source before approval.</x:v>
      </x:c>
      <x:c r="S79" s="28" t="str">
        <x:f>IF(A79="","",IF(COUNTIF($A$5:$A$205,A79)&gt;1,"DUPLICATE ID",IF(AND(Q79="approved",COUNTIFS(Sources!$A$5:$A$404,A79,Sources!$F$5:$F$404,TRUE)=0),"NEEDS SOURCE",IF(AND(Q79="approved",COUNTIFS(Images!$A$5:$A$304,A79,Images!$H$5:$H$304,TRUE,Images!$I$5:$I$304,"approved")&lt;&gt;1),"NEEDS PRIMARY IMAGE","OK"))))</x:f>
        <x:v>OK</x:v>
      </x:c>
    </x:row>
    <x:row r="80">
      <x:c r="A80" s="28" t="str">
        <x:v>dandan-noodles</x:v>
      </x:c>
      <x:c r="B80" s="28" t="str">
        <x:v>Dandan Noodles</x:v>
      </x:c>
      <x:c r="C80" s="28" t="str">
        <x:v>Dan Dan Mian|Dandanmian</x:v>
      </x:c>
      <x:c r="D80" s="28" t="str">
        <x:v>CN</x:v>
      </x:c>
      <x:c r="E80" s="28" t="str">
        <x:v>east-asia</x:v>
      </x:c>
      <x:c r="F80" s="28" t="str">
        <x:v>noodle</x:v>
      </x:c>
      <x:c r="G80" s="28" t="str">
        <x:v>spicy</x:v>
      </x:c>
      <x:c r="H80" s="28" t="str">
        <x:v>rich</x:v>
      </x:c>
      <x:c r="I80" s="28"/>
      <x:c r="J80" s="28" t="str">
        <x:v>savory</x:v>
      </x:c>
      <x:c r="K80" s="28" t="str">
        <x:v>nutty</x:v>
      </x:c>
      <x:c r="L80" s="28" t="str">
        <x:v>aromatic</x:v>
      </x:c>
      <x:c r="M80" s="28"/>
      <x:c r="N80" s="28" t="n">
        <x:v>2</x:v>
      </x:c>
      <x:c r="O80" s="28" t="str">
        <x:v>Sichuan wheat noodles coated in a spicy chile-and-pepper sauce with savory toppings.</x:v>
      </x:c>
      <x:c r="P80" s="28" t="str">
        <x:v>Dandan noodles are a Sichuan noodle dish of wheat noodles tossed with chile oil, Sichuan pepper, preserved vegetables, scallions, and often minced pork. Traditional Chengdu versions are usually served dry rather than as a soup.</x:v>
      </x:c>
      <x:c r="Q80" s="28" t="str">
        <x:v>needs-review</x:v>
      </x:c>
      <x:c r="R80" s="28" t="str">
        <x:v>Batch 4 candidate. Richness depends on sauce style; flavor assignment reflects common spicy, savory preparations.</x:v>
      </x:c>
      <x:c r="S80" s="28" t="str">
        <x:f>IF(A80="","",IF(COUNTIF($A$5:$A$205,A80)&gt;1,"DUPLICATE ID",IF(AND(Q80="approved",COUNTIFS(Sources!$A$5:$A$404,A80,Sources!$F$5:$F$404,TRUE)=0),"NEEDS SOURCE",IF(AND(Q80="approved",COUNTIFS(Images!$A$5:$A$304,A80,Images!$H$5:$H$304,TRUE,Images!$I$5:$I$304,"approved")&lt;&gt;1),"NEEDS PRIMARY IMAGE","OK"))))</x:f>
        <x:v>OK</x:v>
      </x:c>
    </x:row>
    <x:row r="81">
      <x:c r="A81" s="28" t="str">
        <x:v>hot-and-sour-soup</x:v>
      </x:c>
      <x:c r="B81" s="28" t="str">
        <x:v>Hot and Sour Soup</x:v>
      </x:c>
      <x:c r="C81" s="28"/>
      <x:c r="D81" s="28" t="str">
        <x:v>CN</x:v>
      </x:c>
      <x:c r="E81" s="28" t="str">
        <x:v>east-asia</x:v>
      </x:c>
      <x:c r="F81" s="28" t="str">
        <x:v>soup-broth</x:v>
      </x:c>
      <x:c r="G81" s="28" t="str">
        <x:v>spicy</x:v>
      </x:c>
      <x:c r="H81" s="28" t="str">
        <x:v>tangy</x:v>
      </x:c>
      <x:c r="I81" s="28"/>
      <x:c r="J81" s="28" t="str">
        <x:v>savory</x:v>
      </x:c>
      <x:c r="K81" s="28" t="str">
        <x:v>aromatic</x:v>
      </x:c>
      <x:c r="L81" s="28"/>
      <x:c r="M81" s="28"/>
      <x:c r="N81" s="28" t="n">
        <x:v>2</x:v>
      </x:c>
      <x:c r="O81" s="28" t="str">
        <x:v>Chinese soup balancing vinegar sourness, white-pepper heat, tofu, mushrooms, and bamboo shoots.</x:v>
      </x:c>
      <x:c r="P81" s="28" t="str">
        <x:v>Hot and sour soup is a Chinese soup known for balancing sourness from vinegar with peppery heat. Common versions include tofu, mushrooms, bamboo shoots, egg, and pork or another protein in a savory broth.</x:v>
      </x:c>
      <x:c r="Q81" s="28" t="str">
        <x:v>needs-review</x:v>
      </x:c>
      <x:c r="R81" s="28" t="str">
        <x:v>Batch 4 candidate. Regional preparation varies substantially inside and outside China.</x:v>
      </x:c>
      <x:c r="S81" s="28" t="str">
        <x:f>IF(A81="","",IF(COUNTIF($A$5:$A$205,A81)&gt;1,"DUPLICATE ID",IF(AND(Q81="approved",COUNTIFS(Sources!$A$5:$A$404,A81,Sources!$F$5:$F$404,TRUE)=0),"NEEDS SOURCE",IF(AND(Q81="approved",COUNTIFS(Images!$A$5:$A$304,A81,Images!$H$5:$H$304,TRUE,Images!$I$5:$I$304,"approved")&lt;&gt;1),"NEEDS PRIMARY IMAGE","OK"))))</x:f>
        <x:v>OK</x:v>
      </x:c>
    </x:row>
    <x:row r="82">
      <x:c r="A82" s="28" t="str">
        <x:v>gimbap</x:v>
      </x:c>
      <x:c r="B82" s="28" t="str">
        <x:v>Gimbap</x:v>
      </x:c>
      <x:c r="C82" s="28" t="str">
        <x:v>Kimbap</x:v>
      </x:c>
      <x:c r="D82" s="28" t="str">
        <x:v>KR</x:v>
      </x:c>
      <x:c r="E82" s="28" t="str">
        <x:v>east-asia</x:v>
      </x:c>
      <x:c r="F82" s="28" t="str">
        <x:v>handheld</x:v>
      </x:c>
      <x:c r="G82" s="28" t="str">
        <x:v>fresh</x:v>
      </x:c>
      <x:c r="H82" s="28"/>
      <x:c r="I82" s="28"/>
      <x:c r="J82" s="28" t="str">
        <x:v>savory</x:v>
      </x:c>
      <x:c r="K82" s="28" t="str">
        <x:v>light</x:v>
      </x:c>
      <x:c r="L82" s="28"/>
      <x:c r="M82" s="28"/>
      <x:c r="N82" s="28" t="n">
        <x:v>1</x:v>
      </x:c>
      <x:c r="O82" s="28" t="str">
        <x:v>Korean seaweed rice rolls filled with vegetables, egg, and savory proteins.</x:v>
      </x:c>
      <x:c r="P82" s="28" t="str">
        <x:v>Gimbap is a Korean dish of seasoned rice and assorted fillings rolled in dried seaweed and sliced into bite-size pieces. Fillings often include vegetables, egg, pickles, and cooked proteins, creating a portable and balanced meal.</x:v>
      </x:c>
      <x:c r="Q82" s="28" t="str">
        <x:v>needs-review</x:v>
      </x:c>
      <x:c r="R82" s="28" t="str">
        <x:v>Batch 4 candidate. Handheld reflects portable roll format; fillings vary widely.</x:v>
      </x:c>
      <x:c r="S82" s="28" t="str">
        <x:f>IF(A82="","",IF(COUNTIF($A$5:$A$205,A82)&gt;1,"DUPLICATE ID",IF(AND(Q82="approved",COUNTIFS(Sources!$A$5:$A$404,A82,Sources!$F$5:$F$404,TRUE)=0),"NEEDS SOURCE",IF(AND(Q82="approved",COUNTIFS(Images!$A$5:$A$304,A82,Images!$H$5:$H$304,TRUE,Images!$I$5:$I$304,"approved")&lt;&gt;1),"NEEDS PRIMARY IMAGE","OK"))))</x:f>
        <x:v>OK</x:v>
      </x:c>
    </x:row>
    <x:row r="83">
      <x:c r="A83" s="28" t="str">
        <x:v>nasi-lemak</x:v>
      </x:c>
      <x:c r="B83" s="28" t="str">
        <x:v>Nasi Lemak</x:v>
      </x:c>
      <x:c r="C83" s="28"/>
      <x:c r="D83" s="28" t="str">
        <x:v>MY</x:v>
      </x:c>
      <x:c r="E83" s="28" t="str">
        <x:v>southeast-asia</x:v>
      </x:c>
      <x:c r="F83" s="28" t="str">
        <x:v>rice</x:v>
      </x:c>
      <x:c r="G83" s="28" t="str">
        <x:v>rich</x:v>
      </x:c>
      <x:c r="H83" s="28" t="str">
        <x:v>spicy</x:v>
      </x:c>
      <x:c r="I83" s="28"/>
      <x:c r="J83" s="28" t="str">
        <x:v>aromatic</x:v>
      </x:c>
      <x:c r="K83" s="28" t="str">
        <x:v>savory</x:v>
      </x:c>
      <x:c r="L83" s="28" t="str">
        <x:v>creamy</x:v>
      </x:c>
      <x:c r="M83" s="28"/>
      <x:c r="N83" s="28" t="n">
        <x:v>1</x:v>
      </x:c>
      <x:c r="O83" s="28" t="str">
        <x:v>Malay coconut rice served with sambal, anchovies, peanuts, egg, cucumber, and varied sides.</x:v>
      </x:c>
      <x:c r="P83" s="28" t="str">
        <x:v>Nasi lemak is a Malay dish of rice cooked with coconut milk and pandan, commonly served with sambal, anchovies, peanuts, cucumber, and egg. Additional proteins and side dishes vary across Malaysia and neighboring cuisines.</x:v>
      </x:c>
      <x:c r="Q83" s="28" t="str">
        <x:v>needs-review</x:v>
      </x:c>
      <x:c r="R83" s="28" t="str">
        <x:v>Batch 4 candidate. Adventure level is a Nom heuristic; side dishes vary by region.</x:v>
      </x:c>
      <x:c r="S83" s="28" t="str">
        <x:f>IF(A83="","",IF(COUNTIF($A$5:$A$205,A83)&gt;1,"DUPLICATE ID",IF(AND(Q83="approved",COUNTIFS(Sources!$A$5:$A$404,A83,Sources!$F$5:$F$404,TRUE)=0),"NEEDS SOURCE",IF(AND(Q83="approved",COUNTIFS(Images!$A$5:$A$304,A83,Images!$H$5:$H$304,TRUE,Images!$I$5:$I$304,"approved")&lt;&gt;1),"NEEDS PRIMARY IMAGE","OK"))))</x:f>
        <x:v>OK</x:v>
      </x:c>
    </x:row>
    <x:row r="84">
      <x:c r="A84" s="28" t="str">
        <x:v>fried-lumpia</x:v>
      </x:c>
      <x:c r="B84" s="28" t="str">
        <x:v>Fried Lumpia</x:v>
      </x:c>
      <x:c r="C84" s="28" t="str">
        <x:v>Lumpia|Lumpiang Shanghai</x:v>
      </x:c>
      <x:c r="D84" s="28" t="str">
        <x:v>PH</x:v>
      </x:c>
      <x:c r="E84" s="28" t="str">
        <x:v>southeast-asia</x:v>
      </x:c>
      <x:c r="F84" s="28" t="str">
        <x:v>handheld</x:v>
      </x:c>
      <x:c r="G84" s="28" t="str">
        <x:v>crispy</x:v>
      </x:c>
      <x:c r="H84" s="28"/>
      <x:c r="I84" s="28"/>
      <x:c r="J84" s="28" t="str">
        <x:v>savory</x:v>
      </x:c>
      <x:c r="K84" s="28" t="str">
        <x:v>light</x:v>
      </x:c>
      <x:c r="L84" s="28"/>
      <x:c r="M84" s="28"/>
      <x:c r="N84" s="28" t="n">
        <x:v>1</x:v>
      </x:c>
      <x:c r="O84" s="28" t="str">
        <x:v>Filipino fried spring rolls with thin wrappers and savory vegetable or meat fillings.</x:v>
      </x:c>
      <x:c r="P84" s="28" t="str">
        <x:v>Fried lumpia are Filipino spring rolls made with thin wrappers and savory fillings such as vegetables or seasoned meat, then fried until crisp. This entry was split from the original mixed Lumpia row so Nom can recommend the fried style specifically for a crispy preference.</x:v>
      </x:c>
      <x:c r="Q84" s="28" t="str">
        <x:v>needs-review</x:v>
      </x:c>
      <x:c r="R84" s="28" t="str">
        <x:v>Split from the original mixed Lumpia entry. This row represents fried lumpia only; source and image remain candidates pending verification.</x:v>
      </x:c>
      <x:c r="S84" s="28" t="str">
        <x:f>IF(A84="","",IF(COUNTIF($A$5:$A$205,A84)&gt;1,"DUPLICATE ID",IF(AND(Q84="approved",COUNTIFS(Sources!$A$5:$A$404,A84,Sources!$F$5:$F$404,TRUE)=0),"NEEDS SOURCE",IF(AND(Q84="approved",COUNTIFS(Images!$A$5:$A$304,A84,Images!$H$5:$H$304,TRUE,Images!$I$5:$I$304,"approved")&lt;&gt;1),"NEEDS PRIMARY IMAGE","OK"))))</x:f>
        <x:v>OK</x:v>
      </x:c>
    </x:row>
    <x:row r="85">
      <x:c r="A85" s="28" t="str">
        <x:v>ayam-bakar</x:v>
      </x:c>
      <x:c r="B85" s="28" t="str">
        <x:v>Ayam Bakar</x:v>
      </x:c>
      <x:c r="C85" s="28"/>
      <x:c r="D85" s="28" t="str">
        <x:v>ID</x:v>
      </x:c>
      <x:c r="E85" s="28" t="str">
        <x:v>southeast-asia</x:v>
      </x:c>
      <x:c r="F85" s="28" t="str">
        <x:v>grilled-protein</x:v>
      </x:c>
      <x:c r="G85" s="28" t="str">
        <x:v>spicy</x:v>
      </x:c>
      <x:c r="H85" s="28" t="str">
        <x:v>rich</x:v>
      </x:c>
      <x:c r="I85" s="28"/>
      <x:c r="J85" s="28" t="str">
        <x:v>smoky</x:v>
      </x:c>
      <x:c r="K85" s="28" t="str">
        <x:v>charred</x:v>
      </x:c>
      <x:c r="L85" s="28" t="str">
        <x:v>aromatic</x:v>
      </x:c>
      <x:c r="M85" s="28"/>
      <x:c r="N85" s="28" t="n">
        <x:v>2</x:v>
      </x:c>
      <x:c r="O85" s="28" t="str">
        <x:v>Indonesian charcoal-grilled chicken marinated with spices, aromatics, and often sweet soy.</x:v>
      </x:c>
      <x:c r="P85" s="28" t="str">
        <x:v>Ayam bakar is Indonesian and Malay-style grilled chicken seasoned with a regional spice paste and cooked over charcoal. Javanese versions often use sweet soy, while other regional versions lean hotter and more chile-forward.</x:v>
      </x:c>
      <x:c r="Q85" s="28" t="str">
        <x:v>needs-review</x:v>
      </x:c>
      <x:c r="R85" s="28" t="str">
        <x:v>Batch 4 candidate. Flavor profile varies by region; Indonesia used for catalog grouping.</x:v>
      </x:c>
      <x:c r="S85" s="28" t="str">
        <x:f>IF(A85="","",IF(COUNTIF($A$5:$A$205,A85)&gt;1,"DUPLICATE ID",IF(AND(Q85="approved",COUNTIFS(Sources!$A$5:$A$404,A85,Sources!$F$5:$F$404,TRUE)=0),"NEEDS SOURCE",IF(AND(Q85="approved",COUNTIFS(Images!$A$5:$A$304,A85,Images!$H$5:$H$304,TRUE,Images!$I$5:$I$304,"approved")&lt;&gt;1),"NEEDS PRIMARY IMAGE","OK"))))</x:f>
        <x:v>OK</x:v>
      </x:c>
    </x:row>
    <x:row r="86">
      <x:c r="A86" s="28" t="str">
        <x:v>rendang</x:v>
      </x:c>
      <x:c r="B86" s="28" t="str">
        <x:v>Rendang</x:v>
      </x:c>
      <x:c r="C86" s="28"/>
      <x:c r="D86" s="28" t="str">
        <x:v>ID</x:v>
      </x:c>
      <x:c r="E86" s="28" t="str">
        <x:v>southeast-asia</x:v>
      </x:c>
      <x:c r="F86" s="28" t="str">
        <x:v>grilled-protein</x:v>
      </x:c>
      <x:c r="G86" s="28" t="str">
        <x:v>rich</x:v>
      </x:c>
      <x:c r="H86" s="28" t="str">
        <x:v>spicy</x:v>
      </x:c>
      <x:c r="I86" s="28"/>
      <x:c r="J86" s="28" t="str">
        <x:v>savory</x:v>
      </x:c>
      <x:c r="K86" s="28" t="str">
        <x:v>aromatic</x:v>
      </x:c>
      <x:c r="L86" s="28" t="str">
        <x:v>tender</x:v>
      </x:c>
      <x:c r="M86" s="28"/>
      <x:c r="N86" s="28" t="n">
        <x:v>3</x:v>
      </x:c>
      <x:c r="O86" s="28" t="str">
        <x:v>Slow-cooked spiced meat reduced in coconut milk until deeply rich and concentrated.</x:v>
      </x:c>
      <x:c r="P86" s="28" t="str">
        <x:v>Rendang is a Southeast Asian meat dish slowly cooked with coconut milk, chile, turmeric, and aromatics until the sauce reduces and coats the meat in a concentrated glaze. It is strongly associated with Minangkabau and Malay culinary traditions.</x:v>
      </x:c>
      <x:c r="Q86" s="28" t="str">
        <x:v>needs-review</x:v>
      </x:c>
      <x:c r="R86" s="28" t="str">
        <x:v>Batch 4 candidate. Grilled/Protein is Nom's broad protein category; rendang is slow-cooked, not grilled.</x:v>
      </x:c>
      <x:c r="S86" s="28" t="str">
        <x:f>IF(A86="","",IF(COUNTIF($A$5:$A$205,A86)&gt;1,"DUPLICATE ID",IF(AND(Q86="approved",COUNTIFS(Sources!$A$5:$A$404,A86,Sources!$F$5:$F$404,TRUE)=0),"NEEDS SOURCE",IF(AND(Q86="approved",COUNTIFS(Images!$A$5:$A$304,A86,Images!$H$5:$H$304,TRUE,Images!$I$5:$I$304,"approved")&lt;&gt;1),"NEEDS PRIMARY IMAGE","OK"))))</x:f>
        <x:v>OK</x:v>
      </x:c>
    </x:row>
    <x:row r="87">
      <x:c r="A87" s="28" t="str">
        <x:v>kottu-roti</x:v>
      </x:c>
      <x:c r="B87" s="28" t="str">
        <x:v>Kottu Roti</x:v>
      </x:c>
      <x:c r="C87" s="28" t="str">
        <x:v>Kothu Roti|Kottu</x:v>
      </x:c>
      <x:c r="D87" s="28" t="str">
        <x:v>LK</x:v>
      </x:c>
      <x:c r="E87" s="28" t="str">
        <x:v>south-asia</x:v>
      </x:c>
      <x:c r="F87" s="28" t="str">
        <x:v>handheld</x:v>
      </x:c>
      <x:c r="G87" s="28" t="str">
        <x:v>crispy</x:v>
      </x:c>
      <x:c r="H87" s="28"/>
      <x:c r="I87" s="28"/>
      <x:c r="J87" s="28" t="str">
        <x:v>savory</x:v>
      </x:c>
      <x:c r="K87" s="28" t="str">
        <x:v>aromatic</x:v>
      </x:c>
      <x:c r="L87" s="28" t="str">
        <x:v>chewy</x:v>
      </x:c>
      <x:c r="M87" s="28"/>
      <x:c r="N87" s="28" t="n">
        <x:v>3</x:v>
      </x:c>
      <x:c r="O87" s="28" t="str">
        <x:v>Sri Lankan chopped roti stir-fried on a griddle with vegetables, egg, curry, and optional meat.</x:v>
      </x:c>
      <x:c r="P87" s="28" t="str">
        <x:v>Kottu roti is a Sri Lankan street-food dish made by chopping roti into strips and stir-frying it on a hot griddle with vegetables, egg, curry, and optional meat or seafood. Its distinctive preparation creates a mix of chewy and crisp textures.</x:v>
      </x:c>
      <x:c r="Q87" s="28" t="str">
        <x:v>needs-review</x:v>
      </x:c>
      <x:c r="R87" s="28" t="str">
        <x:v>Batch 4 candidate. Handheld is Nom's closest available category even though kottu is usually eaten from a plate.</x:v>
      </x:c>
      <x:c r="S87" s="28" t="str">
        <x:f>IF(A87="","",IF(COUNTIF($A$5:$A$205,A87)&gt;1,"DUPLICATE ID",IF(AND(Q87="approved",COUNTIFS(Sources!$A$5:$A$404,A87,Sources!$F$5:$F$404,TRUE)=0),"NEEDS SOURCE",IF(AND(Q87="approved",COUNTIFS(Images!$A$5:$A$304,A87,Images!$H$5:$H$304,TRUE,Images!$I$5:$I$304,"approved")&lt;&gt;1),"NEEDS PRIMARY IMAGE","OK"))))</x:f>
        <x:v>OK</x:v>
      </x:c>
    </x:row>
    <x:row r="88">
      <x:c r="A88" s="28" t="str">
        <x:v>nihari</x:v>
      </x:c>
      <x:c r="B88" s="28" t="str">
        <x:v>Nihari</x:v>
      </x:c>
      <x:c r="C88" s="28"/>
      <x:c r="D88" s="28" t="str">
        <x:v>PK</x:v>
      </x:c>
      <x:c r="E88" s="28" t="str">
        <x:v>south-asia</x:v>
      </x:c>
      <x:c r="F88" s="28" t="str">
        <x:v>soup-broth</x:v>
      </x:c>
      <x:c r="G88" s="28" t="str">
        <x:v>rich</x:v>
      </x:c>
      <x:c r="H88" s="28"/>
      <x:c r="I88" s="28"/>
      <x:c r="J88" s="28" t="str">
        <x:v>savory</x:v>
      </x:c>
      <x:c r="K88" s="28" t="str">
        <x:v>aromatic</x:v>
      </x:c>
      <x:c r="L88" s="28" t="str">
        <x:v>tender</x:v>
      </x:c>
      <x:c r="M88" s="28"/>
      <x:c r="N88" s="28" t="n">
        <x:v>3</x:v>
      </x:c>
      <x:c r="O88" s="28" t="str">
        <x:v>Slow-cooked South Asian meat stew with warming spices, marrow, and a deeply savory broth.</x:v>
      </x:c>
      <x:c r="P88" s="28" t="str">
        <x:v>Nihari is a slow-cooked meat stew from the Indian subcontinent, commonly made with beef, lamb, or mutton shank and warming spices. Long cooking develops a rich broth and tender meat, often served with naan, roti, or rice.</x:v>
      </x:c>
      <x:c r="Q88" s="28" t="str">
        <x:v>needs-review</x:v>
      </x:c>
      <x:c r="R88" s="28" t="str">
        <x:v>Batch 4 candidate. Pakistan used for catalog grouping while acknowledging roots across the Indian subcontinent.</x:v>
      </x:c>
      <x:c r="S88" s="28" t="str">
        <x:f>IF(A88="","",IF(COUNTIF($A$5:$A$205,A88)&gt;1,"DUPLICATE ID",IF(AND(Q88="approved",COUNTIFS(Sources!$A$5:$A$404,A88,Sources!$F$5:$F$404,TRUE)=0),"NEEDS SOURCE",IF(AND(Q88="approved",COUNTIFS(Images!$A$5:$A$304,A88,Images!$H$5:$H$304,TRUE,Images!$I$5:$I$304,"approved")&lt;&gt;1),"NEEDS PRIMARY IMAGE","OK"))))</x:f>
        <x:v>OK</x:v>
      </x:c>
    </x:row>
    <x:row r="89">
      <x:c r="A89" s="28" t="str">
        <x:v>seekh-kebab</x:v>
      </x:c>
      <x:c r="B89" s="28" t="str">
        <x:v>Seekh Kebab</x:v>
      </x:c>
      <x:c r="C89" s="28"/>
      <x:c r="D89" s="28" t="str">
        <x:v>PK</x:v>
      </x:c>
      <x:c r="E89" s="28" t="str">
        <x:v>south-asia</x:v>
      </x:c>
      <x:c r="F89" s="28" t="str">
        <x:v>grilled-protein</x:v>
      </x:c>
      <x:c r="G89" s="28" t="str">
        <x:v>spicy</x:v>
      </x:c>
      <x:c r="H89" s="28"/>
      <x:c r="I89" s="28"/>
      <x:c r="J89" s="28" t="str">
        <x:v>savory</x:v>
      </x:c>
      <x:c r="K89" s="28" t="str">
        <x:v>smoky</x:v>
      </x:c>
      <x:c r="L89" s="28" t="str">
        <x:v>charred</x:v>
      </x:c>
      <x:c r="M89" s="28"/>
      <x:c r="N89" s="28" t="n">
        <x:v>2</x:v>
      </x:c>
      <x:c r="O89" s="28" t="str">
        <x:v>Spiced minced meat shaped around skewers and grilled over intense heat.</x:v>
      </x:c>
      <x:c r="P89" s="28" t="str">
        <x:v>Seekh kebab is made by seasoning minced or ground meat, shaping it around skewers, and grilling it over charcoal or in a tandoor. Ginger, garlic, chile, herbs, and warm spices give the kebab a savory, smoky profile.</x:v>
      </x:c>
      <x:c r="Q89" s="28" t="str">
        <x:v>needs-review</x:v>
      </x:c>
      <x:c r="R89" s="28" t="str">
        <x:v>Batch 4 candidate. Pakistan used for catalog grouping; the dish is eaten across the Indian subcontinent.</x:v>
      </x:c>
      <x:c r="S89" s="28" t="str">
        <x:f>IF(A89="","",IF(COUNTIF($A$5:$A$205,A89)&gt;1,"DUPLICATE ID",IF(AND(Q89="approved",COUNTIFS(Sources!$A$5:$A$404,A89,Sources!$F$5:$F$404,TRUE)=0),"NEEDS SOURCE",IF(AND(Q89="approved",COUNTIFS(Images!$A$5:$A$304,A89,Images!$H$5:$H$304,TRUE,Images!$I$5:$I$304,"approved")&lt;&gt;1),"NEEDS PRIMARY IMAGE","OK"))))</x:f>
        <x:v>OK</x:v>
      </x:c>
    </x:row>
    <x:row r="90">
      <x:c r="A90" s="28" t="str">
        <x:v>thukpa</x:v>
      </x:c>
      <x:c r="B90" s="28" t="str">
        <x:v>Thukpa</x:v>
      </x:c>
      <x:c r="C90" s="28"/>
      <x:c r="D90" s="28" t="str">
        <x:v>NP</x:v>
      </x:c>
      <x:c r="E90" s="28" t="str">
        <x:v>south-asia</x:v>
      </x:c>
      <x:c r="F90" s="28" t="str">
        <x:v>noodle</x:v>
      </x:c>
      <x:c r="G90" s="28" t="str">
        <x:v>comforting</x:v>
      </x:c>
      <x:c r="H90" s="28" t="str">
        <x:v>fresh</x:v>
      </x:c>
      <x:c r="I90" s="28"/>
      <x:c r="J90" s="28" t="str">
        <x:v>savory</x:v>
      </x:c>
      <x:c r="K90" s="28" t="str">
        <x:v>aromatic</x:v>
      </x:c>
      <x:c r="L90" s="28" t="str">
        <x:v>light</x:v>
      </x:c>
      <x:c r="M90" s="28"/>
      <x:c r="N90" s="28" t="n">
        <x:v>2</x:v>
      </x:c>
      <x:c r="O90" s="28" t="str">
        <x:v>Tibetan and Nepalese noodle soup with vegetables, herbs, and optional meat or egg.</x:v>
      </x:c>
      <x:c r="P90" s="28" t="str">
        <x:v>Thukpa is a Tibetan and Nepalese noodle soup with several regional forms. Noodles are served in a warming broth with vegetables and, depending on the version, chicken, egg, beans, herbs, or other garnishes.</x:v>
      </x:c>
      <x:c r="Q90" s="28" t="str">
        <x:v>needs-review</x:v>
      </x:c>
      <x:c r="R90" s="28" t="str">
        <x:v>Batch 4 candidate. Nepal used for Nom grouping; the dish has Tibetan origins and wider Himalayan traditions.</x:v>
      </x:c>
      <x:c r="S90" s="28" t="str">
        <x:f>IF(A90="","",IF(COUNTIF($A$5:$A$205,A90)&gt;1,"DUPLICATE ID",IF(AND(Q90="approved",COUNTIFS(Sources!$A$5:$A$404,A90,Sources!$F$5:$F$404,TRUE)=0),"NEEDS SOURCE",IF(AND(Q90="approved",COUNTIFS(Images!$A$5:$A$304,A90,Images!$H$5:$H$304,TRUE,Images!$I$5:$I$304,"approved")&lt;&gt;1),"NEEDS PRIMARY IMAGE","OK"))))</x:f>
        <x:v>OK</x:v>
      </x:c>
    </x:row>
    <x:row r="91">
      <x:c r="A91" s="28" t="str">
        <x:v>kibbeh</x:v>
      </x:c>
      <x:c r="B91" s="28" t="str">
        <x:v>Kibbeh</x:v>
      </x:c>
      <x:c r="C91" s="28" t="str">
        <x:v>Kubba|Kibbe</x:v>
      </x:c>
      <x:c r="D91" s="28" t="str">
        <x:v>LB</x:v>
      </x:c>
      <x:c r="E91" s="28" t="str">
        <x:v>middle-east</x:v>
      </x:c>
      <x:c r="F91" s="28" t="str">
        <x:v>handheld</x:v>
      </x:c>
      <x:c r="G91" s="28" t="str">
        <x:v>crispy</x:v>
      </x:c>
      <x:c r="H91" s="28" t="str">
        <x:v>rich</x:v>
      </x:c>
      <x:c r="I91" s="28"/>
      <x:c r="J91" s="28" t="str">
        <x:v>savory</x:v>
      </x:c>
      <x:c r="K91" s="28" t="str">
        <x:v>aromatic</x:v>
      </x:c>
      <x:c r="L91" s="28" t="str">
        <x:v>tender</x:v>
      </x:c>
      <x:c r="M91" s="28"/>
      <x:c r="N91" s="28" t="n">
        <x:v>2</x:v>
      </x:c>
      <x:c r="O91" s="28" t="str">
        <x:v>Levantine bulgur-and-meat croquettes seasoned with spices and often fried until crisp.</x:v>
      </x:c>
      <x:c r="P91" s="28" t="str">
        <x:v>Kibbeh is a Levantine and Arab dish built from finely ground meat, bulgur, and spices. Common fried versions form the mixture into shells around a seasoned meat filling, though baked, grilled, and raw preparations also exist.</x:v>
      </x:c>
      <x:c r="Q91" s="28" t="str">
        <x:v>needs-review</x:v>
      </x:c>
      <x:c r="R91" s="28" t="str">
        <x:v>Batch 4 candidate. Lebanon used for catalog grouping; kibbeh has broad Levantine and Arab traditions.</x:v>
      </x:c>
      <x:c r="S91" s="28" t="str">
        <x:f>IF(A91="","",IF(COUNTIF($A$5:$A$205,A91)&gt;1,"DUPLICATE ID",IF(AND(Q91="approved",COUNTIFS(Sources!$A$5:$A$404,A91,Sources!$F$5:$F$404,TRUE)=0),"NEEDS SOURCE",IF(AND(Q91="approved",COUNTIFS(Images!$A$5:$A$304,A91,Images!$H$5:$H$304,TRUE,Images!$I$5:$I$304,"approved")&lt;&gt;1),"NEEDS PRIMARY IMAGE","OK"))))</x:f>
        <x:v>OK</x:v>
      </x:c>
    </x:row>
    <x:row r="92">
      <x:c r="A92" s="28" t="str">
        <x:v>reshteh-polow</x:v>
      </x:c>
      <x:c r="B92" s="28" t="str">
        <x:v>Reshteh Polow</x:v>
      </x:c>
      <x:c r="C92" s="28" t="str">
        <x:v>Reshteh Polo|Reshteh Pilaf</x:v>
      </x:c>
      <x:c r="D92" s="28" t="str">
        <x:v>IR</x:v>
      </x:c>
      <x:c r="E92" s="28" t="str">
        <x:v>middle-east</x:v>
      </x:c>
      <x:c r="F92" s="28" t="str">
        <x:v>noodle</x:v>
      </x:c>
      <x:c r="G92" s="28" t="str">
        <x:v>comforting</x:v>
      </x:c>
      <x:c r="H92" s="28"/>
      <x:c r="I92" s="28"/>
      <x:c r="J92" s="28" t="str">
        <x:v>savory</x:v>
      </x:c>
      <x:c r="K92" s="28" t="str">
        <x:v>aromatic</x:v>
      </x:c>
      <x:c r="L92" s="28" t="str">
        <x:v>chewy</x:v>
      </x:c>
      <x:c r="M92" s="28"/>
      <x:c r="N92" s="28" t="n">
        <x:v>3</x:v>
      </x:c>
      <x:c r="O92" s="28" t="str">
        <x:v>Iranian rice-and-noodle pilaf combining browned reshteh noodles with fragrant rice.</x:v>
      </x:c>
      <x:c r="P92" s="28" t="str">
        <x:v>Reshteh polow is an Iranian pilaf combining rice with broken reshteh noodles that are browned before cooking. The dish is associated with special occasions and Nowruz symbolism, with the noodles representing threads or reins of life.</x:v>
      </x:c>
      <x:c r="Q92" s="28" t="str">
        <x:v>needs-review</x:v>
      </x:c>
      <x:c r="R92" s="28" t="str">
        <x:v>Batch 4 candidate. Source is the broader Reshteh article; add a dedicated culinary source before approval.</x:v>
      </x:c>
      <x:c r="S92" s="28" t="str">
        <x:f>IF(A92="","",IF(COUNTIF($A$5:$A$205,A92)&gt;1,"DUPLICATE ID",IF(AND(Q92="approved",COUNTIFS(Sources!$A$5:$A$404,A92,Sources!$F$5:$F$404,TRUE)=0),"NEEDS SOURCE",IF(AND(Q92="approved",COUNTIFS(Images!$A$5:$A$304,A92,Images!$H$5:$H$304,TRUE,Images!$I$5:$I$304,"approved")&lt;&gt;1),"NEEDS PRIMARY IMAGE","OK"))))</x:f>
        <x:v>OK</x:v>
      </x:c>
    </x:row>
    <x:row r="93">
      <x:c r="A93" s="28" t="str">
        <x:v>fesenjan</x:v>
      </x:c>
      <x:c r="B93" s="28" t="str">
        <x:v>Fesenjan</x:v>
      </x:c>
      <x:c r="C93" s="28" t="str">
        <x:v>Fesenjān|Fesenjoon</x:v>
      </x:c>
      <x:c r="D93" s="28" t="str">
        <x:v>IR</x:v>
      </x:c>
      <x:c r="E93" s="28" t="str">
        <x:v>middle-east</x:v>
      </x:c>
      <x:c r="F93" s="28" t="str">
        <x:v>grilled-protein</x:v>
      </x:c>
      <x:c r="G93" s="28" t="str">
        <x:v>rich</x:v>
      </x:c>
      <x:c r="H93" s="28" t="str">
        <x:v>tangy</x:v>
      </x:c>
      <x:c r="I93" s="28"/>
      <x:c r="J93" s="28" t="str">
        <x:v>nutty</x:v>
      </x:c>
      <x:c r="K93" s="28" t="str">
        <x:v>savory</x:v>
      </x:c>
      <x:c r="L93" s="28" t="str">
        <x:v>sweet</x:v>
      </x:c>
      <x:c r="M93" s="28"/>
      <x:c r="N93" s="28" t="n">
        <x:v>3</x:v>
      </x:c>
      <x:c r="O93" s="28" t="str">
        <x:v>Iranian walnut-and-pomegranate stew with poultry or meat and a rich sweet-tart sauce.</x:v>
      </x:c>
      <x:c r="P93" s="28" t="str">
        <x:v>Fesenjan is an Iranian stew built from ground walnuts and pomegranate, commonly cooked with chicken, duck, meatballs, or other meats. The sauce is deeply nutty and rich, balancing sweet and tart pomegranate flavors.</x:v>
      </x:c>
      <x:c r="Q93" s="28" t="str">
        <x:v>needs-review</x:v>
      </x:c>
      <x:c r="R93" s="28" t="str">
        <x:v>Batch 4 candidate. Grilled/Protein is Nom's broad protein category; fesenjan itself is stewed.</x:v>
      </x:c>
      <x:c r="S93" s="28" t="str">
        <x:f>IF(A93="","",IF(COUNTIF($A$5:$A$205,A93)&gt;1,"DUPLICATE ID",IF(AND(Q93="approved",COUNTIFS(Sources!$A$5:$A$404,A93,Sources!$F$5:$F$404,TRUE)=0),"NEEDS SOURCE",IF(AND(Q93="approved",COUNTIFS(Images!$A$5:$A$304,A93,Images!$H$5:$H$304,TRUE,Images!$I$5:$I$304,"approved")&lt;&gt;1),"NEEDS PRIMARY IMAGE","OK"))))</x:f>
        <x:v>OK</x:v>
      </x:c>
    </x:row>
    <x:row r="94">
      <x:c r="A94" s="28" t="str">
        <x:v>akara</x:v>
      </x:c>
      <x:c r="B94" s="28" t="str">
        <x:v>Akara</x:v>
      </x:c>
      <x:c r="C94" s="28" t="str">
        <x:v>Acarajé|Bean Cake</x:v>
      </x:c>
      <x:c r="D94" s="28" t="str">
        <x:v>NG</x:v>
      </x:c>
      <x:c r="E94" s="28" t="str">
        <x:v>africa</x:v>
      </x:c>
      <x:c r="F94" s="28" t="str">
        <x:v>handheld</x:v>
      </x:c>
      <x:c r="G94" s="28" t="str">
        <x:v>crispy</x:v>
      </x:c>
      <x:c r="H94" s="28" t="str">
        <x:v>spicy</x:v>
      </x:c>
      <x:c r="I94" s="28"/>
      <x:c r="J94" s="28" t="str">
        <x:v>savory</x:v>
      </x:c>
      <x:c r="K94" s="28" t="str">
        <x:v>earthy</x:v>
      </x:c>
      <x:c r="L94" s="28"/>
      <x:c r="M94" s="28"/>
      <x:c r="N94" s="28" t="n">
        <x:v>2</x:v>
      </x:c>
      <x:c r="O94" s="28" t="str">
        <x:v>West African black-eyed-pea fritters seasoned with onion and chile, then fried until crisp.</x:v>
      </x:c>
      <x:c r="P94" s="28" t="str">
        <x:v>Akara are fritters made from peeled black-eyed peas or similar beans ground with onion, pepper, and seasonings, then deep-fried. They are associated with Yoruba traditions in Nigeria, Benin, and Togo and also appear in related Atlantic cuisines.</x:v>
      </x:c>
      <x:c r="Q94" s="28" t="str">
        <x:v>needs-review</x:v>
      </x:c>
      <x:c r="R94" s="28" t="str">
        <x:v>Batch 4 candidate. Nigeria used for catalog grouping while acknowledging broader Yoruba and diaspora traditions.</x:v>
      </x:c>
      <x:c r="S94" s="28" t="str">
        <x:f>IF(A94="","",IF(COUNTIF($A$5:$A$205,A94)&gt;1,"DUPLICATE ID",IF(AND(Q94="approved",COUNTIFS(Sources!$A$5:$A$404,A94,Sources!$F$5:$F$404,TRUE)=0),"NEEDS SOURCE",IF(AND(Q94="approved",COUNTIFS(Images!$A$5:$A$304,A94,Images!$H$5:$H$304,TRUE,Images!$I$5:$I$304,"approved")&lt;&gt;1),"NEEDS PRIMARY IMAGE","OK"))))</x:f>
        <x:v>OK</x:v>
      </x:c>
    </x:row>
    <x:row r="95">
      <x:c r="A95" s="28" t="str">
        <x:v>waakye</x:v>
      </x:c>
      <x:c r="B95" s="28" t="str">
        <x:v>Waakye</x:v>
      </x:c>
      <x:c r="C95" s="28" t="str">
        <x:v>Wakey</x:v>
      </x:c>
      <x:c r="D95" s="28" t="str">
        <x:v>GH</x:v>
      </x:c>
      <x:c r="E95" s="28" t="str">
        <x:v>africa</x:v>
      </x:c>
      <x:c r="F95" s="28" t="str">
        <x:v>rice</x:v>
      </x:c>
      <x:c r="G95" s="28" t="str">
        <x:v>comforting</x:v>
      </x:c>
      <x:c r="H95" s="28"/>
      <x:c r="I95" s="28"/>
      <x:c r="J95" s="28" t="str">
        <x:v>savory</x:v>
      </x:c>
      <x:c r="K95" s="28" t="str">
        <x:v>earthy</x:v>
      </x:c>
      <x:c r="L95" s="28" t="str">
        <x:v>aromatic</x:v>
      </x:c>
      <x:c r="M95" s="28"/>
      <x:c r="N95" s="28" t="n">
        <x:v>2</x:v>
      </x:c>
      <x:c r="O95" s="28" t="str">
        <x:v>Ghanaian rice and beans served with spicy sauces, vegetables, egg, meat, or plantain.</x:v>
      </x:c>
      <x:c r="P95" s="28" t="str">
        <x:v>Waakye is a Ghanaian dish of rice and beans cooked together, traditionally with sorghum leaves or stalks that influence color and flavor. It is often served with shito, egg, vegetables, meat, plantain, or other accompaniments.</x:v>
      </x:c>
      <x:c r="Q95" s="28" t="str">
        <x:v>needs-review</x:v>
      </x:c>
      <x:c r="R95" s="28" t="str">
        <x:v>Batch 4 candidate. Fresh preference reflects common vegetable accompaniments rather than the rice-and-bean base alone.</x:v>
      </x:c>
      <x:c r="S95" s="28" t="str">
        <x:f>IF(A95="","",IF(COUNTIF($A$5:$A$205,A95)&gt;1,"DUPLICATE ID",IF(AND(Q95="approved",COUNTIFS(Sources!$A$5:$A$404,A95,Sources!$F$5:$F$404,TRUE)=0),"NEEDS SOURCE",IF(AND(Q95="approved",COUNTIFS(Images!$A$5:$A$304,A95,Images!$H$5:$H$304,TRUE,Images!$I$5:$I$304,"approved")&lt;&gt;1),"NEEDS PRIMARY IMAGE","OK"))))</x:f>
        <x:v>OK</x:v>
      </x:c>
    </x:row>
    <x:row r="96">
      <x:c r="A96" s="28" t="str">
        <x:v>maafe</x:v>
      </x:c>
      <x:c r="B96" s="28" t="str">
        <x:v>Maafe</x:v>
      </x:c>
      <x:c r="C96" s="28" t="str">
        <x:v>Mafé|Groundnut Stew|Peanut Stew</x:v>
      </x:c>
      <x:c r="D96" s="28" t="str">
        <x:v>SN</x:v>
      </x:c>
      <x:c r="E96" s="28" t="str">
        <x:v>africa</x:v>
      </x:c>
      <x:c r="F96" s="28" t="str">
        <x:v>soup-broth</x:v>
      </x:c>
      <x:c r="G96" s="28" t="str">
        <x:v>rich</x:v>
      </x:c>
      <x:c r="H96" s="28"/>
      <x:c r="I96" s="28"/>
      <x:c r="J96" s="28" t="str">
        <x:v>nutty</x:v>
      </x:c>
      <x:c r="K96" s="28" t="str">
        <x:v>savory</x:v>
      </x:c>
      <x:c r="L96" s="28" t="str">
        <x:v>creamy</x:v>
      </x:c>
      <x:c r="M96" s="28"/>
      <x:c r="N96" s="28" t="n">
        <x:v>2</x:v>
      </x:c>
      <x:c r="O96" s="28" t="str">
        <x:v>West African peanut stew with meat or vegetables simmered in a rich tomato-groundnut sauce.</x:v>
      </x:c>
      <x:c r="P96" s="28" t="str">
        <x:v>Maafe is a West African peanut stew associated with Senegal and neighboring cuisines. Meat or vegetables are simmered with peanuts or peanut paste, tomatoes, onions, garlic, and vegetables to create a rich, nutty sauce or stew.</x:v>
      </x:c>
      <x:c r="Q96" s="28" t="str">
        <x:v>needs-review</x:v>
      </x:c>
      <x:c r="R96" s="28" t="str">
        <x:v>Batch 4 candidate. Senegal used for catalog grouping; related peanut stews span West Africa.</x:v>
      </x:c>
      <x:c r="S96" s="28" t="str">
        <x:f>IF(A96="","",IF(COUNTIF($A$5:$A$205,A96)&gt;1,"DUPLICATE ID",IF(AND(Q96="approved",COUNTIFS(Sources!$A$5:$A$404,A96,Sources!$F$5:$F$404,TRUE)=0),"NEEDS SOURCE",IF(AND(Q96="approved",COUNTIFS(Images!$A$5:$A$304,A96,Images!$H$5:$H$304,TRUE,Images!$I$5:$I$304,"approved")&lt;&gt;1),"NEEDS PRIMARY IMAGE","OK"))))</x:f>
        <x:v>OK</x:v>
      </x:c>
    </x:row>
    <x:row r="97">
      <x:c r="A97" s="28" t="str">
        <x:v>cacio-e-pepe</x:v>
      </x:c>
      <x:c r="B97" s="28" t="str">
        <x:v>Cacio e Pepe</x:v>
      </x:c>
      <x:c r="C97" s="28"/>
      <x:c r="D97" s="28" t="str">
        <x:v>IT</x:v>
      </x:c>
      <x:c r="E97" s="28" t="str">
        <x:v>europe</x:v>
      </x:c>
      <x:c r="F97" s="28" t="str">
        <x:v>noodle</x:v>
      </x:c>
      <x:c r="G97" s="28" t="str">
        <x:v>rich</x:v>
      </x:c>
      <x:c r="H97" s="28" t="str">
        <x:v>comforting</x:v>
      </x:c>
      <x:c r="I97" s="28"/>
      <x:c r="J97" s="28" t="str">
        <x:v>savory</x:v>
      </x:c>
      <x:c r="K97" s="28" t="str">
        <x:v>creamy</x:v>
      </x:c>
      <x:c r="L97" s="28"/>
      <x:c r="M97" s="28"/>
      <x:c r="N97" s="28" t="n">
        <x:v>1</x:v>
      </x:c>
      <x:c r="O97" s="28" t="str">
        <x:v>Roman pasta coated with Pecorino Romano, black pepper, and starchy pasta water.</x:v>
      </x:c>
      <x:c r="P97" s="28" t="str">
        <x:v>Cacio e pepe is a pasta dish from Lazio centered on pasta, Pecorino Romano, black pepper, and starchy cooking water. Careful mixing emulsifies the cheese and water into a smooth, peppery sauce without cream.</x:v>
      </x:c>
      <x:c r="Q97" s="28" t="str">
        <x:v>needs-review</x:v>
      </x:c>
      <x:c r="R97" s="28" t="str">
        <x:v>Batch 4 candidate. Familiarity level is a Nom product heuristic.</x:v>
      </x:c>
      <x:c r="S97" s="28" t="str">
        <x:f>IF(A97="","",IF(COUNTIF($A$5:$A$205,A97)&gt;1,"DUPLICATE ID",IF(AND(Q97="approved",COUNTIFS(Sources!$A$5:$A$404,A97,Sources!$F$5:$F$404,TRUE)=0),"NEEDS SOURCE",IF(AND(Q97="approved",COUNTIFS(Images!$A$5:$A$304,A97,Images!$H$5:$H$304,TRUE,Images!$I$5:$I$304,"approved")&lt;&gt;1),"NEEDS PRIMARY IMAGE","OK"))))</x:f>
        <x:v>OK</x:v>
      </x:c>
    </x:row>
    <x:row r="98">
      <x:c r="A98" s="28" t="str">
        <x:v>spaetzle</x:v>
      </x:c>
      <x:c r="B98" s="28" t="str">
        <x:v>Spätzle</x:v>
      </x:c>
      <x:c r="C98" s="28" t="str">
        <x:v>Spaetzle|Spatzle</x:v>
      </x:c>
      <x:c r="D98" s="28" t="str">
        <x:v>DE</x:v>
      </x:c>
      <x:c r="E98" s="28" t="str">
        <x:v>europe</x:v>
      </x:c>
      <x:c r="F98" s="28" t="str">
        <x:v>noodle</x:v>
      </x:c>
      <x:c r="G98" s="28" t="str">
        <x:v>comforting</x:v>
      </x:c>
      <x:c r="H98" s="28"/>
      <x:c r="I98" s="28"/>
      <x:c r="J98" s="28" t="str">
        <x:v>savory</x:v>
      </x:c>
      <x:c r="K98" s="28" t="str">
        <x:v>chewy</x:v>
      </x:c>
      <x:c r="L98" s="28" t="str">
        <x:v>buttery</x:v>
      </x:c>
      <x:c r="M98" s="28"/>
      <x:c r="N98" s="28" t="n">
        <x:v>2</x:v>
      </x:c>
      <x:c r="O98" s="28" t="str">
        <x:v>Central European egg noodles with an irregular shape and tender, chewy texture.</x:v>
      </x:c>
      <x:c r="P98" s="28" t="str">
        <x:v>Spätzle are Central European egg noodles associated especially with Swabia and Alsace. A soft dough of flour, eggs, and water is pressed or scraped directly into hot water, producing irregular noodles often served with meat, sauce, cheese, or onions.</x:v>
      </x:c>
      <x:c r="Q98" s="28" t="str">
        <x:v>needs-review</x:v>
      </x:c>
      <x:c r="R98" s="28" t="str">
        <x:v>Batch 4 candidate. Germany used for catalog grouping while acknowledging wider Central European traditions.</x:v>
      </x:c>
      <x:c r="S98" s="28" t="str">
        <x:f>IF(A98="","",IF(COUNTIF($A$5:$A$205,A98)&gt;1,"DUPLICATE ID",IF(AND(Q98="approved",COUNTIFS(Sources!$A$5:$A$404,A98,Sources!$F$5:$F$404,TRUE)=0),"NEEDS SOURCE",IF(AND(Q98="approved",COUNTIFS(Images!$A$5:$A$304,A98,Images!$H$5:$H$304,TRUE,Images!$I$5:$I$304,"approved")&lt;&gt;1),"NEEDS PRIMARY IMAGE","OK"))))</x:f>
        <x:v>OK</x:v>
      </x:c>
    </x:row>
    <x:row r="99">
      <x:c r="A99" s="28" t="str">
        <x:v>tortellini-in-brodo</x:v>
      </x:c>
      <x:c r="B99" s="28" t="str">
        <x:v>Tortellini in Brodo</x:v>
      </x:c>
      <x:c r="C99" s="28" t="str">
        <x:v>Tortellini in Broth</x:v>
      </x:c>
      <x:c r="D99" s="28" t="str">
        <x:v>IT</x:v>
      </x:c>
      <x:c r="E99" s="28" t="str">
        <x:v>europe</x:v>
      </x:c>
      <x:c r="F99" s="28" t="str">
        <x:v>soup-broth</x:v>
      </x:c>
      <x:c r="G99" s="28" t="str">
        <x:v>comforting</x:v>
      </x:c>
      <x:c r="H99" s="28"/>
      <x:c r="I99" s="28"/>
      <x:c r="J99" s="28" t="str">
        <x:v>savory</x:v>
      </x:c>
      <x:c r="K99" s="28" t="str">
        <x:v>aromatic</x:v>
      </x:c>
      <x:c r="L99" s="28" t="str">
        <x:v>tender</x:v>
      </x:c>
      <x:c r="M99" s="28"/>
      <x:c r="N99" s="28" t="n">
        <x:v>1</x:v>
      </x:c>
      <x:c r="O99" s="28" t="str">
        <x:v>Emilia-Romagna stuffed tortellini served in a clear, deeply savory broth.</x:v>
      </x:c>
      <x:c r="P99" s="28" t="str">
        <x:v>Tortellini in brodo is a traditional Emilia-Romagna preparation in which small stuffed tortellini are cooked and served in broth, often capon or meat broth. The pasta is typically filled with seasoned meats, cheese, egg, and nutmeg.</x:v>
      </x:c>
      <x:c r="Q99" s="28" t="str">
        <x:v>needs-review</x:v>
      </x:c>
      <x:c r="R99" s="28" t="str">
        <x:v>Batch 4 candidate. Source is the broader Tortellini article, which documents traditional broth service.</x:v>
      </x:c>
      <x:c r="S99" s="28" t="str">
        <x:f>IF(A99="","",IF(COUNTIF($A$5:$A$205,A99)&gt;1,"DUPLICATE ID",IF(AND(Q99="approved",COUNTIFS(Sources!$A$5:$A$404,A99,Sources!$F$5:$F$404,TRUE)=0),"NEEDS SOURCE",IF(AND(Q99="approved",COUNTIFS(Images!$A$5:$A$304,A99,Images!$H$5:$H$304,TRUE,Images!$I$5:$I$304,"approved")&lt;&gt;1),"NEEDS PRIMARY IMAGE","OK"))))</x:f>
        <x:v>OK</x:v>
      </x:c>
    </x:row>
    <x:row r="100">
      <x:c r="A100" s="28" t="str">
        <x:v>tallarines-verdes</x:v>
      </x:c>
      <x:c r="B100" s="28" t="str">
        <x:v>Tallarines Verdes</x:v>
      </x:c>
      <x:c r="C100" s="28" t="str">
        <x:v>Peruvian Green Noodles</x:v>
      </x:c>
      <x:c r="D100" s="28" t="str">
        <x:v>PE</x:v>
      </x:c>
      <x:c r="E100" s="28" t="str">
        <x:v>latin-america</x:v>
      </x:c>
      <x:c r="F100" s="28" t="str">
        <x:v>noodle</x:v>
      </x:c>
      <x:c r="G100" s="28" t="str">
        <x:v>fresh</x:v>
      </x:c>
      <x:c r="H100" s="28" t="str">
        <x:v>rich</x:v>
      </x:c>
      <x:c r="I100" s="28"/>
      <x:c r="J100" s="28" t="str">
        <x:v>herbal</x:v>
      </x:c>
      <x:c r="K100" s="28" t="str">
        <x:v>creamy</x:v>
      </x:c>
      <x:c r="L100" s="28" t="str">
        <x:v>savory</x:v>
      </x:c>
      <x:c r="M100" s="28"/>
      <x:c r="N100" s="28" t="n">
        <x:v>2</x:v>
      </x:c>
      <x:c r="O100" s="28" t="str">
        <x:v>Peruvian pasta in a creamy green basil-and-spinach sauce influenced by Italian pesto.</x:v>
      </x:c>
      <x:c r="P100" s="28" t="str">
        <x:v>Tallarines verdes are a Peruvian adaptation of pesto-style pasta shaped by Italian migration to Peru. Common versions blend basil and spinach with fresh cheese, milk, garlic, and nuts, then coat spaghetti or similar noodles in the green sauce.</x:v>
      </x:c>
      <x:c r="Q100" s="28" t="str">
        <x:v>needs-review</x:v>
      </x:c>
      <x:c r="R100" s="28" t="str">
        <x:v>Batch 4 candidate. Source is TVPerú and supports the Peruvian adaptation, basil-spinach sauce, cheese, milk, nuts, and pasta format.</x:v>
      </x:c>
      <x:c r="S100" s="28" t="str">
        <x:f>IF(A100="","",IF(COUNTIF($A$5:$A$205,A100)&gt;1,"DUPLICATE ID",IF(AND(Q100="approved",COUNTIFS(Sources!$A$5:$A$404,A100,Sources!$F$5:$F$404,TRUE)=0),"NEEDS SOURCE",IF(AND(Q100="approved",COUNTIFS(Images!$A$5:$A$304,A100,Images!$H$5:$H$304,TRUE,Images!$I$5:$I$304,"approved")&lt;&gt;1),"NEEDS PRIMARY IMAGE","OK"))))</x:f>
        <x:v>OK</x:v>
      </x:c>
    </x:row>
    <x:row r="101">
      <x:c r="A101" s="28" t="str">
        <x:v>patacones</x:v>
      </x:c>
      <x:c r="B101" s="28" t="str">
        <x:v>Patacones</x:v>
      </x:c>
      <x:c r="C101" s="28" t="str">
        <x:v>Tostones</x:v>
      </x:c>
      <x:c r="D101" s="28" t="str">
        <x:v>CO</x:v>
      </x:c>
      <x:c r="E101" s="28" t="str">
        <x:v>latin-america</x:v>
      </x:c>
      <x:c r="F101" s="28" t="str">
        <x:v>handheld</x:v>
      </x:c>
      <x:c r="G101" s="28" t="str">
        <x:v>crispy</x:v>
      </x:c>
      <x:c r="H101" s="28"/>
      <x:c r="I101" s="28"/>
      <x:c r="J101" s="28" t="str">
        <x:v>savory</x:v>
      </x:c>
      <x:c r="K101" s="28" t="str">
        <x:v>earthy</x:v>
      </x:c>
      <x:c r="L101" s="28"/>
      <x:c r="M101" s="28"/>
      <x:c r="N101" s="28" t="n">
        <x:v>1</x:v>
      </x:c>
      <x:c r="O101" s="28" t="str">
        <x:v>Twice-fried green plantain slices served crisp and salty across Latin America and the Caribbean.</x:v>
      </x:c>
      <x:c r="P101" s="28" t="str">
        <x:v>Patacones, also called tostones in many regions, are made by frying green plantain slices, flattening them, and frying them again until crisp. They are widely eaten across Latin America and the Caribbean as a side, snack, or base for toppings.</x:v>
      </x:c>
      <x:c r="Q101" s="28" t="str">
        <x:v>needs-review</x:v>
      </x:c>
      <x:c r="R101" s="28" t="str">
        <x:v>Batch 4 candidate. Colombia used for catalog grouping; the dish has many regional names and traditions.</x:v>
      </x:c>
      <x:c r="S101" s="28" t="str">
        <x:f>IF(A101="","",IF(COUNTIF($A$5:$A$205,A101)&gt;1,"DUPLICATE ID",IF(AND(Q101="approved",COUNTIFS(Sources!$A$5:$A$404,A101,Sources!$F$5:$F$404,TRUE)=0),"NEEDS SOURCE",IF(AND(Q101="approved",COUNTIFS(Images!$A$5:$A$304,A101,Images!$H$5:$H$304,TRUE,Images!$I$5:$I$304,"approved")&lt;&gt;1),"NEEDS PRIMARY IMAGE","OK"))))</x:f>
        <x:v>OK</x:v>
      </x:c>
    </x:row>
    <x:row r="102">
      <x:c r="A102" s="28" t="str">
        <x:v>lomo-saltado</x:v>
      </x:c>
      <x:c r="B102" s="28" t="str">
        <x:v>Lomo Saltado</x:v>
      </x:c>
      <x:c r="C102" s="28"/>
      <x:c r="D102" s="28" t="str">
        <x:v>PE</x:v>
      </x:c>
      <x:c r="E102" s="28" t="str">
        <x:v>latin-america</x:v>
      </x:c>
      <x:c r="F102" s="28" t="str">
        <x:v>grilled-protein</x:v>
      </x:c>
      <x:c r="G102" s="28" t="str">
        <x:v>rich</x:v>
      </x:c>
      <x:c r="H102" s="28"/>
      <x:c r="I102" s="28"/>
      <x:c r="J102" s="28" t="str">
        <x:v>savory</x:v>
      </x:c>
      <x:c r="K102" s="28" t="str">
        <x:v>smoky</x:v>
      </x:c>
      <x:c r="L102" s="28" t="str">
        <x:v>tender</x:v>
      </x:c>
      <x:c r="M102" s="28"/>
      <x:c r="N102" s="28" t="n">
        <x:v>2</x:v>
      </x:c>
      <x:c r="O102" s="28" t="str">
        <x:v>Peruvian stir-fried beef with onions and tomatoes, typically served with fries and rice.</x:v>
      </x:c>
      <x:c r="P102" s="28" t="str">
        <x:v>Lomo saltado is a Peruvian stir-fry combining strips of beef with onion, tomato, soy sauce, and other seasonings, reflecting Chinese-Peruvian chifa influence. It is commonly served with both French fries and rice.</x:v>
      </x:c>
      <x:c r="Q102" s="28" t="str">
        <x:v>needs-review</x:v>
      </x:c>
      <x:c r="R102" s="28" t="str">
        <x:v>Batch 4 candidate. Grilled/Protein is Nom's broad protein category; the beef is stir-fried.</x:v>
      </x:c>
      <x:c r="S102" s="28" t="str">
        <x:f>IF(A102="","",IF(COUNTIF($A$5:$A$205,A102)&gt;1,"DUPLICATE ID",IF(AND(Q102="approved",COUNTIFS(Sources!$A$5:$A$404,A102,Sources!$F$5:$F$404,TRUE)=0),"NEEDS SOURCE",IF(AND(Q102="approved",COUNTIFS(Images!$A$5:$A$304,A102,Images!$H$5:$H$304,TRUE,Images!$I$5:$I$304,"approved")&lt;&gt;1),"NEEDS PRIMARY IMAGE","OK"))))</x:f>
        <x:v>OK</x:v>
      </x:c>
    </x:row>
    <x:row r="103">
      <x:c r="A103" s="28" t="str">
        <x:v>new-england-clam-chowder</x:v>
      </x:c>
      <x:c r="B103" s="28" t="str">
        <x:v>New England Clam Chowder</x:v>
      </x:c>
      <x:c r="C103" s="28" t="str">
        <x:v>Boston Clam Chowder</x:v>
      </x:c>
      <x:c r="D103" s="28" t="str">
        <x:v>US</x:v>
      </x:c>
      <x:c r="E103" s="28" t="str">
        <x:v>north-america</x:v>
      </x:c>
      <x:c r="F103" s="28" t="str">
        <x:v>soup-broth</x:v>
      </x:c>
      <x:c r="G103" s="28" t="str">
        <x:v>rich</x:v>
      </x:c>
      <x:c r="H103" s="28" t="str">
        <x:v>comforting</x:v>
      </x:c>
      <x:c r="I103" s="28"/>
      <x:c r="J103" s="28" t="str">
        <x:v>creamy</x:v>
      </x:c>
      <x:c r="K103" s="28" t="str">
        <x:v>savory</x:v>
      </x:c>
      <x:c r="L103" s="28" t="str">
        <x:v>buttery</x:v>
      </x:c>
      <x:c r="M103" s="28"/>
      <x:c r="N103" s="28" t="n">
        <x:v>1</x:v>
      </x:c>
      <x:c r="O103" s="28" t="str">
        <x:v>Creamy New England chowder with clams, potatoes, onions, and often salt pork or bacon.</x:v>
      </x:c>
      <x:c r="P103" s="28" t="str">
        <x:v>New England clam chowder is a milk- or cream-based American chowder made with clams, potatoes, onions, and often salt pork. It is thicker and creamier than the clear or tomato-based clam chowders found in other regions.</x:v>
      </x:c>
      <x:c r="Q103" s="28" t="str">
        <x:v>needs-review</x:v>
      </x:c>
      <x:c r="R103" s="28" t="str">
        <x:v>Batch 4 candidate. Familiarity level is a Nom product heuristic.</x:v>
      </x:c>
      <x:c r="S103" s="28" t="str">
        <x:f>IF(A103="","",IF(COUNTIF($A$5:$A$205,A103)&gt;1,"DUPLICATE ID",IF(AND(Q103="approved",COUNTIFS(Sources!$A$5:$A$404,A103,Sources!$F$5:$F$404,TRUE)=0),"NEEDS SOURCE",IF(AND(Q103="approved",COUNTIFS(Images!$A$5:$A$304,A103,Images!$H$5:$H$304,TRUE,Images!$I$5:$I$304,"approved")&lt;&gt;1),"NEEDS PRIMARY IMAGE","OK"))))</x:f>
        <x:v>OK</x:v>
      </x:c>
    </x:row>
    <x:row r="104">
      <x:c r="A104" s="28" t="str">
        <x:v>buffalo-wings</x:v>
      </x:c>
      <x:c r="B104" s="28" t="str">
        <x:v>Buffalo Wings</x:v>
      </x:c>
      <x:c r="C104" s="28" t="str">
        <x:v>Buffalo Chicken Wings|Hot Wings</x:v>
      </x:c>
      <x:c r="D104" s="28" t="str">
        <x:v>US</x:v>
      </x:c>
      <x:c r="E104" s="28" t="str">
        <x:v>north-america</x:v>
      </x:c>
      <x:c r="F104" s="28" t="str">
        <x:v>grilled-protein</x:v>
      </x:c>
      <x:c r="G104" s="28" t="str">
        <x:v>spicy</x:v>
      </x:c>
      <x:c r="H104" s="28" t="str">
        <x:v>tangy</x:v>
      </x:c>
      <x:c r="I104" s="28" t="str">
        <x:v>crispy</x:v>
      </x:c>
      <x:c r="J104" s="28" t="str">
        <x:v>savory</x:v>
      </x:c>
      <x:c r="K104" s="28" t="str">
        <x:v>buttery</x:v>
      </x:c>
      <x:c r="L104" s="28" t="str">
        <x:v>juicy</x:v>
      </x:c>
      <x:c r="M104" s="28"/>
      <x:c r="N104" s="28" t="n">
        <x:v>1</x:v>
      </x:c>
      <x:c r="O104" s="28" t="str">
        <x:v>Chicken wings fried until crisp and coated in a buttery, vinegar-based cayenne hot sauce.</x:v>
      </x:c>
      <x:c r="P104" s="28" t="str">
        <x:v>Buffalo wings are an American dish from Buffalo, New York. Chicken wing sections are generally fried and coated in a sauce of vinegar-based cayenne hot sauce and melted butter, then served with celery and a cooling dip.</x:v>
      </x:c>
      <x:c r="Q104" s="28" t="str">
        <x:v>needs-review</x:v>
      </x:c>
      <x:c r="R104" s="28" t="str">
        <x:v>Batch 4 candidate. Grilled/Protein is Nom's broad protein category; traditional Buffalo wings are fried.</x:v>
      </x:c>
      <x:c r="S104" s="28" t="str">
        <x:f>IF(A104="","",IF(COUNTIF($A$5:$A$205,A104)&gt;1,"DUPLICATE ID",IF(AND(Q104="approved",COUNTIFS(Sources!$A$5:$A$404,A104,Sources!$F$5:$F$404,TRUE)=0),"NEEDS SOURCE",IF(AND(Q104="approved",COUNTIFS(Images!$A$5:$A$304,A104,Images!$H$5:$H$304,TRUE,Images!$I$5:$I$304,"approved")&lt;&gt;1),"NEEDS PRIMARY IMAGE","OK"))))</x:f>
        <x:v>OK</x:v>
      </x:c>
    </x:row>
    <x:row r="105">
      <x:c r="A105" s="28" t="str">
        <x:v>zhajiangmian</x:v>
      </x:c>
      <x:c r="B105" s="28" t="str">
        <x:v>Zhajiangmian</x:v>
      </x:c>
      <x:c r="C105" s="28" t="str">
        <x:v>Zha Jiang Mian|Fried Sauce Noodles</x:v>
      </x:c>
      <x:c r="D105" s="28" t="str">
        <x:v>CN</x:v>
      </x:c>
      <x:c r="E105" s="28" t="str">
        <x:v>east-asia</x:v>
      </x:c>
      <x:c r="F105" s="28" t="str">
        <x:v>noodle</x:v>
      </x:c>
      <x:c r="G105" s="28" t="str">
        <x:v>comforting</x:v>
      </x:c>
      <x:c r="H105" s="28" t="str">
        <x:v>rich</x:v>
      </x:c>
      <x:c r="I105" s="28"/>
      <x:c r="J105" s="28" t="str">
        <x:v>savory</x:v>
      </x:c>
      <x:c r="K105" s="28" t="str">
        <x:v>umami</x:v>
      </x:c>
      <x:c r="L105" s="28" t="str">
        <x:v>chewy</x:v>
      </x:c>
      <x:c r="M105" s="28"/>
      <x:c r="N105" s="28" t="n">
        <x:v>2</x:v>
      </x:c>
      <x:c r="O105" s="28" t="str">
        <x:v>Northern Chinese wheat noodles topped with a deeply savory fermented-bean meat sauce.</x:v>
      </x:c>
      <x:c r="P105" s="28" t="str">
        <x:v>Zhajiangmian is a northern Chinese noodle dish of thick wheat noodles topped with a sauce made from fermented soybean or wheat pastes, often cooked with minced pork and served with fresh vegetable garnishes.</x:v>
      </x:c>
      <x:c r="Q105" s="28" t="str">
        <x:v>needs-review</x:v>
      </x:c>
      <x:c r="R105" s="28" t="str">
        <x:v>Batch 5 candidate. Sauce recipes vary across northern Chinese regional styles.</x:v>
      </x:c>
      <x:c r="S105" s="28" t="str">
        <x:f>IF(A105="","",IF(COUNTIF($A$5:$A$205,A105)&gt;1,"DUPLICATE ID",IF(AND(Q105="approved",COUNTIFS(Sources!$A$5:$A$404,A105,Sources!$F$5:$F$404,TRUE)=0),"NEEDS SOURCE",IF(AND(Q105="approved",COUNTIFS(Images!$A$5:$A$304,A105,Images!$H$5:$H$304,TRUE,Images!$I$5:$I$304,"approved")&lt;&gt;1),"NEEDS PRIMARY IMAGE","OK"))))</x:f>
        <x:v>OK</x:v>
      </x:c>
    </x:row>
    <x:row r="106">
      <x:c r="A106" s="28" t="str">
        <x:v>omurice</x:v>
      </x:c>
      <x:c r="B106" s="28" t="str">
        <x:v>Omurice</x:v>
      </x:c>
      <x:c r="C106" s="28" t="str">
        <x:v>Omu Rice|Omuraisu</x:v>
      </x:c>
      <x:c r="D106" s="28" t="str">
        <x:v>JP</x:v>
      </x:c>
      <x:c r="E106" s="28" t="str">
        <x:v>east-asia</x:v>
      </x:c>
      <x:c r="F106" s="28" t="str">
        <x:v>rice</x:v>
      </x:c>
      <x:c r="G106" s="28" t="str">
        <x:v>comforting</x:v>
      </x:c>
      <x:c r="H106" s="28"/>
      <x:c r="I106" s="28"/>
      <x:c r="J106" s="28" t="str">
        <x:v>savory</x:v>
      </x:c>
      <x:c r="K106" s="28" t="str">
        <x:v>tender</x:v>
      </x:c>
      <x:c r="L106" s="28" t="str">
        <x:v>sweet</x:v>
      </x:c>
      <x:c r="M106" s="28"/>
      <x:c r="N106" s="28" t="n">
        <x:v>1</x:v>
      </x:c>
      <x:c r="O106" s="28" t="str">
        <x:v>Japanese fried rice wrapped in a soft omelette and commonly finished with ketchup.</x:v>
      </x:c>
      <x:c r="P106" s="28" t="str">
        <x:v>Omurice is a Japanese yoshoku dish consisting of seasoned fried rice enclosed in or topped with a soft omelette. The rice commonly includes chicken and ketchup, and the finished dish is often served with ketchup or a savory sauce.</x:v>
      </x:c>
      <x:c r="Q106" s="28" t="str">
        <x:v>needs-review</x:v>
      </x:c>
      <x:c r="R106" s="28" t="str">
        <x:v>Batch 5 candidate. Sweet descriptor reflects common ketchup-based versions.</x:v>
      </x:c>
      <x:c r="S106" s="28" t="str">
        <x:f>IF(A106="","",IF(COUNTIF($A$5:$A$205,A106)&gt;1,"DUPLICATE ID",IF(AND(Q106="approved",COUNTIFS(Sources!$A$5:$A$404,A106,Sources!$F$5:$F$404,TRUE)=0),"NEEDS SOURCE",IF(AND(Q106="approved",COUNTIFS(Images!$A$5:$A$304,A106,Images!$H$5:$H$304,TRUE,Images!$I$5:$I$304,"approved")&lt;&gt;1),"NEEDS PRIMARY IMAGE","OK"))))</x:f>
        <x:v>OK</x:v>
      </x:c>
    </x:row>
    <x:row r="107">
      <x:c r="A107" s="28" t="str">
        <x:v>sukiyaki</x:v>
      </x:c>
      <x:c r="B107" s="28" t="str">
        <x:v>Sukiyaki</x:v>
      </x:c>
      <x:c r="C107" s="28"/>
      <x:c r="D107" s="28" t="str">
        <x:v>JP</x:v>
      </x:c>
      <x:c r="E107" s="28" t="str">
        <x:v>east-asia</x:v>
      </x:c>
      <x:c r="F107" s="28" t="str">
        <x:v>soup-broth</x:v>
      </x:c>
      <x:c r="G107" s="28" t="str">
        <x:v>rich</x:v>
      </x:c>
      <x:c r="H107" s="28" t="str">
        <x:v>comforting</x:v>
      </x:c>
      <x:c r="I107" s="28"/>
      <x:c r="J107" s="28" t="str">
        <x:v>savory</x:v>
      </x:c>
      <x:c r="K107" s="28" t="str">
        <x:v>sweet</x:v>
      </x:c>
      <x:c r="L107" s="28" t="str">
        <x:v>umami</x:v>
      </x:c>
      <x:c r="M107" s="28"/>
      <x:c r="N107" s="28" t="n">
        <x:v>2</x:v>
      </x:c>
      <x:c r="O107" s="28" t="str">
        <x:v>Japanese hot pot of thin-sliced beef, tofu, vegetables, and noodles simmered in a sweet-savory sauce.</x:v>
      </x:c>
      <x:c r="P107" s="28" t="str">
        <x:v>Sukiyaki is a Japanese nabemono dish in which thin slices of beef, tofu, mushrooms, vegetables, and noodles are cooked together in a shallow pot with a sweet-savory soy-based seasoning.</x:v>
      </x:c>
      <x:c r="Q107" s="28" t="str">
        <x:v>needs-review</x:v>
      </x:c>
      <x:c r="R107" s="28" t="str">
        <x:v>Batch 5 candidate. Soup/Broth is Nom's closest category for this hot-pot style dish.</x:v>
      </x:c>
      <x:c r="S107" s="28" t="str">
        <x:f>IF(A107="","",IF(COUNTIF($A$5:$A$205,A107)&gt;1,"DUPLICATE ID",IF(AND(Q107="approved",COUNTIFS(Sources!$A$5:$A$404,A107,Sources!$F$5:$F$404,TRUE)=0),"NEEDS SOURCE",IF(AND(Q107="approved",COUNTIFS(Images!$A$5:$A$304,A107,Images!$H$5:$H$304,TRUE,Images!$I$5:$I$304,"approved")&lt;&gt;1),"NEEDS PRIMARY IMAGE","OK"))))</x:f>
        <x:v>OK</x:v>
      </x:c>
    </x:row>
    <x:row r="108">
      <x:c r="A108" s="28" t="str">
        <x:v>hainanese-chicken-rice</x:v>
      </x:c>
      <x:c r="B108" s="28" t="str">
        <x:v>Hainanese Chicken Rice</x:v>
      </x:c>
      <x:c r="C108" s="28" t="str">
        <x:v>Chicken Rice|Hainan Chicken Rice</x:v>
      </x:c>
      <x:c r="D108" s="28" t="str">
        <x:v>SG</x:v>
      </x:c>
      <x:c r="E108" s="28" t="str">
        <x:v>southeast-asia</x:v>
      </x:c>
      <x:c r="F108" s="28" t="str">
        <x:v>rice</x:v>
      </x:c>
      <x:c r="G108" s="28" t="str">
        <x:v>comforting</x:v>
      </x:c>
      <x:c r="H108" s="28" t="str">
        <x:v>fresh</x:v>
      </x:c>
      <x:c r="I108" s="28"/>
      <x:c r="J108" s="28" t="str">
        <x:v>savory</x:v>
      </x:c>
      <x:c r="K108" s="28" t="str">
        <x:v>tender</x:v>
      </x:c>
      <x:c r="L108" s="28" t="str">
        <x:v>light</x:v>
      </x:c>
      <x:c r="M108" s="28"/>
      <x:c r="N108" s="28" t="n">
        <x:v>1</x:v>
      </x:c>
      <x:c r="O108" s="28" t="str">
        <x:v>Poached chicken with fragrant seasoned rice, cucumber, and bright chile-ginger sauces.</x:v>
      </x:c>
      <x:c r="P108" s="28" t="str">
        <x:v>Hainanese chicken rice is a Southeast Asian dish of poached chicken served with rice cooked in seasoned chicken stock and fat. It is commonly accompanied by cucumber, chile sauce, ginger, and other fresh garnishes.</x:v>
      </x:c>
      <x:c r="Q108" s="28" t="str">
        <x:v>needs-review</x:v>
      </x:c>
      <x:c r="R108" s="28" t="str">
        <x:v>Batch 5 candidate. Singapore used for catalog grouping while acknowledging wider Southeast Asian traditions.</x:v>
      </x:c>
      <x:c r="S108" s="28" t="str">
        <x:f>IF(A108="","",IF(COUNTIF($A$5:$A$205,A108)&gt;1,"DUPLICATE ID",IF(AND(Q108="approved",COUNTIFS(Sources!$A$5:$A$404,A108,Sources!$F$5:$F$404,TRUE)=0),"NEEDS SOURCE",IF(AND(Q108="approved",COUNTIFS(Images!$A$5:$A$304,A108,Images!$H$5:$H$304,TRUE,Images!$I$5:$I$304,"approved")&lt;&gt;1),"NEEDS PRIMARY IMAGE","OK"))))</x:f>
        <x:v>OK</x:v>
      </x:c>
    </x:row>
    <x:row r="109">
      <x:c r="A109" s="28" t="str">
        <x:v>mohinga</x:v>
      </x:c>
      <x:c r="B109" s="28" t="str">
        <x:v>Mohinga</x:v>
      </x:c>
      <x:c r="C109" s="28"/>
      <x:c r="D109" s="28" t="str">
        <x:v>MM</x:v>
      </x:c>
      <x:c r="E109" s="28" t="str">
        <x:v>southeast-asia</x:v>
      </x:c>
      <x:c r="F109" s="28" t="str">
        <x:v>soup-broth</x:v>
      </x:c>
      <x:c r="G109" s="28" t="str">
        <x:v>fresh</x:v>
      </x:c>
      <x:c r="H109" s="28"/>
      <x:c r="I109" s="28"/>
      <x:c r="J109" s="28" t="str">
        <x:v>savory</x:v>
      </x:c>
      <x:c r="K109" s="28" t="str">
        <x:v>aromatic</x:v>
      </x:c>
      <x:c r="L109" s="28" t="str">
        <x:v>herbal</x:v>
      </x:c>
      <x:c r="M109" s="28"/>
      <x:c r="N109" s="28" t="n">
        <x:v>3</x:v>
      </x:c>
      <x:c r="O109" s="28" t="str">
        <x:v>Myanmar rice-noodle fish soup scented with lemongrass, aromatics, and a savory broth.</x:v>
      </x:c>
      <x:c r="P109" s="28" t="str">
        <x:v>Mohinga is a Myanmar noodle soup built around rice noodles and a fish-based broth flavored with lemongrass, onions, garlic, ginger, and other aromatics. It is commonly eaten for breakfast and finished with varied garnishes.</x:v>
      </x:c>
      <x:c r="Q109" s="28" t="str">
        <x:v>needs-review</x:v>
      </x:c>
      <x:c r="R109" s="28" t="str">
        <x:v>Batch 5 candidate. Soup/Broth chosen because the fish broth defines the dish even though rice noodles are central.</x:v>
      </x:c>
      <x:c r="S109" s="28" t="str">
        <x:f>IF(A109="","",IF(COUNTIF($A$5:$A$205,A109)&gt;1,"DUPLICATE ID",IF(AND(Q109="approved",COUNTIFS(Sources!$A$5:$A$404,A109,Sources!$F$5:$F$404,TRUE)=0),"NEEDS SOURCE",IF(AND(Q109="approved",COUNTIFS(Images!$A$5:$A$304,A109,Images!$H$5:$H$304,TRUE,Images!$I$5:$I$304,"approved")&lt;&gt;1),"NEEDS PRIMARY IMAGE","OK"))))</x:f>
        <x:v>OK</x:v>
      </x:c>
    </x:row>
    <x:row r="110">
      <x:c r="A110" s="28" t="str">
        <x:v>pulao</x:v>
      </x:c>
      <x:c r="B110" s="28" t="str">
        <x:v>Pulao</x:v>
      </x:c>
      <x:c r="C110" s="28" t="str">
        <x:v>Pilau|Pulav|Pulaav</x:v>
      </x:c>
      <x:c r="D110" s="28" t="str">
        <x:v>IN</x:v>
      </x:c>
      <x:c r="E110" s="28" t="str">
        <x:v>south-asia</x:v>
      </x:c>
      <x:c r="F110" s="28" t="str">
        <x:v>rice</x:v>
      </x:c>
      <x:c r="G110" s="28" t="str">
        <x:v>comforting</x:v>
      </x:c>
      <x:c r="H110" s="28"/>
      <x:c r="I110" s="28"/>
      <x:c r="J110" s="28" t="str">
        <x:v>aromatic</x:v>
      </x:c>
      <x:c r="K110" s="28" t="str">
        <x:v>savory</x:v>
      </x:c>
      <x:c r="L110" s="28" t="str">
        <x:v>light</x:v>
      </x:c>
      <x:c r="M110" s="28"/>
      <x:c r="N110" s="28" t="n">
        <x:v>1</x:v>
      </x:c>
      <x:c r="O110" s="28" t="str">
        <x:v>Fragrant South Asian rice cooked in seasoned broth with vegetables, meat, or dried fruit.</x:v>
      </x:c>
      <x:c r="P110" s="28" t="str">
        <x:v>Pulao is a South Asian form of pilaf in which rice is cooked in seasoned stock or broth with spices and ingredients such as vegetables, meat, nuts, or dried fruit. Recipes vary widely across the subcontinent.</x:v>
      </x:c>
      <x:c r="Q110" s="28" t="str">
        <x:v>needs-review</x:v>
      </x:c>
      <x:c r="R110" s="28" t="str">
        <x:v>Batch 5 candidate. Source is the broader pilaf reference; add a stronger South Asia-specific source before approval.</x:v>
      </x:c>
      <x:c r="S110" s="28" t="str">
        <x:f>IF(A110="","",IF(COUNTIF($A$5:$A$205,A110)&gt;1,"DUPLICATE ID",IF(AND(Q110="approved",COUNTIFS(Sources!$A$5:$A$404,A110,Sources!$F$5:$F$404,TRUE)=0),"NEEDS SOURCE",IF(AND(Q110="approved",COUNTIFS(Images!$A$5:$A$304,A110,Images!$H$5:$H$304,TRUE,Images!$I$5:$I$304,"approved")&lt;&gt;1),"NEEDS PRIMARY IMAGE","OK"))))</x:f>
        <x:v>OK</x:v>
      </x:c>
    </x:row>
    <x:row r="111">
      <x:c r="A111" s="28" t="str">
        <x:v>momo</x:v>
      </x:c>
      <x:c r="B111" s="28" t="str">
        <x:v>Momo</x:v>
      </x:c>
      <x:c r="C111" s="28" t="str">
        <x:v>Momos</x:v>
      </x:c>
      <x:c r="D111" s="28" t="str">
        <x:v>NP</x:v>
      </x:c>
      <x:c r="E111" s="28" t="str">
        <x:v>south-asia</x:v>
      </x:c>
      <x:c r="F111" s="28" t="str">
        <x:v>handheld</x:v>
      </x:c>
      <x:c r="G111" s="28" t="str">
        <x:v>comforting</x:v>
      </x:c>
      <x:c r="H111" s="28"/>
      <x:c r="I111" s="28"/>
      <x:c r="J111" s="28" t="str">
        <x:v>savory</x:v>
      </x:c>
      <x:c r="K111" s="28" t="str">
        <x:v>juicy</x:v>
      </x:c>
      <x:c r="L111" s="28" t="str">
        <x:v>tender</x:v>
      </x:c>
      <x:c r="M111" s="28"/>
      <x:c r="N111" s="28" t="n">
        <x:v>2</x:v>
      </x:c>
      <x:c r="O111" s="28" t="str">
        <x:v>Tibetan and Nepali filled dumplings steamed, pan-fried, or served in spicy sauces.</x:v>
      </x:c>
      <x:c r="P111" s="28" t="str">
        <x:v>Momos are filled dumplings central to Tibetan and Nepali food traditions and widely eaten across the Himalayan region. Meat or vegetable fillings are wrapped in wheat dough and commonly steamed, though fried and soup versions also exist.</x:v>
      </x:c>
      <x:c r="Q111" s="28" t="str">
        <x:v>needs-review</x:v>
      </x:c>
      <x:c r="R111" s="28" t="str">
        <x:v>Batch 5 candidate. Nepal used for catalog grouping while acknowledging Tibetan and wider Himalayan traditions. Retag resolution applied: preference flavor set to 'comforting'.</x:v>
      </x:c>
      <x:c r="S111" s="28" t="str">
        <x:f>IF(A111="","",IF(COUNTIF($A$5:$A$205,A111)&gt;1,"DUPLICATE ID",IF(AND(Q111="approved",COUNTIFS(Sources!$A$5:$A$404,A111,Sources!$F$5:$F$404,TRUE)=0),"NEEDS SOURCE",IF(AND(Q111="approved",COUNTIFS(Images!$A$5:$A$304,A111,Images!$H$5:$H$304,TRUE,Images!$I$5:$I$304,"approved")&lt;&gt;1),"NEEDS PRIMARY IMAGE","OK"))))</x:f>
        <x:v>OK</x:v>
      </x:c>
    </x:row>
    <x:row r="112">
      <x:c r="A112" s="28" t="str">
        <x:v>rasam</x:v>
      </x:c>
      <x:c r="B112" s="28" t="str">
        <x:v>Rasam</x:v>
      </x:c>
      <x:c r="C112" s="28" t="str">
        <x:v>Saaru|Chaaru</x:v>
      </x:c>
      <x:c r="D112" s="28" t="str">
        <x:v>IN</x:v>
      </x:c>
      <x:c r="E112" s="28" t="str">
        <x:v>south-asia</x:v>
      </x:c>
      <x:c r="F112" s="28" t="str">
        <x:v>soup-broth</x:v>
      </x:c>
      <x:c r="G112" s="28" t="str">
        <x:v>tangy</x:v>
      </x:c>
      <x:c r="H112" s="28" t="str">
        <x:v>spicy</x:v>
      </x:c>
      <x:c r="I112" s="28" t="str">
        <x:v>fresh</x:v>
      </x:c>
      <x:c r="J112" s="28" t="str">
        <x:v>aromatic</x:v>
      </x:c>
      <x:c r="K112" s="28" t="str">
        <x:v>herbal</x:v>
      </x:c>
      <x:c r="L112" s="28" t="str">
        <x:v>savory</x:v>
      </x:c>
      <x:c r="M112" s="28"/>
      <x:c r="N112" s="28" t="n">
        <x:v>2</x:v>
      </x:c>
      <x:c r="O112" s="28" t="str">
        <x:v>Thin South Indian soup-like broth brightened with tamarind, tomato, pepper, spices, and herbs.</x:v>
      </x:c>
      <x:c r="P112" s="28" t="str">
        <x:v>Rasam is a traditional South Indian soup-like dish with a thin, intensely seasoned broth. Tamarind, tomato, black pepper, chile, cumin, curry leaves, mustard, coriander, and other spices create a tangy, warming profile that is commonly served with rice.</x:v>
      </x:c>
      <x:c r="Q112" s="28" t="str">
        <x:v>needs-review</x:v>
      </x:c>
      <x:c r="R112" s="28" t="str">
        <x:v>Batch 5 candidate. Ingredient combinations vary by South Indian region and household. Verified source check: completed for pilot.</x:v>
      </x:c>
      <x:c r="S112" s="28" t="str">
        <x:f>IF(A112="","",IF(COUNTIF($A$5:$A$205,A112)&gt;1,"DUPLICATE ID",IF(AND(Q112="approved",COUNTIFS(Sources!$A$5:$A$404,A112,Sources!$F$5:$F$404,TRUE)=0),"NEEDS SOURCE",IF(AND(Q112="approved",COUNTIFS(Images!$A$5:$A$304,A112,Images!$H$5:$H$304,TRUE,Images!$I$5:$I$304,"approved")&lt;&gt;1),"NEEDS PRIMARY IMAGE","OK"))))</x:f>
        <x:v>OK</x:v>
      </x:c>
    </x:row>
    <x:row r="113">
      <x:c r="A113" s="28" t="str">
        <x:v>shorbat-adas</x:v>
      </x:c>
      <x:c r="B113" s="28" t="str">
        <x:v>Shorbat Adas</x:v>
      </x:c>
      <x:c r="C113" s="28" t="str">
        <x:v>Shorbat al-Adas|Lentil Soup</x:v>
      </x:c>
      <x:c r="D113" s="28" t="str">
        <x:v>LB</x:v>
      </x:c>
      <x:c r="E113" s="28" t="str">
        <x:v>middle-east</x:v>
      </x:c>
      <x:c r="F113" s="28" t="str">
        <x:v>soup-broth</x:v>
      </x:c>
      <x:c r="G113" s="28" t="str">
        <x:v>comforting</x:v>
      </x:c>
      <x:c r="H113" s="28"/>
      <x:c r="I113" s="28"/>
      <x:c r="J113" s="28" t="str">
        <x:v>earthy</x:v>
      </x:c>
      <x:c r="K113" s="28" t="str">
        <x:v>aromatic</x:v>
      </x:c>
      <x:c r="L113" s="28" t="str">
        <x:v>creamy</x:v>
      </x:c>
      <x:c r="M113" s="28"/>
      <x:c r="N113" s="28" t="n">
        <x:v>1</x:v>
      </x:c>
      <x:c r="O113" s="28" t="str">
        <x:v>Middle Eastern lentil soup simmered until soft and finished with warm spices and lemon.</x:v>
      </x:c>
      <x:c r="P113" s="28" t="str">
        <x:v>Shorbat adas is a Middle Eastern lentil soup commonly made with red or yellow lentils, onions, aromatics, and warm spices. The lentils soften into a thick, comforting broth that is often finished with lemon.</x:v>
      </x:c>
      <x:c r="Q113" s="28" t="str">
        <x:v>needs-review</x:v>
      </x:c>
      <x:c r="R113" s="28" t="str">
        <x:v>Batch 5 candidate. Source is the broad Lentil Soup article; add a Levant-specific culinary source before approval.</x:v>
      </x:c>
      <x:c r="S113" s="28" t="str">
        <x:f>IF(A113="","",IF(COUNTIF($A$5:$A$205,A113)&gt;1,"DUPLICATE ID",IF(AND(Q113="approved",COUNTIFS(Sources!$A$5:$A$404,A113,Sources!$F$5:$F$404,TRUE)=0),"NEEDS SOURCE",IF(AND(Q113="approved",COUNTIFS(Images!$A$5:$A$304,A113,Images!$H$5:$H$304,TRUE,Images!$I$5:$I$304,"approved")&lt;&gt;1),"NEEDS PRIMARY IMAGE","OK"))))</x:f>
        <x:v>OK</x:v>
      </x:c>
    </x:row>
    <x:row r="114">
      <x:c r="A114" s="28" t="str">
        <x:v>maqluba</x:v>
      </x:c>
      <x:c r="B114" s="28" t="str">
        <x:v>Maqluba</x:v>
      </x:c>
      <x:c r="C114" s="28" t="str">
        <x:v>Maqlouba|Maklouba</x:v>
      </x:c>
      <x:c r="D114" s="28" t="str">
        <x:v>JO</x:v>
      </x:c>
      <x:c r="E114" s="28" t="str">
        <x:v>middle-east</x:v>
      </x:c>
      <x:c r="F114" s="28" t="str">
        <x:v>rice</x:v>
      </x:c>
      <x:c r="G114" s="28" t="str">
        <x:v>rich</x:v>
      </x:c>
      <x:c r="H114" s="28" t="str">
        <x:v>comforting</x:v>
      </x:c>
      <x:c r="I114" s="28"/>
      <x:c r="J114" s="28" t="str">
        <x:v>savory</x:v>
      </x:c>
      <x:c r="K114" s="28" t="str">
        <x:v>aromatic</x:v>
      </x:c>
      <x:c r="L114" s="28" t="str">
        <x:v>tender</x:v>
      </x:c>
      <x:c r="M114" s="28"/>
      <x:c r="N114" s="28" t="n">
        <x:v>2</x:v>
      </x:c>
      <x:c r="O114" s="28" t="str">
        <x:v>Levantine upside-down rice layered with vegetables and meat, then flipped to serve.</x:v>
      </x:c>
      <x:c r="P114" s="28" t="str">
        <x:v>Maqluba is a Levantine rice dish layered in a pot with fried or roasted vegetables and meat, then inverted onto a platter for serving. Eggplant, cauliflower, potato, chicken, or lamb are common components.</x:v>
      </x:c>
      <x:c r="Q114" s="28" t="str">
        <x:v>needs-review</x:v>
      </x:c>
      <x:c r="R114" s="28" t="str">
        <x:v>Batch 5 candidate. Jordan used for catalog grouping; the dish is shared across the Levant and Iraq.</x:v>
      </x:c>
      <x:c r="S114" s="28" t="str">
        <x:f>IF(A114="","",IF(COUNTIF($A$5:$A$205,A114)&gt;1,"DUPLICATE ID",IF(AND(Q114="approved",COUNTIFS(Sources!$A$5:$A$404,A114,Sources!$F$5:$F$404,TRUE)=0),"NEEDS SOURCE",IF(AND(Q114="approved",COUNTIFS(Images!$A$5:$A$304,A114,Images!$H$5:$H$304,TRUE,Images!$I$5:$I$304,"approved")&lt;&gt;1),"NEEDS PRIMARY IMAGE","OK"))))</x:f>
        <x:v>OK</x:v>
      </x:c>
    </x:row>
    <x:row r="115">
      <x:c r="A115" s="28" t="str">
        <x:v>manakish</x:v>
      </x:c>
      <x:c r="B115" s="28" t="str">
        <x:v>Manakish</x:v>
      </x:c>
      <x:c r="C115" s="28" t="str">
        <x:v>Manaqish|Manakeesh|Man'ousheh</x:v>
      </x:c>
      <x:c r="D115" s="28" t="str">
        <x:v>LB</x:v>
      </x:c>
      <x:c r="E115" s="28" t="str">
        <x:v>middle-east</x:v>
      </x:c>
      <x:c r="F115" s="28" t="str">
        <x:v>handheld</x:v>
      </x:c>
      <x:c r="G115" s="28" t="str">
        <x:v>comforting</x:v>
      </x:c>
      <x:c r="H115" s="28"/>
      <x:c r="I115" s="28"/>
      <x:c r="J115" s="28" t="str">
        <x:v>savory</x:v>
      </x:c>
      <x:c r="K115" s="28" t="str">
        <x:v>herbal</x:v>
      </x:c>
      <x:c r="L115" s="28" t="str">
        <x:v>aromatic</x:v>
      </x:c>
      <x:c r="M115" s="28"/>
      <x:c r="N115" s="28" t="n">
        <x:v>1</x:v>
      </x:c>
      <x:c r="O115" s="28" t="str">
        <x:v>Levantine flatbread baked with za'atar, cheese, or seasoned meat toppings.</x:v>
      </x:c>
      <x:c r="P115" s="28" t="str">
        <x:v>Manakish are Levantine flatbreads topped before baking with ingredients such as za'atar, cheese, or seasoned ground meat. They are commonly eaten for breakfast or lunch and may be sliced or folded for eating.</x:v>
      </x:c>
      <x:c r="Q115" s="28" t="str">
        <x:v>needs-review</x:v>
      </x:c>
      <x:c r="R115" s="28" t="str">
        <x:v>Batch 5 candidate. Lebanon used for catalog grouping while acknowledging wider Levantine traditions. Retag resolution applied: preference flavor set to 'comforting'.</x:v>
      </x:c>
      <x:c r="S115" s="28" t="str">
        <x:f>IF(A115="","",IF(COUNTIF($A$5:$A$205,A115)&gt;1,"DUPLICATE ID",IF(AND(Q115="approved",COUNTIFS(Sources!$A$5:$A$404,A115,Sources!$F$5:$F$404,TRUE)=0),"NEEDS SOURCE",IF(AND(Q115="approved",COUNTIFS(Images!$A$5:$A$304,A115,Images!$H$5:$H$304,TRUE,Images!$I$5:$I$304,"approved")&lt;&gt;1),"NEEDS PRIMARY IMAGE","OK"))))</x:f>
        <x:v>OK</x:v>
      </x:c>
    </x:row>
    <x:row r="116">
      <x:c r="A116" s="28" t="str">
        <x:v>rechta</x:v>
      </x:c>
      <x:c r="B116" s="28" t="str">
        <x:v>Rechta</x:v>
      </x:c>
      <x:c r="C116" s="28" t="str">
        <x:v>Tarechta</x:v>
      </x:c>
      <x:c r="D116" s="28" t="str">
        <x:v>DZ</x:v>
      </x:c>
      <x:c r="E116" s="28" t="str">
        <x:v>africa</x:v>
      </x:c>
      <x:c r="F116" s="28" t="str">
        <x:v>noodle</x:v>
      </x:c>
      <x:c r="G116" s="28" t="str">
        <x:v>comforting</x:v>
      </x:c>
      <x:c r="H116" s="28"/>
      <x:c r="I116" s="28"/>
      <x:c r="J116" s="28" t="str">
        <x:v>savory</x:v>
      </x:c>
      <x:c r="K116" s="28" t="str">
        <x:v>aromatic</x:v>
      </x:c>
      <x:c r="L116" s="28" t="str">
        <x:v>chewy</x:v>
      </x:c>
      <x:c r="M116" s="28"/>
      <x:c r="N116" s="28" t="n">
        <x:v>3</x:v>
      </x:c>
      <x:c r="O116" s="28" t="str">
        <x:v>Algerian handmade pasta ribbons served with chicken, chickpeas, vegetables, and spiced sauce.</x:v>
      </x:c>
      <x:c r="P116" s="28" t="str">
        <x:v>Rechta is an Algerian pasta dish made from thin fresh strips of semolina-based dough. Algiers-style preparations commonly pair the noodles with chicken, chickpeas, turnips, and a lightly spiced sauce.</x:v>
      </x:c>
      <x:c r="Q116" s="28" t="str">
        <x:v>needs-review</x:v>
      </x:c>
      <x:c r="R116" s="28" t="str">
        <x:v>Batch 5 candidate. Adventure level is a Nom heuristic; regional Algerian versions differ.</x:v>
      </x:c>
      <x:c r="S116" s="28" t="str">
        <x:f>IF(A116="","",IF(COUNTIF($A$5:$A$205,A116)&gt;1,"DUPLICATE ID",IF(AND(Q116="approved",COUNTIFS(Sources!$A$5:$A$404,A116,Sources!$F$5:$F$404,TRUE)=0),"NEEDS SOURCE",IF(AND(Q116="approved",COUNTIFS(Images!$A$5:$A$304,A116,Images!$H$5:$H$304,TRUE,Images!$I$5:$I$304,"approved")&lt;&gt;1),"NEEDS PRIMARY IMAGE","OK"))))</x:f>
        <x:v>OK</x:v>
      </x:c>
    </x:row>
    <x:row r="117">
      <x:c r="A117" s="28" t="str">
        <x:v>yassa</x:v>
      </x:c>
      <x:c r="B117" s="28" t="str">
        <x:v>Yassa</x:v>
      </x:c>
      <x:c r="C117" s="28" t="str">
        <x:v>Chicken Yassa|Yassa Poulet</x:v>
      </x:c>
      <x:c r="D117" s="28" t="str">
        <x:v>SN</x:v>
      </x:c>
      <x:c r="E117" s="28" t="str">
        <x:v>africa</x:v>
      </x:c>
      <x:c r="F117" s="28" t="str">
        <x:v>grilled-protein</x:v>
      </x:c>
      <x:c r="G117" s="28" t="str">
        <x:v>tangy</x:v>
      </x:c>
      <x:c r="H117" s="28" t="str">
        <x:v>spicy</x:v>
      </x:c>
      <x:c r="I117" s="28"/>
      <x:c r="J117" s="28" t="str">
        <x:v>savory</x:v>
      </x:c>
      <x:c r="K117" s="28" t="str">
        <x:v>aromatic</x:v>
      </x:c>
      <x:c r="L117" s="28" t="str">
        <x:v>tender</x:v>
      </x:c>
      <x:c r="M117" s="28"/>
      <x:c r="N117" s="28" t="n">
        <x:v>2</x:v>
      </x:c>
      <x:c r="O117" s="28" t="str">
        <x:v>Senegalese marinated chicken or fish cooked with onions, citrus, mustard, and chile.</x:v>
      </x:c>
      <x:c r="P117" s="28" t="str">
        <x:v>Yassa is a Senegalese dish in which chicken, fish, or another protein is marinated with lemon or lime, mustard, garlic, chile, and abundant onions. The protein is browned and then simmered with the onion-rich marinade.</x:v>
      </x:c>
      <x:c r="Q117" s="28" t="str">
        <x:v>needs-review</x:v>
      </x:c>
      <x:c r="R117" s="28" t="str">
        <x:v>Batch 5 candidate. Grilled/Protein is Nom's broad protein category; the dish combines browning and stewing.</x:v>
      </x:c>
      <x:c r="S117" s="28" t="str">
        <x:f>IF(A117="","",IF(COUNTIF($A$5:$A$205,A117)&gt;1,"DUPLICATE ID",IF(AND(Q117="approved",COUNTIFS(Sources!$A$5:$A$404,A117,Sources!$F$5:$F$404,TRUE)=0),"NEEDS SOURCE",IF(AND(Q117="approved",COUNTIFS(Images!$A$5:$A$304,A117,Images!$H$5:$H$304,TRUE,Images!$I$5:$I$304,"approved")&lt;&gt;1),"NEEDS PRIMARY IMAGE","OK"))))</x:f>
        <x:v>OK</x:v>
      </x:c>
    </x:row>
    <x:row r="118">
      <x:c r="A118" s="28" t="str">
        <x:v>bissara</x:v>
      </x:c>
      <x:c r="B118" s="28" t="str">
        <x:v>Bissara</x:v>
      </x:c>
      <x:c r="C118" s="28" t="str">
        <x:v>Bessara|Besara</x:v>
      </x:c>
      <x:c r="D118" s="28" t="str">
        <x:v>MA</x:v>
      </x:c>
      <x:c r="E118" s="28" t="str">
        <x:v>africa</x:v>
      </x:c>
      <x:c r="F118" s="28" t="str">
        <x:v>soup-broth</x:v>
      </x:c>
      <x:c r="G118" s="28" t="str">
        <x:v>comforting</x:v>
      </x:c>
      <x:c r="H118" s="28"/>
      <x:c r="I118" s="28"/>
      <x:c r="J118" s="28" t="str">
        <x:v>earthy</x:v>
      </x:c>
      <x:c r="K118" s="28" t="str">
        <x:v>creamy</x:v>
      </x:c>
      <x:c r="L118" s="28" t="str">
        <x:v>aromatic</x:v>
      </x:c>
      <x:c r="M118" s="28"/>
      <x:c r="N118" s="28" t="n">
        <x:v>2</x:v>
      </x:c>
      <x:c r="O118" s="28" t="str">
        <x:v>North African fava-bean soup or purée finished with olive oil, cumin, and paprika.</x:v>
      </x:c>
      <x:c r="P118" s="28" t="str">
        <x:v>Bissara is a North African dish made from slowly cooked split fava beans blended with onions, garlic, herbs, and spices until creamy. Moroccan versions are commonly served warm with olive oil, cumin, paprika, and bread.</x:v>
      </x:c>
      <x:c r="Q118" s="28" t="str">
        <x:v>needs-review</x:v>
      </x:c>
      <x:c r="R118" s="28" t="str">
        <x:v>Batch 5 candidate. Morocco used for catalog grouping while acknowledging Egyptian and broader North African traditions.</x:v>
      </x:c>
      <x:c r="S118" s="28" t="str">
        <x:f>IF(A118="","",IF(COUNTIF($A$5:$A$205,A118)&gt;1,"DUPLICATE ID",IF(AND(Q118="approved",COUNTIFS(Sources!$A$5:$A$404,A118,Sources!$F$5:$F$404,TRUE)=0),"NEEDS SOURCE",IF(AND(Q118="approved",COUNTIFS(Images!$A$5:$A$304,A118,Images!$H$5:$H$304,TRUE,Images!$I$5:$I$304,"approved")&lt;&gt;1),"NEEDS PRIMARY IMAGE","OK"))))</x:f>
        <x:v>OK</x:v>
      </x:c>
    </x:row>
    <x:row r="119">
      <x:c r="A119" s="28" t="str">
        <x:v>shisa-nyama</x:v>
      </x:c>
      <x:c r="B119" s="28" t="str">
        <x:v>Shisa Nyama</x:v>
      </x:c>
      <x:c r="C119" s="28" t="str">
        <x:v>Chisa Nyama|Shisanyama</x:v>
      </x:c>
      <x:c r="D119" s="28" t="str">
        <x:v>ZA</x:v>
      </x:c>
      <x:c r="E119" s="28" t="str">
        <x:v>africa</x:v>
      </x:c>
      <x:c r="F119" s="28" t="str">
        <x:v>grilled-protein</x:v>
      </x:c>
      <x:c r="G119" s="28" t="str">
        <x:v>rich</x:v>
      </x:c>
      <x:c r="H119" s="28"/>
      <x:c r="I119" s="28"/>
      <x:c r="J119" s="28" t="str">
        <x:v>smoky</x:v>
      </x:c>
      <x:c r="K119" s="28" t="str">
        <x:v>charred</x:v>
      </x:c>
      <x:c r="L119" s="28" t="str">
        <x:v>juicy</x:v>
      </x:c>
      <x:c r="M119" s="28"/>
      <x:c r="N119" s="28" t="n">
        <x:v>2</x:v>
      </x:c>
      <x:c r="O119" s="28" t="str">
        <x:v>South African township barbecue centered on meats grilled over hot coals and shared socially.</x:v>
      </x:c>
      <x:c r="P119" s="28" t="str">
        <x:v>Shisa nyama is a South African social barbecue tradition built around meat grilled over hot coals, often at butchery-and-braai venues. Beef, sausage, chicken, and other meats may be served with maize meal and sides.</x:v>
      </x:c>
      <x:c r="Q119" s="28" t="str">
        <x:v>needs-review</x:v>
      </x:c>
      <x:c r="R119" s="28" t="str">
        <x:v>Batch 5 candidate. This represents a social barbecue tradition rather than one standardized recipe.</x:v>
      </x:c>
      <x:c r="S119" s="28" t="str">
        <x:f>IF(A119="","",IF(COUNTIF($A$5:$A$205,A119)&gt;1,"DUPLICATE ID",IF(AND(Q119="approved",COUNTIFS(Sources!$A$5:$A$404,A119,Sources!$F$5:$F$404,TRUE)=0),"NEEDS SOURCE",IF(AND(Q119="approved",COUNTIFS(Images!$A$5:$A$304,A119,Images!$H$5:$H$304,TRUE,Images!$I$5:$I$304,"approved")&lt;&gt;1),"NEEDS PRIMARY IMAGE","OK"))))</x:f>
        <x:v>OK</x:v>
      </x:c>
    </x:row>
    <x:row r="120">
      <x:c r="A120" s="28" t="str">
        <x:v>fideua</x:v>
      </x:c>
      <x:c r="B120" s="28" t="str">
        <x:v>Fideuà</x:v>
      </x:c>
      <x:c r="C120" s="28" t="str">
        <x:v>Fideua</x:v>
      </x:c>
      <x:c r="D120" s="28" t="str">
        <x:v>ES</x:v>
      </x:c>
      <x:c r="E120" s="28" t="str">
        <x:v>europe</x:v>
      </x:c>
      <x:c r="F120" s="28" t="str">
        <x:v>noodle</x:v>
      </x:c>
      <x:c r="G120" s="28" t="str">
        <x:v>rich</x:v>
      </x:c>
      <x:c r="H120" s="28"/>
      <x:c r="I120" s="28"/>
      <x:c r="J120" s="28" t="str">
        <x:v>savory</x:v>
      </x:c>
      <x:c r="K120" s="28" t="str">
        <x:v>aromatic</x:v>
      </x:c>
      <x:c r="L120" s="28" t="str">
        <x:v>umami</x:v>
      </x:c>
      <x:c r="M120" s="28"/>
      <x:c r="N120" s="28" t="n">
        <x:v>2</x:v>
      </x:c>
      <x:c r="O120" s="28" t="str">
        <x:v>Valencian toasted noodle dish cooked paella-style with seafood and savory stock.</x:v>
      </x:c>
      <x:c r="P120" s="28" t="str">
        <x:v>Fideuà is a Valencian dish related to paella but made with short noodles instead of rice. The noodles are cooked in a wide pan with stock and commonly seafood, fish, garlic, tomato, and other coastal Mediterranean ingredients.</x:v>
      </x:c>
      <x:c r="Q120" s="28" t="str">
        <x:v>needs-review</x:v>
      </x:c>
      <x:c r="R120" s="28" t="str">
        <x:v>Batch 5 candidate. Fresh preference reflects seafood-forward preparations. Retag resolution applied: preference flavor set to 'rich'.</x:v>
      </x:c>
      <x:c r="S120" s="28" t="str">
        <x:f>IF(A120="","",IF(COUNTIF($A$5:$A$205,A120)&gt;1,"DUPLICATE ID",IF(AND(Q120="approved",COUNTIFS(Sources!$A$5:$A$404,A120,Sources!$F$5:$F$404,TRUE)=0),"NEEDS SOURCE",IF(AND(Q120="approved",COUNTIFS(Images!$A$5:$A$304,A120,Images!$H$5:$H$304,TRUE,Images!$I$5:$I$304,"approved")&lt;&gt;1),"NEEDS PRIMARY IMAGE","OK"))))</x:f>
        <x:v>OK</x:v>
      </x:c>
    </x:row>
    <x:row r="121">
      <x:c r="A121" s="28" t="str">
        <x:v>borscht</x:v>
      </x:c>
      <x:c r="B121" s="28" t="str">
        <x:v>Borscht</x:v>
      </x:c>
      <x:c r="C121" s="28" t="str">
        <x:v>Borsch|Borshch</x:v>
      </x:c>
      <x:c r="D121" s="28" t="str">
        <x:v>UA</x:v>
      </x:c>
      <x:c r="E121" s="28" t="str">
        <x:v>europe</x:v>
      </x:c>
      <x:c r="F121" s="28" t="str">
        <x:v>soup-broth</x:v>
      </x:c>
      <x:c r="G121" s="28" t="str">
        <x:v>tangy</x:v>
      </x:c>
      <x:c r="H121" s="28" t="str">
        <x:v>comforting</x:v>
      </x:c>
      <x:c r="I121" s="28"/>
      <x:c r="J121" s="28" t="str">
        <x:v>earthy</x:v>
      </x:c>
      <x:c r="K121" s="28" t="str">
        <x:v>savory</x:v>
      </x:c>
      <x:c r="L121" s="28" t="str">
        <x:v>aromatic</x:v>
      </x:c>
      <x:c r="M121" s="28"/>
      <x:c r="N121" s="28" t="n">
        <x:v>2</x:v>
      </x:c>
      <x:c r="O121" s="28" t="str">
        <x:v>Ukrainian beet soup with vegetables, sour notes, and optional meat or sour cream.</x:v>
      </x:c>
      <x:c r="P121" s="28" t="str">
        <x:v>Borscht is an Eastern European sour soup strongly associated with Ukrainian culinary tradition. Red-beet versions commonly combine beetroot with stock, cabbage, potatoes, carrots, onions, tomatoes, and optional meat, then finish with sour cream or herbs.</x:v>
      </x:c>
      <x:c r="Q121" s="28" t="str">
        <x:v>needs-review</x:v>
      </x:c>
      <x:c r="R121" s="28" t="str">
        <x:v>Batch 5 candidate. Ukrainian grouping reflects the best-known red borscht tradition while acknowledging wider regional forms.</x:v>
      </x:c>
      <x:c r="S121" s="28" t="str">
        <x:f>IF(A121="","",IF(COUNTIF($A$5:$A$205,A121)&gt;1,"DUPLICATE ID",IF(AND(Q121="approved",COUNTIFS(Sources!$A$5:$A$404,A121,Sources!$F$5:$F$404,TRUE)=0),"NEEDS SOURCE",IF(AND(Q121="approved",COUNTIFS(Images!$A$5:$A$304,A121,Images!$H$5:$H$304,TRUE,Images!$I$5:$I$304,"approved")&lt;&gt;1),"NEEDS PRIMARY IMAGE","OK"))))</x:f>
        <x:v>OK</x:v>
      </x:c>
    </x:row>
    <x:row r="122">
      <x:c r="A122" s="28" t="str">
        <x:v>pirozhki</x:v>
      </x:c>
      <x:c r="B122" s="28" t="str">
        <x:v>Pirozhki</x:v>
      </x:c>
      <x:c r="C122" s="28" t="str">
        <x:v>Piroshki</x:v>
      </x:c>
      <x:c r="D122" s="28" t="str">
        <x:v>UA</x:v>
      </x:c>
      <x:c r="E122" s="28" t="str">
        <x:v>europe</x:v>
      </x:c>
      <x:c r="F122" s="28" t="str">
        <x:v>handheld</x:v>
      </x:c>
      <x:c r="G122" s="28" t="str">
        <x:v>comforting</x:v>
      </x:c>
      <x:c r="H122" s="28"/>
      <x:c r="I122" s="28"/>
      <x:c r="J122" s="28" t="str">
        <x:v>savory</x:v>
      </x:c>
      <x:c r="K122" s="28" t="str">
        <x:v>buttery</x:v>
      </x:c>
      <x:c r="L122" s="28" t="str">
        <x:v>tender</x:v>
      </x:c>
      <x:c r="M122" s="28"/>
      <x:c r="N122" s="28" t="n">
        <x:v>1</x:v>
      </x:c>
      <x:c r="O122" s="28" t="str">
        <x:v>Eastern European small filled buns baked or fried with savory or sweet fillings.</x:v>
      </x:c>
      <x:c r="P122" s="28" t="str">
        <x:v>Pirozhki are small filled buns common across Eastern European cuisines. Yeasted dough is wrapped around fillings such as meat, potato, cabbage, mushrooms, cheese, or fruit, then baked or fried.</x:v>
      </x:c>
      <x:c r="Q122" s="28" t="str">
        <x:v>needs-review</x:v>
      </x:c>
      <x:c r="R122" s="28" t="str">
        <x:v>Batch 5 candidate. Ukraine used for Nom grouping while acknowledging wider Eastern European and Russian traditions.</x:v>
      </x:c>
      <x:c r="S122" s="28" t="str">
        <x:f>IF(A122="","",IF(COUNTIF($A$5:$A$205,A122)&gt;1,"DUPLICATE ID",IF(AND(Q122="approved",COUNTIFS(Sources!$A$5:$A$404,A122,Sources!$F$5:$F$404,TRUE)=0),"NEEDS SOURCE",IF(AND(Q122="approved",COUNTIFS(Images!$A$5:$A$304,A122,Images!$H$5:$H$304,TRUE,Images!$I$5:$I$304,"approved")&lt;&gt;1),"NEEDS PRIMARY IMAGE","OK"))))</x:f>
        <x:v>OK</x:v>
      </x:c>
    </x:row>
    <x:row r="123">
      <x:c r="A123" s="28" t="str">
        <x:v>arroz-chaufa</x:v>
      </x:c>
      <x:c r="B123" s="28" t="str">
        <x:v>Arroz Chaufa</x:v>
      </x:c>
      <x:c r="C123" s="28" t="str">
        <x:v>Chaufa</x:v>
      </x:c>
      <x:c r="D123" s="28" t="str">
        <x:v>PE</x:v>
      </x:c>
      <x:c r="E123" s="28" t="str">
        <x:v>latin-america</x:v>
      </x:c>
      <x:c r="F123" s="28" t="str">
        <x:v>rice</x:v>
      </x:c>
      <x:c r="G123" s="28" t="str">
        <x:v>comforting</x:v>
      </x:c>
      <x:c r="H123" s="28"/>
      <x:c r="I123" s="28"/>
      <x:c r="J123" s="28" t="str">
        <x:v>savory</x:v>
      </x:c>
      <x:c r="K123" s="28" t="str">
        <x:v>umami</x:v>
      </x:c>
      <x:c r="L123" s="28" t="str">
        <x:v>smoky</x:v>
      </x:c>
      <x:c r="M123" s="28"/>
      <x:c r="N123" s="28" t="n">
        <x:v>2</x:v>
      </x:c>
      <x:c r="O123" s="28" t="str">
        <x:v>Peruvian-Chinese fried rice tossed with egg, scallions, soy sauce, vegetables, and protein.</x:v>
      </x:c>
      <x:c r="P123" s="28" t="str">
        <x:v>Arroz chaufa is a Peruvian fried-rice dish from chifa, the Chinese-Peruvian culinary tradition. Rice is stir-fried at high heat with egg, scallions, soy sauce, vegetables, and proteins such as chicken, beef, pork, or shrimp.</x:v>
      </x:c>
      <x:c r="Q123" s="28" t="str">
        <x:v>needs-review</x:v>
      </x:c>
      <x:c r="R123" s="28" t="str">
        <x:v>Batch 5 candidate. Smoky descriptor reflects high-heat wok cooking rather than every preparation.</x:v>
      </x:c>
      <x:c r="S123" s="28" t="str">
        <x:f>IF(A123="","",IF(COUNTIF($A$5:$A$205,A123)&gt;1,"DUPLICATE ID",IF(AND(Q123="approved",COUNTIFS(Sources!$A$5:$A$404,A123,Sources!$F$5:$F$404,TRUE)=0),"NEEDS SOURCE",IF(AND(Q123="approved",COUNTIFS(Images!$A$5:$A$304,A123,Images!$H$5:$H$304,TRUE,Images!$I$5:$I$304,"approved")&lt;&gt;1),"NEEDS PRIMARY IMAGE","OK"))))</x:f>
        <x:v>OK</x:v>
      </x:c>
    </x:row>
    <x:row r="124">
      <x:c r="A124" s="28" t="str">
        <x:v>pupusa</x:v>
      </x:c>
      <x:c r="B124" s="28" t="str">
        <x:v>Pupusa</x:v>
      </x:c>
      <x:c r="C124" s="28" t="str">
        <x:v>Pupusas</x:v>
      </x:c>
      <x:c r="D124" s="28" t="str">
        <x:v>SV</x:v>
      </x:c>
      <x:c r="E124" s="28" t="str">
        <x:v>latin-america</x:v>
      </x:c>
      <x:c r="F124" s="28" t="str">
        <x:v>handheld</x:v>
      </x:c>
      <x:c r="G124" s="28" t="str">
        <x:v>comforting</x:v>
      </x:c>
      <x:c r="H124" s="28" t="str">
        <x:v>rich</x:v>
      </x:c>
      <x:c r="I124" s="28"/>
      <x:c r="J124" s="28" t="str">
        <x:v>savory</x:v>
      </x:c>
      <x:c r="K124" s="28" t="str">
        <x:v>chewy</x:v>
      </x:c>
      <x:c r="L124" s="28" t="str">
        <x:v>tender</x:v>
      </x:c>
      <x:c r="M124" s="28"/>
      <x:c r="N124" s="28" t="n">
        <x:v>1</x:v>
      </x:c>
      <x:c r="O124" s="28" t="str">
        <x:v>Salvadoran stuffed corn or rice flatbread filled with cheese, beans, pork, or vegetables.</x:v>
      </x:c>
      <x:c r="P124" s="28" t="str">
        <x:v>Pupusas are thick Central American griddle cakes associated especially with El Salvador and Honduras. Corn or rice dough is stuffed with fillings such as cheese, beans, chicharrón, or squash and served with curtido and tomato sauce.</x:v>
      </x:c>
      <x:c r="Q124" s="28" t="str">
        <x:v>needs-review</x:v>
      </x:c>
      <x:c r="R124" s="28" t="str">
        <x:v>Batch 5 candidate. El Salvador used for catalog grouping while acknowledging Honduran tradition and shared regional history.</x:v>
      </x:c>
      <x:c r="S124" s="28" t="str">
        <x:f>IF(A124="","",IF(COUNTIF($A$5:$A$205,A124)&gt;1,"DUPLICATE ID",IF(AND(Q124="approved",COUNTIFS(Sources!$A$5:$A$404,A124,Sources!$F$5:$F$404,TRUE)=0),"NEEDS SOURCE",IF(AND(Q124="approved",COUNTIFS(Images!$A$5:$A$304,A124,Images!$H$5:$H$304,TRUE,Images!$I$5:$I$304,"approved")&lt;&gt;1),"NEEDS PRIMARY IMAGE","OK"))))</x:f>
        <x:v>OK</x:v>
      </x:c>
    </x:row>
    <x:row r="125">
      <x:c r="A125" s="28" t="str">
        <x:v>moqueca</x:v>
      </x:c>
      <x:c r="B125" s="28" t="str">
        <x:v>Moqueca</x:v>
      </x:c>
      <x:c r="C125" s="28"/>
      <x:c r="D125" s="28" t="str">
        <x:v>BR</x:v>
      </x:c>
      <x:c r="E125" s="28" t="str">
        <x:v>latin-america</x:v>
      </x:c>
      <x:c r="F125" s="28" t="str">
        <x:v>soup-broth</x:v>
      </x:c>
      <x:c r="G125" s="28" t="str">
        <x:v>fresh</x:v>
      </x:c>
      <x:c r="H125" s="28"/>
      <x:c r="I125" s="28"/>
      <x:c r="J125" s="28" t="str">
        <x:v>savory</x:v>
      </x:c>
      <x:c r="K125" s="28" t="str">
        <x:v>aromatic</x:v>
      </x:c>
      <x:c r="L125" s="28" t="str">
        <x:v>creamy</x:v>
      </x:c>
      <x:c r="M125" s="28"/>
      <x:c r="N125" s="28" t="n">
        <x:v>2</x:v>
      </x:c>
      <x:c r="O125" s="28" t="str">
        <x:v>Brazilian seafood stew with tomatoes, onions, lime, herbs, and regional coconut or palm-oil variations.</x:v>
      </x:c>
      <x:c r="P125" s="28" t="str">
        <x:v>Moqueca is a Brazilian seafood stew made with fish or shrimp, tomatoes, onions, garlic, lime, and coriander. Regional versions may add coconut milk, palm oil, or annatto and are commonly cooked in a clay pot.</x:v>
      </x:c>
      <x:c r="Q125" s="28" t="str">
        <x:v>needs-review</x:v>
      </x:c>
      <x:c r="R125" s="28" t="str">
        <x:v>Batch 5 candidate. Richness varies between Capixaba and Baiana styles.</x:v>
      </x:c>
      <x:c r="S125" s="28" t="str">
        <x:f>IF(A125="","",IF(COUNTIF($A$5:$A$205,A125)&gt;1,"DUPLICATE ID",IF(AND(Q125="approved",COUNTIFS(Sources!$A$5:$A$404,A125,Sources!$F$5:$F$404,TRUE)=0),"NEEDS SOURCE",IF(AND(Q125="approved",COUNTIFS(Images!$A$5:$A$304,A125,Images!$H$5:$H$304,TRUE,Images!$I$5:$I$304,"approved")&lt;&gt;1),"NEEDS PRIMARY IMAGE","OK"))))</x:f>
        <x:v>OK</x:v>
      </x:c>
    </x:row>
    <x:row r="126">
      <x:c r="A126" s="28" t="str">
        <x:v>churrasco</x:v>
      </x:c>
      <x:c r="B126" s="28" t="str">
        <x:v>Churrasco</x:v>
      </x:c>
      <x:c r="C126" s="28"/>
      <x:c r="D126" s="28" t="str">
        <x:v>BR</x:v>
      </x:c>
      <x:c r="E126" s="28" t="str">
        <x:v>latin-america</x:v>
      </x:c>
      <x:c r="F126" s="28" t="str">
        <x:v>grilled-protein</x:v>
      </x:c>
      <x:c r="G126" s="28" t="str">
        <x:v>rich</x:v>
      </x:c>
      <x:c r="H126" s="28"/>
      <x:c r="I126" s="28"/>
      <x:c r="J126" s="28" t="str">
        <x:v>smoky</x:v>
      </x:c>
      <x:c r="K126" s="28" t="str">
        <x:v>charred</x:v>
      </x:c>
      <x:c r="L126" s="28" t="str">
        <x:v>juicy</x:v>
      </x:c>
      <x:c r="M126" s="28"/>
      <x:c r="N126" s="28" t="n">
        <x:v>1</x:v>
      </x:c>
      <x:c r="O126" s="28" t="str">
        <x:v>Brazilian-style barbecue featuring meats grilled over open fire or hot coals.</x:v>
      </x:c>
      <x:c r="P126" s="28" t="str">
        <x:v>Churrasco is a South American barbecue tradition especially associated with Brazil, where beef, sausage, chicken, pork, or other meats are grilled over charcoal or wood, often on skewers and served in generous portions.</x:v>
      </x:c>
      <x:c r="Q126" s="28" t="str">
        <x:v>needs-review</x:v>
      </x:c>
      <x:c r="R126" s="28" t="str">
        <x:v>Batch 5 candidate. Brazil used for grouping while acknowledging broader South American use of the term.</x:v>
      </x:c>
      <x:c r="S126" s="28" t="str">
        <x:f>IF(A126="","",IF(COUNTIF($A$5:$A$205,A126)&gt;1,"DUPLICATE ID",IF(AND(Q126="approved",COUNTIFS(Sources!$A$5:$A$404,A126,Sources!$F$5:$F$404,TRUE)=0),"NEEDS SOURCE",IF(AND(Q126="approved",COUNTIFS(Images!$A$5:$A$304,A126,Images!$H$5:$H$304,TRUE,Images!$I$5:$I$304,"approved")&lt;&gt;1),"NEEDS PRIMARY IMAGE","OK"))))</x:f>
        <x:v>OK</x:v>
      </x:c>
    </x:row>
    <x:row r="127">
      <x:c r="A127" s="28" t="str">
        <x:v>philly-cheesesteak</x:v>
      </x:c>
      <x:c r="B127" s="28" t="str">
        <x:v>Philly Cheesesteak</x:v>
      </x:c>
      <x:c r="C127" s="28" t="str">
        <x:v>Cheesesteak|Philadelphia Cheesesteak</x:v>
      </x:c>
      <x:c r="D127" s="28" t="str">
        <x:v>US</x:v>
      </x:c>
      <x:c r="E127" s="28" t="str">
        <x:v>north-america</x:v>
      </x:c>
      <x:c r="F127" s="28" t="str">
        <x:v>handheld</x:v>
      </x:c>
      <x:c r="G127" s="28" t="str">
        <x:v>rich</x:v>
      </x:c>
      <x:c r="H127" s="28" t="str">
        <x:v>comforting</x:v>
      </x:c>
      <x:c r="I127" s="28"/>
      <x:c r="J127" s="28" t="str">
        <x:v>savory</x:v>
      </x:c>
      <x:c r="K127" s="28" t="str">
        <x:v>juicy</x:v>
      </x:c>
      <x:c r="L127" s="28" t="str">
        <x:v>tender</x:v>
      </x:c>
      <x:c r="M127" s="28"/>
      <x:c r="N127" s="28" t="n">
        <x:v>1</x:v>
      </x:c>
      <x:c r="O127" s="28" t="str">
        <x:v>Philadelphia sandwich of thin-sliced beef and melted cheese in a long roll.</x:v>
      </x:c>
      <x:c r="P127" s="28" t="str">
        <x:v>A Philadelphia cheesesteak is a hot sandwich of thinly sliced beefsteak and melted cheese served in a long hoagie-style roll. Variations may include fried onions, peppers, mushrooms, or different cheeses.</x:v>
      </x:c>
      <x:c r="Q127" s="28" t="str">
        <x:v>needs-review</x:v>
      </x:c>
      <x:c r="R127" s="28" t="str">
        <x:v>Batch 5 candidate. Familiarity level is a Nom product heuristic.</x:v>
      </x:c>
      <x:c r="S127" s="28" t="str">
        <x:f>IF(A127="","",IF(COUNTIF($A$5:$A$205,A127)&gt;1,"DUPLICATE ID",IF(AND(Q127="approved",COUNTIFS(Sources!$A$5:$A$404,A127,Sources!$F$5:$F$404,TRUE)=0),"NEEDS SOURCE",IF(AND(Q127="approved",COUNTIFS(Images!$A$5:$A$304,A127,Images!$H$5:$H$304,TRUE,Images!$I$5:$I$304,"approved")&lt;&gt;1),"NEEDS PRIMARY IMAGE","OK"))))</x:f>
        <x:v>OK</x:v>
      </x:c>
    </x:row>
    <x:row r="128">
      <x:c r="A128" s="28" t="str">
        <x:v>chili-con-carne</x:v>
      </x:c>
      <x:c r="B128" s="28" t="str">
        <x:v>Chili con Carne</x:v>
      </x:c>
      <x:c r="C128" s="28" t="str">
        <x:v>Chili|Chilli con Carne</x:v>
      </x:c>
      <x:c r="D128" s="28" t="str">
        <x:v>US</x:v>
      </x:c>
      <x:c r="E128" s="28" t="str">
        <x:v>north-america</x:v>
      </x:c>
      <x:c r="F128" s="28" t="str">
        <x:v>soup-broth</x:v>
      </x:c>
      <x:c r="G128" s="28" t="str">
        <x:v>spicy</x:v>
      </x:c>
      <x:c r="H128" s="28" t="str">
        <x:v>rich</x:v>
      </x:c>
      <x:c r="I128" s="28"/>
      <x:c r="J128" s="28" t="str">
        <x:v>savory</x:v>
      </x:c>
      <x:c r="K128" s="28" t="str">
        <x:v>smoky</x:v>
      </x:c>
      <x:c r="L128" s="28" t="str">
        <x:v>earthy</x:v>
      </x:c>
      <x:c r="M128" s="28"/>
      <x:c r="N128" s="28" t="n">
        <x:v>1</x:v>
      </x:c>
      <x:c r="O128" s="28" t="str">
        <x:v>American chile-and-meat stew with tomatoes, spices, and optional beans.</x:v>
      </x:c>
      <x:c r="P128" s="28" t="str">
        <x:v>Chili con carne is a spicy stew associated with the American Southwest and Texas, built around meat and chile peppers with regional variations that may include tomatoes, beans, onions, garlic, and other seasonings.</x:v>
      </x:c>
      <x:c r="Q128" s="28" t="str">
        <x:v>needs-review</x:v>
      </x:c>
      <x:c r="R128" s="28" t="str">
        <x:v>Batch 5 candidate. Soup/Broth is Nom's closest category for this thick stew.</x:v>
      </x:c>
      <x:c r="S128" s="28" t="str">
        <x:f>IF(A128="","",IF(COUNTIF($A$5:$A$205,A128)&gt;1,"DUPLICATE ID",IF(AND(Q128="approved",COUNTIFS(Sources!$A$5:$A$404,A128,Sources!$F$5:$F$404,TRUE)=0),"NEEDS SOURCE",IF(AND(Q128="approved",COUNTIFS(Images!$A$5:$A$304,A128,Images!$H$5:$H$304,TRUE,Images!$I$5:$I$304,"approved")&lt;&gt;1),"NEEDS PRIMARY IMAGE","OK"))))</x:f>
        <x:v>OK</x:v>
      </x:c>
    </x:row>
    <x:row r="129">
      <x:c r="A129" s="28" t="str">
        <x:v>baked-ziti</x:v>
      </x:c>
      <x:c r="B129" s="28" t="str">
        <x:v>Baked Ziti</x:v>
      </x:c>
      <x:c r="C129" s="28"/>
      <x:c r="D129" s="28" t="str">
        <x:v>US</x:v>
      </x:c>
      <x:c r="E129" s="28" t="str">
        <x:v>north-america</x:v>
      </x:c>
      <x:c r="F129" s="28" t="str">
        <x:v>noodle</x:v>
      </x:c>
      <x:c r="G129" s="28" t="str">
        <x:v>rich</x:v>
      </x:c>
      <x:c r="H129" s="28" t="str">
        <x:v>comforting</x:v>
      </x:c>
      <x:c r="I129" s="28"/>
      <x:c r="J129" s="28" t="str">
        <x:v>creamy</x:v>
      </x:c>
      <x:c r="K129" s="28" t="str">
        <x:v>savory</x:v>
      </x:c>
      <x:c r="L129" s="28" t="str">
        <x:v>tender</x:v>
      </x:c>
      <x:c r="M129" s="28"/>
      <x:c r="N129" s="28" t="n">
        <x:v>1</x:v>
      </x:c>
      <x:c r="O129" s="28" t="str">
        <x:v>Italian-American baked pasta layered with tomato sauce, cheese, and optional meat.</x:v>
      </x:c>
      <x:c r="P129" s="28" t="str">
        <x:v>Baked ziti is an Italian-American casserole of tube-shaped ziti pasta combined with tomato sauce and cheeses such as ricotta and mozzarella, then baked until hot and browned. Meat may be added in many versions.</x:v>
      </x:c>
      <x:c r="Q129" s="28" t="str">
        <x:v>needs-review</x:v>
      </x:c>
      <x:c r="R129" s="28" t="str">
        <x:v>Batch 5 candidate. Familiarity level is a Nom product heuristic.</x:v>
      </x:c>
      <x:c r="S129" s="28" t="str">
        <x:f>IF(A129="","",IF(COUNTIF($A$5:$A$205,A129)&gt;1,"DUPLICATE ID",IF(AND(Q129="approved",COUNTIFS(Sources!$A$5:$A$404,A129,Sources!$F$5:$F$404,TRUE)=0),"NEEDS SOURCE",IF(AND(Q129="approved",COUNTIFS(Images!$A$5:$A$304,A129,Images!$H$5:$H$304,TRUE,Images!$I$5:$I$304,"approved")&lt;&gt;1),"NEEDS PRIMARY IMAGE","OK"))))</x:f>
        <x:v>OK</x:v>
      </x:c>
    </x:row>
    <x:row r="130">
      <x:c r="A130" s="28" t="str">
        <x:v>mapo-tofu</x:v>
      </x:c>
      <x:c r="B130" s="28" t="str">
        <x:v>Mapo Tofu</x:v>
      </x:c>
      <x:c r="C130" s="28" t="str">
        <x:v>Mapo Doufu</x:v>
      </x:c>
      <x:c r="D130" s="28" t="str">
        <x:v>CN</x:v>
      </x:c>
      <x:c r="E130" s="28" t="str">
        <x:v>east-asia</x:v>
      </x:c>
      <x:c r="F130" s="28" t="str">
        <x:v>grilled-protein</x:v>
      </x:c>
      <x:c r="G130" s="28" t="str">
        <x:v>spicy</x:v>
      </x:c>
      <x:c r="H130" s="28" t="str">
        <x:v>rich</x:v>
      </x:c>
      <x:c r="I130" s="28"/>
      <x:c r="J130" s="28" t="str">
        <x:v>savory</x:v>
      </x:c>
      <x:c r="K130" s="28" t="str">
        <x:v>umami</x:v>
      </x:c>
      <x:c r="L130" s="28" t="str">
        <x:v>tender</x:v>
      </x:c>
      <x:c r="M130" s="28"/>
      <x:c r="N130" s="28" t="n">
        <x:v>2</x:v>
      </x:c>
      <x:c r="O130" s="28" t="str">
        <x:v>Sichuan tofu in a spicy chile-and-bean sauce with minced meat and numbing peppercorn.</x:v>
      </x:c>
      <x:c r="P130" s="28" t="str">
        <x:v>Mapo tofu is a Sichuan dish of soft tofu and minced meat in a chile- and fermented-bean-based sauce, usually seasoned with Sichuan pepper. The result is savory, spicy, aromatic, and characteristically numbing.</x:v>
      </x:c>
      <x:c r="Q130" s="28" t="str">
        <x:v>needs-review</x:v>
      </x:c>
      <x:c r="R130" s="28" t="str">
        <x:v>Batch 6 candidate. Grilled/Protein is Nom's broad protein category; the tofu is simmered rather than grilled.</x:v>
      </x:c>
      <x:c r="S130" s="28" t="str">
        <x:f>IF(A130="","",IF(COUNTIF($A$5:$A$205,A130)&gt;1,"DUPLICATE ID",IF(AND(Q130="approved",COUNTIFS(Sources!$A$5:$A$404,A130,Sources!$F$5:$F$404,TRUE)=0),"NEEDS SOURCE",IF(AND(Q130="approved",COUNTIFS(Images!$A$5:$A$304,A130,Images!$H$5:$H$304,TRUE,Images!$I$5:$I$304,"approved")&lt;&gt;1),"NEEDS PRIMARY IMAGE","OK"))))</x:f>
        <x:v>OK</x:v>
      </x:c>
    </x:row>
    <x:row r="131">
      <x:c r="A131" s="28" t="str">
        <x:v>japchae</x:v>
      </x:c>
      <x:c r="B131" s="28" t="str">
        <x:v>Japchae</x:v>
      </x:c>
      <x:c r="C131" s="28"/>
      <x:c r="D131" s="28" t="str">
        <x:v>KR</x:v>
      </x:c>
      <x:c r="E131" s="28" t="str">
        <x:v>east-asia</x:v>
      </x:c>
      <x:c r="F131" s="28" t="str">
        <x:v>noodle</x:v>
      </x:c>
      <x:c r="G131" s="28" t="str">
        <x:v>fresh</x:v>
      </x:c>
      <x:c r="H131" s="28"/>
      <x:c r="I131" s="28"/>
      <x:c r="J131" s="28" t="str">
        <x:v>savory</x:v>
      </x:c>
      <x:c r="K131" s="28" t="str">
        <x:v>chewy</x:v>
      </x:c>
      <x:c r="L131" s="28" t="str">
        <x:v>light</x:v>
      </x:c>
      <x:c r="M131" s="28"/>
      <x:c r="N131" s="28" t="n">
        <x:v>1</x:v>
      </x:c>
      <x:c r="O131" s="28" t="str">
        <x:v>Korean sweet-potato glass noodles stir-fried with vegetables, sesame, and savory seasoning.</x:v>
      </x:c>
      <x:c r="P131" s="28" t="str">
        <x:v>Japchae is a Korean dish of translucent sweet-potato-starch noodles mixed with vegetables and a soy-sesame seasoning. Meat or mushrooms may be added, while the noodles remain springy and the vegetables provide fresh texture.</x:v>
      </x:c>
      <x:c r="Q131" s="28" t="str">
        <x:v>needs-review</x:v>
      </x:c>
      <x:c r="R131" s="28" t="str">
        <x:v>Batch 6 candidate. Fresh preference reflects the vegetable-forward composition rather than every preparation.</x:v>
      </x:c>
      <x:c r="S131" s="28" t="str">
        <x:f>IF(A131="","",IF(COUNTIF($A$5:$A$205,A131)&gt;1,"DUPLICATE ID",IF(AND(Q131="approved",COUNTIFS(Sources!$A$5:$A$404,A131,Sources!$F$5:$F$404,TRUE)=0),"NEEDS SOURCE",IF(AND(Q131="approved",COUNTIFS(Images!$A$5:$A$304,A131,Images!$H$5:$H$304,TRUE,Images!$I$5:$I$304,"approved")&lt;&gt;1),"NEEDS PRIMARY IMAGE","OK"))))</x:f>
        <x:v>OK</x:v>
      </x:c>
    </x:row>
    <x:row r="132">
      <x:c r="A132" s="28" t="str">
        <x:v>onigiri</x:v>
      </x:c>
      <x:c r="B132" s="28" t="str">
        <x:v>Onigiri</x:v>
      </x:c>
      <x:c r="C132" s="28" t="str">
        <x:v>Omusubi|Rice Ball</x:v>
      </x:c>
      <x:c r="D132" s="28" t="str">
        <x:v>JP</x:v>
      </x:c>
      <x:c r="E132" s="28" t="str">
        <x:v>east-asia</x:v>
      </x:c>
      <x:c r="F132" s="28" t="str">
        <x:v>handheld</x:v>
      </x:c>
      <x:c r="G132" s="28" t="str">
        <x:v>comforting</x:v>
      </x:c>
      <x:c r="H132" s="28"/>
      <x:c r="I132" s="28"/>
      <x:c r="J132" s="28" t="str">
        <x:v>savory</x:v>
      </x:c>
      <x:c r="K132" s="28" t="str">
        <x:v>light</x:v>
      </x:c>
      <x:c r="L132" s="28" t="str">
        <x:v>tender</x:v>
      </x:c>
      <x:c r="M132" s="28"/>
      <x:c r="N132" s="28" t="n">
        <x:v>1</x:v>
      </x:c>
      <x:c r="O132" s="28" t="str">
        <x:v>Japanese rice balls shaped by hand and filled or seasoned with savory ingredients.</x:v>
      </x:c>
      <x:c r="P132" s="28" t="str">
        <x:v>Onigiri are Japanese rice balls formed into triangular or round shapes, often wrapped partly in nori and filled with ingredients such as salmon, umeboshi, tuna, or kombu. They are portable, simple, and widely eaten as a snack or light meal.</x:v>
      </x:c>
      <x:c r="Q132" s="28" t="str">
        <x:v>needs-review</x:v>
      </x:c>
      <x:c r="R132" s="28" t="str">
        <x:v>Batch 6 candidate. Flavor assignments vary by filling; this row represents the common savory format. Retag resolution applied: preference flavor set to 'comforting'.</x:v>
      </x:c>
      <x:c r="S132" s="28" t="str">
        <x:f>IF(A132="","",IF(COUNTIF($A$5:$A$205,A132)&gt;1,"DUPLICATE ID",IF(AND(Q132="approved",COUNTIFS(Sources!$A$5:$A$404,A132,Sources!$F$5:$F$404,TRUE)=0),"NEEDS SOURCE",IF(AND(Q132="approved",COUNTIFS(Images!$A$5:$A$304,A132,Images!$H$5:$H$304,TRUE,Images!$I$5:$I$304,"approved")&lt;&gt;1),"NEEDS PRIMARY IMAGE","OK"))))</x:f>
        <x:v>OK</x:v>
      </x:c>
    </x:row>
    <x:row r="133">
      <x:c r="A133" s="28" t="str">
        <x:v>goi-cuon</x:v>
      </x:c>
      <x:c r="B133" s="28" t="str">
        <x:v>Gỏi Cuốn</x:v>
      </x:c>
      <x:c r="C133" s="28" t="str">
        <x:v>Vietnamese Spring Rolls|Summer Rolls</x:v>
      </x:c>
      <x:c r="D133" s="28" t="str">
        <x:v>VN</x:v>
      </x:c>
      <x:c r="E133" s="28" t="str">
        <x:v>southeast-asia</x:v>
      </x:c>
      <x:c r="F133" s="28" t="str">
        <x:v>handheld</x:v>
      </x:c>
      <x:c r="G133" s="28" t="str">
        <x:v>fresh</x:v>
      </x:c>
      <x:c r="H133" s="28"/>
      <x:c r="I133" s="28"/>
      <x:c r="J133" s="28" t="str">
        <x:v>herbal</x:v>
      </x:c>
      <x:c r="K133" s="28" t="str">
        <x:v>light</x:v>
      </x:c>
      <x:c r="L133" s="28" t="str">
        <x:v>savory</x:v>
      </x:c>
      <x:c r="M133" s="28"/>
      <x:c r="N133" s="28" t="n">
        <x:v>1</x:v>
      </x:c>
      <x:c r="O133" s="28" t="str">
        <x:v>Vietnamese fresh rice-paper rolls packed with herbs, noodles, vegetables, and shrimp or pork.</x:v>
      </x:c>
      <x:c r="P133" s="28" t="str">
        <x:v>Gỏi cuốn are Vietnamese fresh rolls made with softened rice paper wrapped around rice vermicelli, herbs, vegetables, and commonly shrimp or pork. They are served cold with a dipping sauce and have a light, fresh profile.</x:v>
      </x:c>
      <x:c r="Q133" s="28" t="str">
        <x:v>needs-review</x:v>
      </x:c>
      <x:c r="R133" s="28" t="str">
        <x:v>Batch 6 candidate. Tangy preference reflects common dipping sauces and fresh herb accompaniments.</x:v>
      </x:c>
      <x:c r="S133" s="28" t="str">
        <x:f>IF(A133="","",IF(COUNTIF($A$5:$A$205,A133)&gt;1,"DUPLICATE ID",IF(AND(Q133="approved",COUNTIFS(Sources!$A$5:$A$404,A133,Sources!$F$5:$F$404,TRUE)=0),"NEEDS SOURCE",IF(AND(Q133="approved",COUNTIFS(Images!$A$5:$A$304,A133,Images!$H$5:$H$304,TRUE,Images!$I$5:$I$304,"approved")&lt;&gt;1),"NEEDS PRIMARY IMAGE","OK"))))</x:f>
        <x:v>OK</x:v>
      </x:c>
    </x:row>
    <x:row r="134">
      <x:c r="A134" s="28" t="str">
        <x:v>banh-xeo</x:v>
      </x:c>
      <x:c r="B134" s="28" t="str">
        <x:v>Bánh Xèo</x:v>
      </x:c>
      <x:c r="C134" s="28" t="str">
        <x:v>Banh Xeo|Vietnamese Sizzling Crepe</x:v>
      </x:c>
      <x:c r="D134" s="28" t="str">
        <x:v>VN</x:v>
      </x:c>
      <x:c r="E134" s="28" t="str">
        <x:v>southeast-asia</x:v>
      </x:c>
      <x:c r="F134" s="28" t="str">
        <x:v>handheld</x:v>
      </x:c>
      <x:c r="G134" s="28" t="str">
        <x:v>crispy</x:v>
      </x:c>
      <x:c r="H134" s="28" t="str">
        <x:v>fresh</x:v>
      </x:c>
      <x:c r="I134" s="28"/>
      <x:c r="J134" s="28" t="str">
        <x:v>savory</x:v>
      </x:c>
      <x:c r="K134" s="28" t="str">
        <x:v>herbal</x:v>
      </x:c>
      <x:c r="L134" s="28" t="str">
        <x:v>charred</x:v>
      </x:c>
      <x:c r="M134" s="28"/>
      <x:c r="N134" s="28" t="n">
        <x:v>2</x:v>
      </x:c>
      <x:c r="O134" s="28" t="str">
        <x:v>Crisp Vietnamese turmeric crepe filled with pork, shrimp, bean sprouts, and fresh herbs.</x:v>
      </x:c>
      <x:c r="P134" s="28" t="str">
        <x:v>Bánh xèo is a Vietnamese savory crepe made from rice flour, turmeric, and liquid such as water or coconut milk, cooked until crisp and filled with ingredients such as pork, shrimp, and bean sprouts. It is commonly eaten with herbs and dipping sauce.</x:v>
      </x:c>
      <x:c r="Q134" s="28" t="str">
        <x:v>needs-review</x:v>
      </x:c>
      <x:c r="R134" s="28" t="str">
        <x:v>Batch 6 candidate. Handheld reflects the common lettuce-and-herb wrapping style, though the crepe is usually plated first.</x:v>
      </x:c>
      <x:c r="S134" s="28" t="str">
        <x:f>IF(A134="","",IF(COUNTIF($A$5:$A$205,A134)&gt;1,"DUPLICATE ID",IF(AND(Q134="approved",COUNTIFS(Sources!$A$5:$A$404,A134,Sources!$F$5:$F$404,TRUE)=0),"NEEDS SOURCE",IF(AND(Q134="approved",COUNTIFS(Images!$A$5:$A$304,A134,Images!$H$5:$H$304,TRUE,Images!$I$5:$I$304,"approved")&lt;&gt;1),"NEEDS PRIMARY IMAGE","OK"))))</x:f>
        <x:v>OK</x:v>
      </x:c>
    </x:row>
    <x:row r="135">
      <x:c r="A135" s="28" t="str">
        <x:v>ikan-bakar</x:v>
      </x:c>
      <x:c r="B135" s="28" t="str">
        <x:v>Ikan Bakar</x:v>
      </x:c>
      <x:c r="C135" s="28"/>
      <x:c r="D135" s="28" t="str">
        <x:v>ID</x:v>
      </x:c>
      <x:c r="E135" s="28" t="str">
        <x:v>southeast-asia</x:v>
      </x:c>
      <x:c r="F135" s="28" t="str">
        <x:v>grilled-protein</x:v>
      </x:c>
      <x:c r="G135" s="28" t="str">
        <x:v>spicy</x:v>
      </x:c>
      <x:c r="H135" s="28" t="str">
        <x:v>fresh</x:v>
      </x:c>
      <x:c r="I135" s="28"/>
      <x:c r="J135" s="28" t="str">
        <x:v>smoky</x:v>
      </x:c>
      <x:c r="K135" s="28" t="str">
        <x:v>charred</x:v>
      </x:c>
      <x:c r="L135" s="28" t="str">
        <x:v>savory</x:v>
      </x:c>
      <x:c r="M135" s="28"/>
      <x:c r="N135" s="28" t="n">
        <x:v>2</x:v>
      </x:c>
      <x:c r="O135" s="28" t="str">
        <x:v>Indonesian or Malay grilled fish coated with aromatic spices, chile, and regional sauces.</x:v>
      </x:c>
      <x:c r="P135" s="28" t="str">
        <x:v>Ikan bakar is an Indonesian and Malay grilled-fish preparation in which fish or seafood is seasoned with spice pastes, chile, aromatics, and regional sauces before cooking over charcoal or another high-heat fire.</x:v>
      </x:c>
      <x:c r="Q135" s="28" t="str">
        <x:v>needs-review</x:v>
      </x:c>
      <x:c r="R135" s="28" t="str">
        <x:v>Batch 6 candidate. Indonesia used for catalog grouping while acknowledging Malay regional traditions.</x:v>
      </x:c>
      <x:c r="S135" s="28" t="str">
        <x:f>IF(A135="","",IF(COUNTIF($A$5:$A$205,A135)&gt;1,"DUPLICATE ID",IF(AND(Q135="approved",COUNTIFS(Sources!$A$5:$A$404,A135,Sources!$F$5:$F$404,TRUE)=0),"NEEDS SOURCE",IF(AND(Q135="approved",COUNTIFS(Images!$A$5:$A$304,A135,Images!$H$5:$H$304,TRUE,Images!$I$5:$I$304,"approved")&lt;&gt;1),"NEEDS PRIMARY IMAGE","OK"))))</x:f>
        <x:v>OK</x:v>
      </x:c>
    </x:row>
    <x:row r="136">
      <x:c r="A136" s="28" t="str">
        <x:v>khichdi</x:v>
      </x:c>
      <x:c r="B136" s="28" t="str">
        <x:v>Khichdi</x:v>
      </x:c>
      <x:c r="C136" s="28" t="str">
        <x:v>Khichuri|Khichari</x:v>
      </x:c>
      <x:c r="D136" s="28" t="str">
        <x:v>IN</x:v>
      </x:c>
      <x:c r="E136" s="28" t="str">
        <x:v>south-asia</x:v>
      </x:c>
      <x:c r="F136" s="28" t="str">
        <x:v>rice</x:v>
      </x:c>
      <x:c r="G136" s="28" t="str">
        <x:v>comforting</x:v>
      </x:c>
      <x:c r="H136" s="28"/>
      <x:c r="I136" s="28"/>
      <x:c r="J136" s="28" t="str">
        <x:v>savory</x:v>
      </x:c>
      <x:c r="K136" s="28" t="str">
        <x:v>creamy</x:v>
      </x:c>
      <x:c r="L136" s="28" t="str">
        <x:v>light</x:v>
      </x:c>
      <x:c r="M136" s="28"/>
      <x:c r="N136" s="28" t="n">
        <x:v>2</x:v>
      </x:c>
      <x:c r="O136" s="28" t="str">
        <x:v>South Asian rice-and-lentil comfort dish cooked soft with spices and optional vegetables.</x:v>
      </x:c>
      <x:c r="P136" s="28" t="str">
        <x:v>Khichdi is a South Asian dish of rice and lentils cooked together until soft, with versions ranging from lightly seasoned comfort food to richer preparations with vegetables, ghee, and spices. It is eaten across India and neighboring countries.</x:v>
      </x:c>
      <x:c r="Q136" s="28" t="str">
        <x:v>needs-review</x:v>
      </x:c>
      <x:c r="R136" s="28" t="str">
        <x:v>Batch 6 candidate. India used for catalog grouping while acknowledging broad South Asian traditions.</x:v>
      </x:c>
      <x:c r="S136" s="28" t="str">
        <x:f>IF(A136="","",IF(COUNTIF($A$5:$A$205,A136)&gt;1,"DUPLICATE ID",IF(AND(Q136="approved",COUNTIFS(Sources!$A$5:$A$404,A136,Sources!$F$5:$F$404,TRUE)=0),"NEEDS SOURCE",IF(AND(Q136="approved",COUNTIFS(Images!$A$5:$A$304,A136,Images!$H$5:$H$304,TRUE,Images!$I$5:$I$304,"approved")&lt;&gt;1),"NEEDS PRIMARY IMAGE","OK"))))</x:f>
        <x:v>OK</x:v>
      </x:c>
    </x:row>
    <x:row r="137">
      <x:c r="A137" s="28" t="str">
        <x:v>kathi-roll</x:v>
      </x:c>
      <x:c r="B137" s="28" t="str">
        <x:v>Kathi Roll</x:v>
      </x:c>
      <x:c r="C137" s="28" t="str">
        <x:v>Kati Roll</x:v>
      </x:c>
      <x:c r="D137" s="28" t="str">
        <x:v>IN</x:v>
      </x:c>
      <x:c r="E137" s="28" t="str">
        <x:v>south-asia</x:v>
      </x:c>
      <x:c r="F137" s="28" t="str">
        <x:v>handheld</x:v>
      </x:c>
      <x:c r="G137" s="28" t="str">
        <x:v>comforting</x:v>
      </x:c>
      <x:c r="H137" s="28"/>
      <x:c r="I137" s="28"/>
      <x:c r="J137" s="28" t="str">
        <x:v>savory</x:v>
      </x:c>
      <x:c r="K137" s="28" t="str">
        <x:v>charred</x:v>
      </x:c>
      <x:c r="L137" s="28" t="str">
        <x:v>tender</x:v>
      </x:c>
      <x:c r="M137" s="28"/>
      <x:c r="N137" s="28" t="n">
        <x:v>2</x:v>
      </x:c>
      <x:c r="O137" s="28" t="str">
        <x:v>Kolkata-style flatbread roll wrapped around grilled fillings, onions, sauces, and spices.</x:v>
      </x:c>
      <x:c r="P137" s="28" t="str">
        <x:v>A kathi roll is an Indian street-food wrap associated with Kolkata, built from a paratha or other flatbread wrapped around kebab-style meat, egg, paneer, onions, sauces, and spices. The bread may be griddled until lightly crisp.</x:v>
      </x:c>
      <x:c r="Q137" s="28" t="str">
        <x:v>needs-review</x:v>
      </x:c>
      <x:c r="R137" s="28" t="str">
        <x:v>Batch 6 candidate. Fillings vary widely; flavors represent common savory-spicy street-food versions. Retag resolution applied: preference flavor set to 'comforting'.</x:v>
      </x:c>
      <x:c r="S137" s="28" t="str">
        <x:f>IF(A137="","",IF(COUNTIF($A$5:$A$205,A137)&gt;1,"DUPLICATE ID",IF(AND(Q137="approved",COUNTIFS(Sources!$A$5:$A$404,A137,Sources!$F$5:$F$404,TRUE)=0),"NEEDS SOURCE",IF(AND(Q137="approved",COUNTIFS(Images!$A$5:$A$304,A137,Images!$H$5:$H$304,TRUE,Images!$I$5:$I$304,"approved")&lt;&gt;1),"NEEDS PRIMARY IMAGE","OK"))))</x:f>
        <x:v>OK</x:v>
      </x:c>
    </x:row>
    <x:row r="138">
      <x:c r="A138" s="28" t="str">
        <x:v>korma</x:v>
      </x:c>
      <x:c r="B138" s="28" t="str">
        <x:v>Korma</x:v>
      </x:c>
      <x:c r="C138" s="28" t="str">
        <x:v>Qorma</x:v>
      </x:c>
      <x:c r="D138" s="28" t="str">
        <x:v>IN</x:v>
      </x:c>
      <x:c r="E138" s="28" t="str">
        <x:v>south-asia</x:v>
      </x:c>
      <x:c r="F138" s="28" t="str">
        <x:v>grilled-protein</x:v>
      </x:c>
      <x:c r="G138" s="28" t="str">
        <x:v>rich</x:v>
      </x:c>
      <x:c r="H138" s="28" t="str">
        <x:v>comforting</x:v>
      </x:c>
      <x:c r="I138" s="28"/>
      <x:c r="J138" s="28" t="str">
        <x:v>creamy</x:v>
      </x:c>
      <x:c r="K138" s="28" t="str">
        <x:v>aromatic</x:v>
      </x:c>
      <x:c r="L138" s="28" t="str">
        <x:v>savory</x:v>
      </x:c>
      <x:c r="M138" s="28"/>
      <x:c r="N138" s="28" t="n">
        <x:v>1</x:v>
      </x:c>
      <x:c r="O138" s="28" t="str">
        <x:v>South Asian meat or vegetables braised in a fragrant sauce enriched with yogurt, cream, or nuts.</x:v>
      </x:c>
      <x:c r="P138" s="28" t="str">
        <x:v>Korma is a South Asian braised dish in which meat or vegetables cook gently with aromatics, spices, and an enriched sauce that may include yogurt, cream, nuts, or seeds. Styles range from mild and creamy to deeply spiced.</x:v>
      </x:c>
      <x:c r="Q138" s="28" t="str">
        <x:v>needs-review</x:v>
      </x:c>
      <x:c r="R138" s="28" t="str">
        <x:v>Batch 6 candidate. Grilled/Protein is Nom's broad protein category; korma is braised.</x:v>
      </x:c>
      <x:c r="S138" s="28" t="str">
        <x:f>IF(A138="","",IF(COUNTIF($A$5:$A$205,A138)&gt;1,"DUPLICATE ID",IF(AND(Q138="approved",COUNTIFS(Sources!$A$5:$A$404,A138,Sources!$F$5:$F$404,TRUE)=0),"NEEDS SOURCE",IF(AND(Q138="approved",COUNTIFS(Images!$A$5:$A$304,A138,Images!$H$5:$H$304,TRUE,Images!$I$5:$I$304,"approved")&lt;&gt;1),"NEEDS PRIMARY IMAGE","OK"))))</x:f>
        <x:v>OK</x:v>
      </x:c>
    </x:row>
    <x:row r="139">
      <x:c r="A139" s="28" t="str">
        <x:v>musakhan</x:v>
      </x:c>
      <x:c r="B139" s="28" t="str">
        <x:v>Musakhan</x:v>
      </x:c>
      <x:c r="C139" s="28" t="str">
        <x:v>Mussakhan</x:v>
      </x:c>
      <x:c r="D139" s="28" t="str">
        <x:v>PS</x:v>
      </x:c>
      <x:c r="E139" s="28" t="str">
        <x:v>middle-east</x:v>
      </x:c>
      <x:c r="F139" s="28" t="str">
        <x:v>grilled-protein</x:v>
      </x:c>
      <x:c r="G139" s="28" t="str">
        <x:v>tangy</x:v>
      </x:c>
      <x:c r="H139" s="28" t="str">
        <x:v>rich</x:v>
      </x:c>
      <x:c r="I139" s="28"/>
      <x:c r="J139" s="28" t="str">
        <x:v>savory</x:v>
      </x:c>
      <x:c r="K139" s="28" t="str">
        <x:v>aromatic</x:v>
      </x:c>
      <x:c r="L139" s="28" t="str">
        <x:v>tender</x:v>
      </x:c>
      <x:c r="M139" s="28"/>
      <x:c r="N139" s="28" t="n">
        <x:v>3</x:v>
      </x:c>
      <x:c r="O139" s="28" t="str">
        <x:v>Palestinian sumac-roasted chicken served over onion-soaked taboon bread with olive oil.</x:v>
      </x:c>
      <x:c r="P139" s="28" t="str">
        <x:v>Musakhan is a Palestinian dish of roasted chicken seasoned with sumac and served over taboon bread layered with onions, olive oil, and spices. The bread absorbs the chicken and onion juices, creating a rich, tangy, savory meal.</x:v>
      </x:c>
      <x:c r="Q139" s="28" t="str">
        <x:v>needs-review</x:v>
      </x:c>
      <x:c r="R139" s="28" t="str">
        <x:v>Batch 6 candidate. Adventure level is a Nom heuristic; this dish has strong Palestinian cultural identity.</x:v>
      </x:c>
      <x:c r="S139" s="28" t="str">
        <x:f>IF(A139="","",IF(COUNTIF($A$5:$A$205,A139)&gt;1,"DUPLICATE ID",IF(AND(Q139="approved",COUNTIFS(Sources!$A$5:$A$404,A139,Sources!$F$5:$F$404,TRUE)=0),"NEEDS SOURCE",IF(AND(Q139="approved",COUNTIFS(Images!$A$5:$A$304,A139,Images!$H$5:$H$304,TRUE,Images!$I$5:$I$304,"approved")&lt;&gt;1),"NEEDS PRIMARY IMAGE","OK"))))</x:f>
        <x:v>OK</x:v>
      </x:c>
    </x:row>
    <x:row r="140">
      <x:c r="A140" s="28" t="str">
        <x:v>harees</x:v>
      </x:c>
      <x:c r="B140" s="28" t="str">
        <x:v>Harees</x:v>
      </x:c>
      <x:c r="C140" s="28" t="str">
        <x:v>Hareesa|Jareesh-style Wheat Porridge</x:v>
      </x:c>
      <x:c r="D140" s="28" t="str">
        <x:v>AE</x:v>
      </x:c>
      <x:c r="E140" s="28" t="str">
        <x:v>middle-east</x:v>
      </x:c>
      <x:c r="F140" s="28" t="str">
        <x:v>soup-broth</x:v>
      </x:c>
      <x:c r="G140" s="28" t="str">
        <x:v>comforting</x:v>
      </x:c>
      <x:c r="H140" s="28" t="str">
        <x:v>rich</x:v>
      </x:c>
      <x:c r="I140" s="28"/>
      <x:c r="J140" s="28" t="str">
        <x:v>creamy</x:v>
      </x:c>
      <x:c r="K140" s="28" t="str">
        <x:v>savory</x:v>
      </x:c>
      <x:c r="L140" s="28" t="str">
        <x:v>tender</x:v>
      </x:c>
      <x:c r="M140" s="28"/>
      <x:c r="N140" s="28" t="n">
        <x:v>3</x:v>
      </x:c>
      <x:c r="O140" s="28" t="str">
        <x:v>Gulf wheat-and-meat porridge slow-cooked until creamy, cohesive, and deeply comforting.</x:v>
      </x:c>
      <x:c r="P140" s="28" t="str">
        <x:v>Harees is a traditional Arab dish made by slow-cooking wheat with meat until the grains and protein break down into a thick, porridge-like texture. It is especially associated with Gulf cuisines and is commonly eaten during Ramadan and celebrations.</x:v>
      </x:c>
      <x:c r="Q140" s="28" t="str">
        <x:v>needs-review</x:v>
      </x:c>
      <x:c r="R140" s="28" t="str">
        <x:v>Batch 6 candidate. UAE used for catalog grouping while acknowledging wider Gulf and Arab traditions.</x:v>
      </x:c>
      <x:c r="S140" s="28" t="str">
        <x:f>IF(A140="","",IF(COUNTIF($A$5:$A$205,A140)&gt;1,"DUPLICATE ID",IF(AND(Q140="approved",COUNTIFS(Sources!$A$5:$A$404,A140,Sources!$F$5:$F$404,TRUE)=0),"NEEDS SOURCE",IF(AND(Q140="approved",COUNTIFS(Images!$A$5:$A$304,A140,Images!$H$5:$H$304,TRUE,Images!$I$5:$I$304,"approved")&lt;&gt;1),"NEEDS PRIMARY IMAGE","OK"))))</x:f>
        <x:v>OK</x:v>
      </x:c>
    </x:row>
    <x:row r="141">
      <x:c r="A141" s="28" t="str">
        <x:v>lahmacun</x:v>
      </x:c>
      <x:c r="B141" s="28" t="str">
        <x:v>Lahmacun</x:v>
      </x:c>
      <x:c r="C141" s="28" t="str">
        <x:v>Lahmajun</x:v>
      </x:c>
      <x:c r="D141" s="28" t="str">
        <x:v>TR</x:v>
      </x:c>
      <x:c r="E141" s="28" t="str">
        <x:v>middle-east</x:v>
      </x:c>
      <x:c r="F141" s="28" t="str">
        <x:v>handheld</x:v>
      </x:c>
      <x:c r="G141" s="28" t="str">
        <x:v>fresh</x:v>
      </x:c>
      <x:c r="H141" s="28"/>
      <x:c r="I141" s="28"/>
      <x:c r="J141" s="28" t="str">
        <x:v>savory</x:v>
      </x:c>
      <x:c r="K141" s="28" t="str">
        <x:v>aromatic</x:v>
      </x:c>
      <x:c r="L141" s="28" t="str">
        <x:v>light</x:v>
      </x:c>
      <x:c r="M141" s="28"/>
      <x:c r="N141" s="28" t="n">
        <x:v>2</x:v>
      </x:c>
      <x:c r="O141" s="28" t="str">
        <x:v>Thin flatbread baked with seasoned minced meat, herbs, tomato, and pepper.</x:v>
      </x:c>
      <x:c r="P141" s="28" t="str">
        <x:v>Lahmacun is a thin round flatbread topped with a seasoned mixture of minced meat, vegetables, herbs, tomato, and peppers before baking. It is commonly served with fresh greens, lemon, and herbs and rolled or folded for eating.</x:v>
      </x:c>
      <x:c r="Q141" s="28" t="str">
        <x:v>needs-review</x:v>
      </x:c>
      <x:c r="R141" s="28" t="str">
        <x:v>Batch 6 candidate. Turkey is grouped under Nom's Middle East region; regional identity spans Anatolia and neighboring cuisines.</x:v>
      </x:c>
      <x:c r="S141" s="28" t="str">
        <x:f>IF(A141="","",IF(COUNTIF($A$5:$A$205,A141)&gt;1,"DUPLICATE ID",IF(AND(Q141="approved",COUNTIFS(Sources!$A$5:$A$404,A141,Sources!$F$5:$F$404,TRUE)=0),"NEEDS SOURCE",IF(AND(Q141="approved",COUNTIFS(Images!$A$5:$A$304,A141,Images!$H$5:$H$304,TRUE,Images!$I$5:$I$304,"approved")&lt;&gt;1),"NEEDS PRIMARY IMAGE","OK"))))</x:f>
        <x:v>OK</x:v>
      </x:c>
    </x:row>
    <x:row r="142">
      <x:c r="A142" s="28" t="str">
        <x:v>ful-medames</x:v>
      </x:c>
      <x:c r="B142" s="28" t="str">
        <x:v>Ful Medames</x:v>
      </x:c>
      <x:c r="C142" s="28" t="str">
        <x:v>Ful|Foul Medames</x:v>
      </x:c>
      <x:c r="D142" s="28" t="str">
        <x:v>EG</x:v>
      </x:c>
      <x:c r="E142" s="28" t="str">
        <x:v>africa</x:v>
      </x:c>
      <x:c r="F142" s="28" t="str">
        <x:v>soup-broth</x:v>
      </x:c>
      <x:c r="G142" s="28" t="str">
        <x:v>comforting</x:v>
      </x:c>
      <x:c r="H142" s="28" t="str">
        <x:v>fresh</x:v>
      </x:c>
      <x:c r="I142" s="28" t="str">
        <x:v>tangy</x:v>
      </x:c>
      <x:c r="J142" s="28" t="str">
        <x:v>earthy</x:v>
      </x:c>
      <x:c r="K142" s="28" t="str">
        <x:v>creamy</x:v>
      </x:c>
      <x:c r="L142" s="28" t="str">
        <x:v>savory</x:v>
      </x:c>
      <x:c r="M142" s="28"/>
      <x:c r="N142" s="28" t="n">
        <x:v>2</x:v>
      </x:c>
      <x:c r="O142" s="28" t="str">
        <x:v>Egyptian slow-cooked fava beans dressed with olive oil, lemon, cumin, and fresh toppings.</x:v>
      </x:c>
      <x:c r="P142" s="28" t="str">
        <x:v>Ful medames is an Egyptian dish of cooked fava beans seasoned with olive oil, lemon, cumin, and other accompaniments. It may be served chunky or mashed and is commonly eaten with bread, vegetables, eggs, or herbs.</x:v>
      </x:c>
      <x:c r="Q142" s="28" t="str">
        <x:v>needs-review</x:v>
      </x:c>
      <x:c r="R142" s="28" t="str">
        <x:v>Batch 6 candidate. Soup/Broth is Nom's closest category for this spoonable bean dish.</x:v>
      </x:c>
      <x:c r="S142" s="28" t="str">
        <x:f>IF(A142="","",IF(COUNTIF($A$5:$A$205,A142)&gt;1,"DUPLICATE ID",IF(AND(Q142="approved",COUNTIFS(Sources!$A$5:$A$404,A142,Sources!$F$5:$F$404,TRUE)=0),"NEEDS SOURCE",IF(AND(Q142="approved",COUNTIFS(Images!$A$5:$A$304,A142,Images!$H$5:$H$304,TRUE,Images!$I$5:$I$304,"approved")&lt;&gt;1),"NEEDS PRIMARY IMAGE","OK"))))</x:f>
        <x:v>OK</x:v>
      </x:c>
    </x:row>
    <x:row r="143">
      <x:c r="A143" s="28" t="str">
        <x:v>nyama-choma</x:v>
      </x:c>
      <x:c r="B143" s="28" t="str">
        <x:v>Nyama Choma</x:v>
      </x:c>
      <x:c r="C143" s="28"/>
      <x:c r="D143" s="28" t="str">
        <x:v>KE</x:v>
      </x:c>
      <x:c r="E143" s="28" t="str">
        <x:v>africa</x:v>
      </x:c>
      <x:c r="F143" s="28" t="str">
        <x:v>grilled-protein</x:v>
      </x:c>
      <x:c r="G143" s="28" t="str">
        <x:v>fresh</x:v>
      </x:c>
      <x:c r="H143" s="28" t="str">
        <x:v>rich</x:v>
      </x:c>
      <x:c r="I143" s="28"/>
      <x:c r="J143" s="28" t="str">
        <x:v>smoky</x:v>
      </x:c>
      <x:c r="K143" s="28" t="str">
        <x:v>charred</x:v>
      </x:c>
      <x:c r="L143" s="28" t="str">
        <x:v>juicy</x:v>
      </x:c>
      <x:c r="M143" s="28"/>
      <x:c r="N143" s="28" t="n">
        <x:v>2</x:v>
      </x:c>
      <x:c r="O143" s="28" t="str">
        <x:v>East African meat roasted or grilled over open heat and served with fresh sides.</x:v>
      </x:c>
      <x:c r="P143" s="28" t="str">
        <x:v>Nyama choma is an East African roasted or grilled meat tradition especially associated with Kenya and Tanzania. Goat and beef are common, and the meat is often served simply with fresh tomato-onion salad, greens, or maize-based sides.</x:v>
      </x:c>
      <x:c r="Q143" s="28" t="str">
        <x:v>needs-review</x:v>
      </x:c>
      <x:c r="R143" s="28" t="str">
        <x:v>Batch 6 candidate. Kenya used for catalog grouping while acknowledging wider East African traditions.</x:v>
      </x:c>
      <x:c r="S143" s="28" t="str">
        <x:f>IF(A143="","",IF(COUNTIF($A$5:$A$205,A143)&gt;1,"DUPLICATE ID",IF(AND(Q143="approved",COUNTIFS(Sources!$A$5:$A$404,A143,Sources!$F$5:$F$404,TRUE)=0),"NEEDS SOURCE",IF(AND(Q143="approved",COUNTIFS(Images!$A$5:$A$304,A143,Images!$H$5:$H$304,TRUE,Images!$I$5:$I$304,"approved")&lt;&gt;1),"NEEDS PRIMARY IMAGE","OK"))))</x:f>
        <x:v>OK</x:v>
      </x:c>
    </x:row>
    <x:row r="144">
      <x:c r="A144" s="28" t="str">
        <x:v>rolex</x:v>
      </x:c>
      <x:c r="B144" s="28" t="str">
        <x:v>Rolex</x:v>
      </x:c>
      <x:c r="C144" s="28" t="str">
        <x:v>Rolled Eggs</x:v>
      </x:c>
      <x:c r="D144" s="28" t="str">
        <x:v>UG</x:v>
      </x:c>
      <x:c r="E144" s="28" t="str">
        <x:v>africa</x:v>
      </x:c>
      <x:c r="F144" s="28" t="str">
        <x:v>handheld</x:v>
      </x:c>
      <x:c r="G144" s="28" t="str">
        <x:v>comforting</x:v>
      </x:c>
      <x:c r="H144" s="28"/>
      <x:c r="I144" s="28"/>
      <x:c r="J144" s="28" t="str">
        <x:v>savory</x:v>
      </x:c>
      <x:c r="K144" s="28" t="str">
        <x:v>tender</x:v>
      </x:c>
      <x:c r="L144" s="28" t="str">
        <x:v>light</x:v>
      </x:c>
      <x:c r="M144" s="28"/>
      <x:c r="N144" s="28" t="n">
        <x:v>3</x:v>
      </x:c>
      <x:c r="O144" s="28" t="str">
        <x:v>Ugandan street-food wrap of chapati rolled around eggs, vegetables, and optional fillings.</x:v>
      </x:c>
      <x:c r="P144" s="28" t="str">
        <x:v>A rolex is a Ugandan street-food wrap made by rolling a chapati around a cooked egg mixture, commonly with tomato, onion, cabbage, or other vegetables. The name comes from the phrase 'rolled eggs.'</x:v>
      </x:c>
      <x:c r="Q144" s="28" t="str">
        <x:v>needs-review</x:v>
      </x:c>
      <x:c r="R144" s="28" t="str">
        <x:v>Batch 6 candidate. Adventure level is a Nom heuristic, not a judgment about the cuisine. Retag resolution applied: preference flavor set to 'comforting'.</x:v>
      </x:c>
      <x:c r="S144" s="28" t="str">
        <x:f>IF(A144="","",IF(COUNTIF($A$5:$A$205,A144)&gt;1,"DUPLICATE ID",IF(AND(Q144="approved",COUNTIFS(Sources!$A$5:$A$404,A144,Sources!$F$5:$F$404,TRUE)=0),"NEEDS SOURCE",IF(AND(Q144="approved",COUNTIFS(Images!$A$5:$A$304,A144,Images!$H$5:$H$304,TRUE,Images!$I$5:$I$304,"approved")&lt;&gt;1),"NEEDS PRIMARY IMAGE","OK"))))</x:f>
        <x:v>OK</x:v>
      </x:c>
    </x:row>
    <x:row r="145">
      <x:c r="A145" s="28" t="str">
        <x:v>couscous</x:v>
      </x:c>
      <x:c r="B145" s="28" t="str">
        <x:v>Couscous</x:v>
      </x:c>
      <x:c r="C145" s="28"/>
      <x:c r="D145" s="28" t="str">
        <x:v>MA</x:v>
      </x:c>
      <x:c r="E145" s="28" t="str">
        <x:v>africa</x:v>
      </x:c>
      <x:c r="F145" s="28" t="str">
        <x:v>rice</x:v>
      </x:c>
      <x:c r="G145" s="28" t="str">
        <x:v>comforting</x:v>
      </x:c>
      <x:c r="H145" s="28"/>
      <x:c r="I145" s="28"/>
      <x:c r="J145" s="28" t="str">
        <x:v>savory</x:v>
      </x:c>
      <x:c r="K145" s="28" t="str">
        <x:v>aromatic</x:v>
      </x:c>
      <x:c r="L145" s="28" t="str">
        <x:v>light</x:v>
      </x:c>
      <x:c r="M145" s="28"/>
      <x:c r="N145" s="28" t="n">
        <x:v>1</x:v>
      </x:c>
      <x:c r="O145" s="28" t="str">
        <x:v>North African steamed semolina granules served with vegetables, broth, meat, or chickpeas.</x:v>
      </x:c>
      <x:c r="P145" s="28" t="str">
        <x:v>Couscous is a North African staple made from tiny steamed granules of durum wheat semolina, traditionally served with stewed vegetables, chickpeas, meat, and broth. Morocco is one of several countries with major couscous traditions.</x:v>
      </x:c>
      <x:c r="Q145" s="28" t="str">
        <x:v>needs-review</x:v>
      </x:c>
      <x:c r="R145" s="28" t="str">
        <x:v>Batch 6 candidate. Nom classifies couscous under rice as the closest starch-base category, though couscous is made from semolina rather than rice.</x:v>
      </x:c>
      <x:c r="S145" s="28" t="str">
        <x:f>IF(A145="","",IF(COUNTIF($A$5:$A$205,A145)&gt;1,"DUPLICATE ID",IF(AND(Q145="approved",COUNTIFS(Sources!$A$5:$A$404,A145,Sources!$F$5:$F$404,TRUE)=0),"NEEDS SOURCE",IF(AND(Q145="approved",COUNTIFS(Images!$A$5:$A$304,A145,Images!$H$5:$H$304,TRUE,Images!$I$5:$I$304,"approved")&lt;&gt;1),"NEEDS PRIMARY IMAGE","OK"))))</x:f>
        <x:v>OK</x:v>
      </x:c>
    </x:row>
    <x:row r="146">
      <x:c r="A146" s="28" t="str">
        <x:v>fish-and-chips</x:v>
      </x:c>
      <x:c r="B146" s="28" t="str">
        <x:v>Fish and Chips</x:v>
      </x:c>
      <x:c r="C146" s="28"/>
      <x:c r="D146" s="28" t="str">
        <x:v>GB</x:v>
      </x:c>
      <x:c r="E146" s="28" t="str">
        <x:v>europe</x:v>
      </x:c>
      <x:c r="F146" s="28" t="str">
        <x:v>grilled-protein</x:v>
      </x:c>
      <x:c r="G146" s="28" t="str">
        <x:v>crispy</x:v>
      </x:c>
      <x:c r="H146" s="28" t="str">
        <x:v>comforting</x:v>
      </x:c>
      <x:c r="I146" s="28"/>
      <x:c r="J146" s="28" t="str">
        <x:v>savory</x:v>
      </x:c>
      <x:c r="K146" s="28" t="str">
        <x:v>tender</x:v>
      </x:c>
      <x:c r="L146" s="28"/>
      <x:c r="M146" s="28"/>
      <x:c r="N146" s="28" t="n">
        <x:v>1</x:v>
      </x:c>
      <x:c r="O146" s="28" t="str">
        <x:v>British battered fish fried crisp and served with thick-cut chips.</x:v>
      </x:c>
      <x:c r="P146" s="28" t="str">
        <x:v>Fish and chips is a British dish of battered fish deep-fried until crisp and served with hot chips. Common accompaniments include malt vinegar, salt, tartar sauce, mushy peas, or other regional sides.</x:v>
      </x:c>
      <x:c r="Q146" s="28" t="str">
        <x:v>needs-review</x:v>
      </x:c>
      <x:c r="R146" s="28" t="str">
        <x:v>Batch 6 candidate. Grilled/Protein is Nom's broad protein category; the fish is fried.</x:v>
      </x:c>
      <x:c r="S146" s="28" t="str">
        <x:f>IF(A146="","",IF(COUNTIF($A$5:$A$205,A146)&gt;1,"DUPLICATE ID",IF(AND(Q146="approved",COUNTIFS(Sources!$A$5:$A$404,A146,Sources!$F$5:$F$404,TRUE)=0),"NEEDS SOURCE",IF(AND(Q146="approved",COUNTIFS(Images!$A$5:$A$304,A146,Images!$H$5:$H$304,TRUE,Images!$I$5:$I$304,"approved")&lt;&gt;1),"NEEDS PRIMARY IMAGE","OK"))))</x:f>
        <x:v>OK</x:v>
      </x:c>
    </x:row>
    <x:row r="147">
      <x:c r="A147" s="28" t="str">
        <x:v>moussaka</x:v>
      </x:c>
      <x:c r="B147" s="28" t="str">
        <x:v>Moussaka</x:v>
      </x:c>
      <x:c r="C147" s="28"/>
      <x:c r="D147" s="28" t="str">
        <x:v>GR</x:v>
      </x:c>
      <x:c r="E147" s="28" t="str">
        <x:v>europe</x:v>
      </x:c>
      <x:c r="F147" s="28" t="str">
        <x:v>grilled-protein</x:v>
      </x:c>
      <x:c r="G147" s="28" t="str">
        <x:v>rich</x:v>
      </x:c>
      <x:c r="H147" s="28" t="str">
        <x:v>comforting</x:v>
      </x:c>
      <x:c r="I147" s="28"/>
      <x:c r="J147" s="28" t="str">
        <x:v>creamy</x:v>
      </x:c>
      <x:c r="K147" s="28" t="str">
        <x:v>savory</x:v>
      </x:c>
      <x:c r="L147" s="28" t="str">
        <x:v>tender</x:v>
      </x:c>
      <x:c r="M147" s="28"/>
      <x:c r="N147" s="28" t="n">
        <x:v>1</x:v>
      </x:c>
      <x:c r="O147" s="28" t="str">
        <x:v>Greek layered eggplant and meat casserole topped with a creamy baked sauce.</x:v>
      </x:c>
      <x:c r="P147" s="28" t="str">
        <x:v>Greek moussaka commonly layers eggplant with a seasoned meat sauce and a creamy béchamel-style topping before baking. Regional versions vary, but the Greek casserole form is especially well known.</x:v>
      </x:c>
      <x:c r="Q147" s="28" t="str">
        <x:v>needs-review</x:v>
      </x:c>
      <x:c r="R147" s="28" t="str">
        <x:v>Batch 6 candidate. Grilled/Protein is Nom's broad protein category; the dish is baked.</x:v>
      </x:c>
      <x:c r="S147" s="28" t="str">
        <x:f>IF(A147="","",IF(COUNTIF($A$5:$A$205,A147)&gt;1,"DUPLICATE ID",IF(AND(Q147="approved",COUNTIFS(Sources!$A$5:$A$404,A147,Sources!$F$5:$F$404,TRUE)=0),"NEEDS SOURCE",IF(AND(Q147="approved",COUNTIFS(Images!$A$5:$A$304,A147,Images!$H$5:$H$304,TRUE,Images!$I$5:$I$304,"approved")&lt;&gt;1),"NEEDS PRIMARY IMAGE","OK"))))</x:f>
        <x:v>OK</x:v>
      </x:c>
    </x:row>
    <x:row r="148">
      <x:c r="A148" s="28" t="str">
        <x:v>croque-monsieur</x:v>
      </x:c>
      <x:c r="B148" s="28" t="str">
        <x:v>Croque Monsieur</x:v>
      </x:c>
      <x:c r="C148" s="28"/>
      <x:c r="D148" s="28" t="str">
        <x:v>FR</x:v>
      </x:c>
      <x:c r="E148" s="28" t="str">
        <x:v>europe</x:v>
      </x:c>
      <x:c r="F148" s="28" t="str">
        <x:v>handheld</x:v>
      </x:c>
      <x:c r="G148" s="28" t="str">
        <x:v>crispy</x:v>
      </x:c>
      <x:c r="H148" s="28" t="str">
        <x:v>rich</x:v>
      </x:c>
      <x:c r="I148" s="28"/>
      <x:c r="J148" s="28" t="str">
        <x:v>savory</x:v>
      </x:c>
      <x:c r="K148" s="28" t="str">
        <x:v>buttery</x:v>
      </x:c>
      <x:c r="L148" s="28" t="str">
        <x:v>creamy</x:v>
      </x:c>
      <x:c r="M148" s="28"/>
      <x:c r="N148" s="28" t="n">
        <x:v>1</x:v>
      </x:c>
      <x:c r="O148" s="28" t="str">
        <x:v>French grilled ham-and-cheese sandwich with a crisp exterior and melted cheese.</x:v>
      </x:c>
      <x:c r="P148" s="28" t="str">
        <x:v>A croque monsieur is a French hot sandwich made with bread, ham, and cheese, then grilled or baked until crisp and melted. Some versions include béchamel sauce for additional richness.</x:v>
      </x:c>
      <x:c r="Q148" s="28" t="str">
        <x:v>needs-review</x:v>
      </x:c>
      <x:c r="R148" s="28" t="str">
        <x:v>Batch 6 candidate. Familiarity level is a Nom product heuristic.</x:v>
      </x:c>
      <x:c r="S148" s="28" t="str">
        <x:f>IF(A148="","",IF(COUNTIF($A$5:$A$205,A148)&gt;1,"DUPLICATE ID",IF(AND(Q148="approved",COUNTIFS(Sources!$A$5:$A$404,A148,Sources!$F$5:$F$404,TRUE)=0),"NEEDS SOURCE",IF(AND(Q148="approved",COUNTIFS(Images!$A$5:$A$304,A148,Images!$H$5:$H$304,TRUE,Images!$I$5:$I$304,"approved")&lt;&gt;1),"NEEDS PRIMARY IMAGE","OK"))))</x:f>
        <x:v>OK</x:v>
      </x:c>
    </x:row>
    <x:row r="149">
      <x:c r="A149" s="28" t="str">
        <x:v>aji-de-gallina</x:v>
      </x:c>
      <x:c r="B149" s="28" t="str">
        <x:v>Ají de Gallina</x:v>
      </x:c>
      <x:c r="C149" s="28" t="str">
        <x:v>Aji de Gallina</x:v>
      </x:c>
      <x:c r="D149" s="28" t="str">
        <x:v>PE</x:v>
      </x:c>
      <x:c r="E149" s="28" t="str">
        <x:v>latin-america</x:v>
      </x:c>
      <x:c r="F149" s="28" t="str">
        <x:v>grilled-protein</x:v>
      </x:c>
      <x:c r="G149" s="28" t="str">
        <x:v>rich</x:v>
      </x:c>
      <x:c r="H149" s="28" t="str">
        <x:v>comforting</x:v>
      </x:c>
      <x:c r="I149" s="28"/>
      <x:c r="J149" s="28" t="str">
        <x:v>creamy</x:v>
      </x:c>
      <x:c r="K149" s="28" t="str">
        <x:v>savory</x:v>
      </x:c>
      <x:c r="L149" s="28" t="str">
        <x:v>aromatic</x:v>
      </x:c>
      <x:c r="M149" s="28"/>
      <x:c r="N149" s="28" t="n">
        <x:v>2</x:v>
      </x:c>
      <x:c r="O149" s="28" t="str">
        <x:v>Peruvian shredded chicken in a creamy yellow-chile sauce with nuts, bread, and cheese.</x:v>
      </x:c>
      <x:c r="P149" s="28" t="str">
        <x:v>Ají de gallina is a Peruvian dish of shredded chicken in a creamy sauce flavored with ají amarillo and commonly enriched with bread, milk, cheese, and nuts. It is usually served with rice, potatoes, olives, and egg.</x:v>
      </x:c>
      <x:c r="Q149" s="28" t="str">
        <x:v>needs-review</x:v>
      </x:c>
      <x:c r="R149" s="28" t="str">
        <x:v>Batch 6 candidate. Grilled/Protein is Nom's broad protein category; the chicken is poached or cooked before saucing.</x:v>
      </x:c>
      <x:c r="S149" s="28" t="str">
        <x:f>IF(A149="","",IF(COUNTIF($A$5:$A$205,A149)&gt;1,"DUPLICATE ID",IF(AND(Q149="approved",COUNTIFS(Sources!$A$5:$A$404,A149,Sources!$F$5:$F$404,TRUE)=0),"NEEDS SOURCE",IF(AND(Q149="approved",COUNTIFS(Images!$A$5:$A$304,A149,Images!$H$5:$H$304,TRUE,Images!$I$5:$I$304,"approved")&lt;&gt;1),"NEEDS PRIMARY IMAGE","OK"))))</x:f>
        <x:v>OK</x:v>
      </x:c>
    </x:row>
    <x:row r="150">
      <x:c r="A150" s="28" t="str">
        <x:v>sopa-de-fideo</x:v>
      </x:c>
      <x:c r="B150" s="28" t="str">
        <x:v>Sopa de Fideo</x:v>
      </x:c>
      <x:c r="C150" s="28" t="str">
        <x:v>Fideo Soup</x:v>
      </x:c>
      <x:c r="D150" s="28" t="str">
        <x:v>MX</x:v>
      </x:c>
      <x:c r="E150" s="28" t="str">
        <x:v>latin-america</x:v>
      </x:c>
      <x:c r="F150" s="28" t="str">
        <x:v>noodle</x:v>
      </x:c>
      <x:c r="G150" s="28" t="str">
        <x:v>comforting</x:v>
      </x:c>
      <x:c r="H150" s="28"/>
      <x:c r="I150" s="28"/>
      <x:c r="J150" s="28" t="str">
        <x:v>savory</x:v>
      </x:c>
      <x:c r="K150" s="28" t="str">
        <x:v>light</x:v>
      </x:c>
      <x:c r="L150" s="28" t="str">
        <x:v>aromatic</x:v>
      </x:c>
      <x:c r="M150" s="28"/>
      <x:c r="N150" s="28" t="n">
        <x:v>1</x:v>
      </x:c>
      <x:c r="O150" s="28" t="str">
        <x:v>Mexican noodle soup with toasted short pasta simmered in a tomato-based broth.</x:v>
      </x:c>
      <x:c r="P150" s="28" t="str">
        <x:v>Sopa de fideo is a Mexican comfort soup made by lightly toasting short noodles before simmering them in a tomato-based broth with onion, garlic, and seasonings. It may be served simply or with fresh garnishes.</x:v>
      </x:c>
      <x:c r="Q150" s="28" t="str">
        <x:v>needs-review</x:v>
      </x:c>
      <x:c r="R150" s="28" t="str">
        <x:v>Batch 6 candidate. Source should be strengthened with a dedicated Mexican culinary reference before production approval.</x:v>
      </x:c>
      <x:c r="S150" s="28" t="str">
        <x:f>IF(A150="","",IF(COUNTIF($A$5:$A$205,A150)&gt;1,"DUPLICATE ID",IF(AND(Q150="approved",COUNTIFS(Sources!$A$5:$A$404,A150,Sources!$F$5:$F$404,TRUE)=0),"NEEDS SOURCE",IF(AND(Q150="approved",COUNTIFS(Images!$A$5:$A$304,A150,Images!$H$5:$H$304,TRUE,Images!$I$5:$I$304,"approved")&lt;&gt;1),"NEEDS PRIMARY IMAGE","OK"))))</x:f>
        <x:v>OK</x:v>
      </x:c>
    </x:row>
    <x:row r="151">
      <x:c r="A151" s="28" t="str">
        <x:v>coxinha</x:v>
      </x:c>
      <x:c r="B151" s="28" t="str">
        <x:v>Coxinha</x:v>
      </x:c>
      <x:c r="C151" s="28"/>
      <x:c r="D151" s="28" t="str">
        <x:v>BR</x:v>
      </x:c>
      <x:c r="E151" s="28" t="str">
        <x:v>latin-america</x:v>
      </x:c>
      <x:c r="F151" s="28" t="str">
        <x:v>handheld</x:v>
      </x:c>
      <x:c r="G151" s="28" t="str">
        <x:v>crispy</x:v>
      </x:c>
      <x:c r="H151" s="28" t="str">
        <x:v>rich</x:v>
      </x:c>
      <x:c r="I151" s="28"/>
      <x:c r="J151" s="28" t="str">
        <x:v>savory</x:v>
      </x:c>
      <x:c r="K151" s="28" t="str">
        <x:v>creamy</x:v>
      </x:c>
      <x:c r="L151" s="28" t="str">
        <x:v>tender</x:v>
      </x:c>
      <x:c r="M151" s="28"/>
      <x:c r="N151" s="28" t="n">
        <x:v>2</x:v>
      </x:c>
      <x:c r="O151" s="28" t="str">
        <x:v>Brazilian teardrop-shaped fried snack filled with seasoned shredded chicken.</x:v>
      </x:c>
      <x:c r="P151" s="28" t="str">
        <x:v>Coxinha is a Brazilian snack made by wrapping seasoned shredded chicken, often with creamy cheese, in a soft dough shaped like a small chicken thigh. It is breaded and deep-fried until crisp.</x:v>
      </x:c>
      <x:c r="Q151" s="28" t="str">
        <x:v>needs-review</x:v>
      </x:c>
      <x:c r="R151" s="28" t="str">
        <x:v>Batch 6 candidate. Rich preference reflects common creamy chicken fillings.</x:v>
      </x:c>
      <x:c r="S151" s="28" t="str">
        <x:f>IF(A151="","",IF(COUNTIF($A$5:$A$205,A151)&gt;1,"DUPLICATE ID",IF(AND(Q151="approved",COUNTIFS(Sources!$A$5:$A$404,A151,Sources!$F$5:$F$404,TRUE)=0),"NEEDS SOURCE",IF(AND(Q151="approved",COUNTIFS(Images!$A$5:$A$304,A151,Images!$H$5:$H$304,TRUE,Images!$I$5:$I$304,"approved")&lt;&gt;1),"NEEDS PRIMARY IMAGE","OK"))))</x:f>
        <x:v>OK</x:v>
      </x:c>
    </x:row>
    <x:row r="152">
      <x:c r="A152" s="28" t="str">
        <x:v>nashville-hot-chicken</x:v>
      </x:c>
      <x:c r="B152" s="28" t="str">
        <x:v>Nashville Hot Chicken</x:v>
      </x:c>
      <x:c r="C152" s="28" t="str">
        <x:v>Hot Chicken</x:v>
      </x:c>
      <x:c r="D152" s="28" t="str">
        <x:v>US</x:v>
      </x:c>
      <x:c r="E152" s="28" t="str">
        <x:v>north-america</x:v>
      </x:c>
      <x:c r="F152" s="28" t="str">
        <x:v>grilled-protein</x:v>
      </x:c>
      <x:c r="G152" s="28" t="str">
        <x:v>spicy</x:v>
      </x:c>
      <x:c r="H152" s="28" t="str">
        <x:v>crispy</x:v>
      </x:c>
      <x:c r="I152" s="28"/>
      <x:c r="J152" s="28" t="str">
        <x:v>savory</x:v>
      </x:c>
      <x:c r="K152" s="28" t="str">
        <x:v>juicy</x:v>
      </x:c>
      <x:c r="L152" s="28" t="str">
        <x:v>charred</x:v>
      </x:c>
      <x:c r="M152" s="28"/>
      <x:c r="N152" s="28" t="n">
        <x:v>1</x:v>
      </x:c>
      <x:c r="O152" s="28" t="str">
        <x:v>Nashville fried chicken coated in a fiery cayenne-rich spice paste.</x:v>
      </x:c>
      <x:c r="P152" s="28" t="str">
        <x:v>Nashville hot chicken is a Tennessee specialty of fried chicken coated or brushed with a cayenne-heavy spicy paste or oil. It is commonly served on white bread with pickle chips to balance the heat.</x:v>
      </x:c>
      <x:c r="Q152" s="28" t="str">
        <x:v>needs-review</x:v>
      </x:c>
      <x:c r="R152" s="28" t="str">
        <x:v>Batch 6 candidate. Grilled/Protein is Nom's broad protein category; the chicken is fried.</x:v>
      </x:c>
      <x:c r="S152" s="28" t="str">
        <x:f>IF(A152="","",IF(COUNTIF($A$5:$A$205,A152)&gt;1,"DUPLICATE ID",IF(AND(Q152="approved",COUNTIFS(Sources!$A$5:$A$404,A152,Sources!$F$5:$F$404,TRUE)=0),"NEEDS SOURCE",IF(AND(Q152="approved",COUNTIFS(Images!$A$5:$A$304,A152,Images!$H$5:$H$304,TRUE,Images!$I$5:$I$304,"approved")&lt;&gt;1),"NEEDS PRIMARY IMAGE","OK"))))</x:f>
        <x:v>OK</x:v>
      </x:c>
    </x:row>
    <x:row r="153">
      <x:c r="A153" s="28" t="str">
        <x:v>reuben-sandwich</x:v>
      </x:c>
      <x:c r="B153" s="28" t="str">
        <x:v>Reuben Sandwich</x:v>
      </x:c>
      <x:c r="C153" s="28" t="str">
        <x:v>Reuben</x:v>
      </x:c>
      <x:c r="D153" s="28" t="str">
        <x:v>US</x:v>
      </x:c>
      <x:c r="E153" s="28" t="str">
        <x:v>north-america</x:v>
      </x:c>
      <x:c r="F153" s="28" t="str">
        <x:v>handheld</x:v>
      </x:c>
      <x:c r="G153" s="28" t="str">
        <x:v>rich</x:v>
      </x:c>
      <x:c r="H153" s="28" t="str">
        <x:v>tangy</x:v>
      </x:c>
      <x:c r="I153" s="28" t="str">
        <x:v>crispy</x:v>
      </x:c>
      <x:c r="J153" s="28" t="str">
        <x:v>savory</x:v>
      </x:c>
      <x:c r="K153" s="28" t="str">
        <x:v>crispy</x:v>
      </x:c>
      <x:c r="L153" s="28" t="str">
        <x:v>tender</x:v>
      </x:c>
      <x:c r="M153" s="28"/>
      <x:c r="N153" s="28" t="n">
        <x:v>1</x:v>
      </x:c>
      <x:c r="O153" s="28" t="str">
        <x:v>Griddled American sandwich with corned beef, Swiss cheese, sauerkraut, and dressing.</x:v>
      </x:c>
      <x:c r="P153" s="28" t="str">
        <x:v>The Reuben is an American grilled sandwich built from corned beef, Swiss cheese, sauerkraut, and Russian or Thousand Island-style dressing on rye bread. Griddling melts the cheese and crisps the bread.</x:v>
      </x:c>
      <x:c r="Q153" s="28" t="str">
        <x:v>needs-review</x:v>
      </x:c>
      <x:c r="R153" s="28" t="str">
        <x:v>Batch 6 candidate. Origin stories vary; this row focuses on the standardized sandwich composition.</x:v>
      </x:c>
      <x:c r="S153" s="28" t="str">
        <x:f>IF(A153="","",IF(COUNTIF($A$5:$A$205,A153)&gt;1,"DUPLICATE ID",IF(AND(Q153="approved",COUNTIFS(Sources!$A$5:$A$404,A153,Sources!$F$5:$F$404,TRUE)=0),"NEEDS SOURCE",IF(AND(Q153="approved",COUNTIFS(Images!$A$5:$A$304,A153,Images!$H$5:$H$304,TRUE,Images!$I$5:$I$304,"approved")&lt;&gt;1),"NEEDS PRIMARY IMAGE","OK"))))</x:f>
        <x:v>OK</x:v>
      </x:c>
    </x:row>
    <x:row r="154">
      <x:c r="A154" s="28" t="str">
        <x:v>loco-moco</x:v>
      </x:c>
      <x:c r="B154" s="28" t="str">
        <x:v>Loco Moco</x:v>
      </x:c>
      <x:c r="C154" s="28" t="str">
        <x:v>Loco Moco Bowl</x:v>
      </x:c>
      <x:c r="D154" s="28" t="str">
        <x:v>US</x:v>
      </x:c>
      <x:c r="E154" s="28" t="str">
        <x:v>north-america</x:v>
      </x:c>
      <x:c r="F154" s="28" t="str">
        <x:v>rice</x:v>
      </x:c>
      <x:c r="G154" s="28" t="str">
        <x:v>rich</x:v>
      </x:c>
      <x:c r="H154" s="28" t="str">
        <x:v>comforting</x:v>
      </x:c>
      <x:c r="I154" s="28"/>
      <x:c r="J154" s="28" t="str">
        <x:v>savory</x:v>
      </x:c>
      <x:c r="K154" s="28" t="str">
        <x:v>juicy</x:v>
      </x:c>
      <x:c r="L154" s="28" t="str">
        <x:v>creamy</x:v>
      </x:c>
      <x:c r="M154" s="28"/>
      <x:c r="N154" s="28" t="n">
        <x:v>1</x:v>
      </x:c>
      <x:c r="O154" s="28" t="str">
        <x:v>Hawaiian rice topped with a hamburger patty, fried egg, and brown gravy.</x:v>
      </x:c>
      <x:c r="P154" s="28" t="str">
        <x:v>Loco moco is a Hawaii dish built from white rice topped with a hamburger patty, fried egg, and brown gravy. Variations may add different proteins or accompaniments, but the rice-patty-egg-gravy combination defines the classic form.</x:v>
      </x:c>
      <x:c r="Q154" s="28" t="str">
        <x:v>needs-review</x:v>
      </x:c>
      <x:c r="R154" s="28" t="str">
        <x:v>Batch 6 candidate. North America region follows Nom's current geography; Hawaii's distinct local food culture should remain explicit in descriptions.</x:v>
      </x:c>
      <x:c r="S154" s="28" t="str">
        <x:f>IF(A154="","",IF(COUNTIF($A$5:$A$205,A154)&gt;1,"DUPLICATE ID",IF(AND(Q154="approved",COUNTIFS(Sources!$A$5:$A$404,A154,Sources!$F$5:$F$404,TRUE)=0),"NEEDS SOURCE",IF(AND(Q154="approved",COUNTIFS(Images!$A$5:$A$304,A154,Images!$H$5:$H$304,TRUE,Images!$I$5:$I$304,"approved")&lt;&gt;1),"NEEDS PRIMARY IMAGE","OK"))))</x:f>
        <x:v>OK</x:v>
      </x:c>
    </x:row>
    <x:row r="155">
      <x:c r="A155" s="28" t="str">
        <x:v>oyakodon</x:v>
      </x:c>
      <x:c r="B155" s="28" t="str">
        <x:v>Oyakodon</x:v>
      </x:c>
      <x:c r="C155" s="28" t="str">
        <x:v>Oyako Donburi</x:v>
      </x:c>
      <x:c r="D155" s="28" t="str">
        <x:v>JP</x:v>
      </x:c>
      <x:c r="E155" s="28" t="str">
        <x:v>east-asia</x:v>
      </x:c>
      <x:c r="F155" s="28" t="str">
        <x:v>rice</x:v>
      </x:c>
      <x:c r="G155" s="28" t="str">
        <x:v>comforting</x:v>
      </x:c>
      <x:c r="H155" s="28"/>
      <x:c r="I155" s="28"/>
      <x:c r="J155" s="28" t="str">
        <x:v>savory</x:v>
      </x:c>
      <x:c r="K155" s="28" t="str">
        <x:v>tender</x:v>
      </x:c>
      <x:c r="L155" s="28" t="str">
        <x:v>umami</x:v>
      </x:c>
      <x:c r="M155" s="28"/>
      <x:c r="N155" s="28" t="n">
        <x:v>1</x:v>
      </x:c>
      <x:c r="O155" s="28" t="str">
        <x:v>Japanese rice bowl topped with chicken and softly set egg simmered in a sweet-savory sauce.</x:v>
      </x:c>
      <x:c r="P155" s="28" t="str">
        <x:v>Oyakodon is a Japanese donburi dish of chicken and egg simmered together with onion in a soy-based sweet-savory broth, then served over steamed rice. The egg is usually left soft and tender.</x:v>
      </x:c>
      <x:c r="Q155" s="28" t="str">
        <x:v>needs-review</x:v>
      </x:c>
      <x:c r="R155" s="28" t="str">
        <x:v>Batch 7 candidate. Familiarity and flavor assignments are Nom product heuristics.</x:v>
      </x:c>
      <x:c r="S155" s="28" t="str">
        <x:f>IF(A155="","",IF(COUNTIF($A$5:$A$205,A155)&gt;1,"DUPLICATE ID",IF(AND(Q155="approved",COUNTIFS(Sources!$A$5:$A$404,A155,Sources!$F$5:$F$404,TRUE)=0),"NEEDS SOURCE",IF(AND(Q155="approved",COUNTIFS(Images!$A$5:$A$304,A155,Images!$H$5:$H$304,TRUE,Images!$I$5:$I$304,"approved")&lt;&gt;1),"NEEDS PRIMARY IMAGE","OK"))))</x:f>
        <x:v>OK</x:v>
      </x:c>
    </x:row>
    <x:row r="156">
      <x:c r="A156" s="28" t="str">
        <x:v>doenjang-jjigae</x:v>
      </x:c>
      <x:c r="B156" s="28" t="str">
        <x:v>Doenjang-jjigae</x:v>
      </x:c>
      <x:c r="C156" s="28" t="str">
        <x:v>Soybean Paste Stew</x:v>
      </x:c>
      <x:c r="D156" s="28" t="str">
        <x:v>KR</x:v>
      </x:c>
      <x:c r="E156" s="28" t="str">
        <x:v>east-asia</x:v>
      </x:c>
      <x:c r="F156" s="28" t="str">
        <x:v>soup-broth</x:v>
      </x:c>
      <x:c r="G156" s="28" t="str">
        <x:v>comforting</x:v>
      </x:c>
      <x:c r="H156" s="28"/>
      <x:c r="I156" s="28"/>
      <x:c r="J156" s="28" t="str">
        <x:v>savory</x:v>
      </x:c>
      <x:c r="K156" s="28" t="str">
        <x:v>fermented</x:v>
      </x:c>
      <x:c r="L156" s="28" t="str">
        <x:v>umami</x:v>
      </x:c>
      <x:c r="M156" s="28"/>
      <x:c r="N156" s="28" t="n">
        <x:v>2</x:v>
      </x:c>
      <x:c r="O156" s="28" t="str">
        <x:v>Korean soybean-paste stew with tofu, vegetables, and a deep fermented savory flavor.</x:v>
      </x:c>
      <x:c r="P156" s="28" t="str">
        <x:v>Doenjang-jjigae is a Korean stew made with fermented soybean paste, broth, tofu, and vegetables such as zucchini, potato, onion, and mushrooms. Meat or seafood may also be added depending on the household or restaurant.</x:v>
      </x:c>
      <x:c r="Q156" s="28" t="str">
        <x:v>needs-review</x:v>
      </x:c>
      <x:c r="R156" s="28" t="str">
        <x:v>Batch 7 candidate. Richness varies by broth and add-ins.</x:v>
      </x:c>
      <x:c r="S156" s="28" t="str">
        <x:f>IF(A156="","",IF(COUNTIF($A$5:$A$205,A156)&gt;1,"DUPLICATE ID",IF(AND(Q156="approved",COUNTIFS(Sources!$A$5:$A$404,A156,Sources!$F$5:$F$404,TRUE)=0),"NEEDS SOURCE",IF(AND(Q156="approved",COUNTIFS(Images!$A$5:$A$304,A156,Images!$H$5:$H$304,TRUE,Images!$I$5:$I$304,"approved")&lt;&gt;1),"NEEDS PRIMARY IMAGE","OK"))))</x:f>
        <x:v>OK</x:v>
      </x:c>
    </x:row>
    <x:row r="157">
      <x:c r="A157" s="28" t="str">
        <x:v>zongzi</x:v>
      </x:c>
      <x:c r="B157" s="28" t="str">
        <x:v>Zongzi</x:v>
      </x:c>
      <x:c r="C157" s="28" t="str">
        <x:v>Sticky Rice Dumpling|Rice Dumpling</x:v>
      </x:c>
      <x:c r="D157" s="28" t="str">
        <x:v>CN</x:v>
      </x:c>
      <x:c r="E157" s="28" t="str">
        <x:v>east-asia</x:v>
      </x:c>
      <x:c r="F157" s="28" t="str">
        <x:v>handheld</x:v>
      </x:c>
      <x:c r="G157" s="28" t="str">
        <x:v>comforting</x:v>
      </x:c>
      <x:c r="H157" s="28"/>
      <x:c r="I157" s="28"/>
      <x:c r="J157" s="28" t="str">
        <x:v>savory</x:v>
      </x:c>
      <x:c r="K157" s="28" t="str">
        <x:v>chewy</x:v>
      </x:c>
      <x:c r="L157" s="28" t="str">
        <x:v>aromatic</x:v>
      </x:c>
      <x:c r="M157" s="28"/>
      <x:c r="N157" s="28" t="n">
        <x:v>2</x:v>
      </x:c>
      <x:c r="O157" s="28" t="str">
        <x:v>Chinese sticky rice parcels wrapped in bamboo or reed leaves with savory or sweet fillings.</x:v>
      </x:c>
      <x:c r="P157" s="28" t="str">
        <x:v>Zongzi are Chinese glutinous-rice parcels wrapped in bamboo, reed, or other leaves and steamed or boiled. Savory versions may include pork, mushrooms, salted egg, or beans, while sweet styles use ingredients such as dates or bean paste.</x:v>
      </x:c>
      <x:c r="Q157" s="28" t="str">
        <x:v>needs-review</x:v>
      </x:c>
      <x:c r="R157" s="28" t="str">
        <x:v>Batch 7 candidate. This row represents savory zongzi for Nom's recommendation profile.</x:v>
      </x:c>
      <x:c r="S157" s="28" t="str">
        <x:f>IF(A157="","",IF(COUNTIF($A$5:$A$205,A157)&gt;1,"DUPLICATE ID",IF(AND(Q157="approved",COUNTIFS(Sources!$A$5:$A$404,A157,Sources!$F$5:$F$404,TRUE)=0),"NEEDS SOURCE",IF(AND(Q157="approved",COUNTIFS(Images!$A$5:$A$304,A157,Images!$H$5:$H$304,TRUE,Images!$I$5:$I$304,"approved")&lt;&gt;1),"NEEDS PRIMARY IMAGE","OK"))))</x:f>
        <x:v>OK</x:v>
      </x:c>
    </x:row>
    <x:row r="158">
      <x:c r="A158" s="28" t="str">
        <x:v>bai-sach-chrouk</x:v>
      </x:c>
      <x:c r="B158" s="28" t="str">
        <x:v>Bai Sach Chrouk</x:v>
      </x:c>
      <x:c r="C158" s="28" t="str">
        <x:v>Bai Sach Chrouk|Cambodian Pork and Rice</x:v>
      </x:c>
      <x:c r="D158" s="28" t="str">
        <x:v>KH</x:v>
      </x:c>
      <x:c r="E158" s="28" t="str">
        <x:v>southeast-asia</x:v>
      </x:c>
      <x:c r="F158" s="28" t="str">
        <x:v>rice</x:v>
      </x:c>
      <x:c r="G158" s="28" t="str">
        <x:v>comforting</x:v>
      </x:c>
      <x:c r="H158" s="28" t="str">
        <x:v>fresh</x:v>
      </x:c>
      <x:c r="I158" s="28"/>
      <x:c r="J158" s="28" t="str">
        <x:v>savory</x:v>
      </x:c>
      <x:c r="K158" s="28" t="str">
        <x:v>smoky</x:v>
      </x:c>
      <x:c r="L158" s="28" t="str">
        <x:v>tender</x:v>
      </x:c>
      <x:c r="M158" s="28"/>
      <x:c r="N158" s="28" t="n">
        <x:v>2</x:v>
      </x:c>
      <x:c r="O158" s="28" t="str">
        <x:v>Cambodian grilled pork served over rice with pickled vegetables and light broth.</x:v>
      </x:c>
      <x:c r="P158" s="28" t="str">
        <x:v>Bai sach chrouk is a Cambodian breakfast dish of thinly sliced pork grilled or charred and served over rice. It is commonly accompanied by pickled vegetables, cucumber, and a small bowl of light broth.</x:v>
      </x:c>
      <x:c r="Q158" s="28" t="str">
        <x:v>needs-review</x:v>
      </x:c>
      <x:c r="R158" s="28" t="str">
        <x:v>Batch 7 candidate. Cambodian breakfast dish; image and source details still require production review.</x:v>
      </x:c>
      <x:c r="S158" s="28" t="str">
        <x:f>IF(A158="","",IF(COUNTIF($A$5:$A$205,A158)&gt;1,"DUPLICATE ID",IF(AND(Q158="approved",COUNTIFS(Sources!$A$5:$A$404,A158,Sources!$F$5:$F$404,TRUE)=0),"NEEDS SOURCE",IF(AND(Q158="approved",COUNTIFS(Images!$A$5:$A$304,A158,Images!$H$5:$H$304,TRUE,Images!$I$5:$I$304,"approved")&lt;&gt;1),"NEEDS PRIMARY IMAGE","OK"))))</x:f>
        <x:v>OK</x:v>
      </x:c>
    </x:row>
    <x:row r="159">
      <x:c r="A159" s="28" t="str">
        <x:v>kuy-teav</x:v>
      </x:c>
      <x:c r="B159" s="28" t="str">
        <x:v>Kuy Teav</x:v>
      </x:c>
      <x:c r="C159" s="28" t="str">
        <x:v>Kuy Teav Phnom Penh|Khmer Noodle Soup</x:v>
      </x:c>
      <x:c r="D159" s="28" t="str">
        <x:v>KH</x:v>
      </x:c>
      <x:c r="E159" s="28" t="str">
        <x:v>southeast-asia</x:v>
      </x:c>
      <x:c r="F159" s="28" t="str">
        <x:v>soup-broth</x:v>
      </x:c>
      <x:c r="G159" s="28" t="str">
        <x:v>fresh</x:v>
      </x:c>
      <x:c r="H159" s="28" t="str">
        <x:v>comforting</x:v>
      </x:c>
      <x:c r="I159" s="28"/>
      <x:c r="J159" s="28" t="str">
        <x:v>savory</x:v>
      </x:c>
      <x:c r="K159" s="28" t="str">
        <x:v>aromatic</x:v>
      </x:c>
      <x:c r="L159" s="28" t="str">
        <x:v>light</x:v>
      </x:c>
      <x:c r="M159" s="28"/>
      <x:c r="N159" s="28" t="n">
        <x:v>2</x:v>
      </x:c>
      <x:c r="O159" s="28" t="str">
        <x:v>Cambodian rice-noodle soup with clear savory broth, herbs, vegetables, and varied proteins.</x:v>
      </x:c>
      <x:c r="P159" s="28" t="str">
        <x:v>Kuy teav is a Cambodian rice-noodle soup commonly served with a clear pork or beef broth, herbs, bean sprouts, scallions, and proteins such as pork, beef, or seafood. Phnom Penh-style versions may include several meats and garnishes.</x:v>
      </x:c>
      <x:c r="Q159" s="28" t="str">
        <x:v>needs-review</x:v>
      </x:c>
      <x:c r="R159" s="28" t="str">
        <x:v>Batch 7 candidate. Soup/Broth chosen because the broth is central even though rice noodles are a major component.</x:v>
      </x:c>
      <x:c r="S159" s="28" t="str">
        <x:f>IF(A159="","",IF(COUNTIF($A$5:$A$205,A159)&gt;1,"DUPLICATE ID",IF(AND(Q159="approved",COUNTIFS(Sources!$A$5:$A$404,A159,Sources!$F$5:$F$404,TRUE)=0),"NEEDS SOURCE",IF(AND(Q159="approved",COUNTIFS(Images!$A$5:$A$304,A159,Images!$H$5:$H$304,TRUE,Images!$I$5:$I$304,"approved")&lt;&gt;1),"NEEDS PRIMARY IMAGE","OK"))))</x:f>
        <x:v>OK</x:v>
      </x:c>
    </x:row>
    <x:row r="160">
      <x:c r="A160" s="28" t="str">
        <x:v>fish-amok</x:v>
      </x:c>
      <x:c r="B160" s="28" t="str">
        <x:v>Fish Amok</x:v>
      </x:c>
      <x:c r="C160" s="28" t="str">
        <x:v>Amok Trey|Amok Trei</x:v>
      </x:c>
      <x:c r="D160" s="28" t="str">
        <x:v>KH</x:v>
      </x:c>
      <x:c r="E160" s="28" t="str">
        <x:v>southeast-asia</x:v>
      </x:c>
      <x:c r="F160" s="28" t="str">
        <x:v>grilled-protein</x:v>
      </x:c>
      <x:c r="G160" s="28" t="str">
        <x:v>rich</x:v>
      </x:c>
      <x:c r="H160" s="28"/>
      <x:c r="I160" s="28"/>
      <x:c r="J160" s="28" t="str">
        <x:v>creamy</x:v>
      </x:c>
      <x:c r="K160" s="28" t="str">
        <x:v>aromatic</x:v>
      </x:c>
      <x:c r="L160" s="28" t="str">
        <x:v>tender</x:v>
      </x:c>
      <x:c r="M160" s="28"/>
      <x:c r="N160" s="28" t="n">
        <x:v>3</x:v>
      </x:c>
      <x:c r="O160" s="28" t="str">
        <x:v>Cambodian fish curry steamed with coconut, kroeung aromatics, and herbs until softly set.</x:v>
      </x:c>
      <x:c r="P160" s="28" t="str">
        <x:v>Fish amok is a Cambodian dish of fish cooked with coconut milk and kroeung, an aromatic spice-and-herb paste, often steamed in a banana-leaf container until the sauce becomes custard-like and the fish stays tender.</x:v>
      </x:c>
      <x:c r="Q160" s="28" t="str">
        <x:v>needs-review</x:v>
      </x:c>
      <x:c r="R160" s="28" t="str">
        <x:v>Batch 7 candidate. Grilled/Protein is Nom's broad protein category; fish amok is steamed.</x:v>
      </x:c>
      <x:c r="S160" s="28" t="str">
        <x:f>IF(A160="","",IF(COUNTIF($A$5:$A$205,A160)&gt;1,"DUPLICATE ID",IF(AND(Q160="approved",COUNTIFS(Sources!$A$5:$A$404,A160,Sources!$F$5:$F$404,TRUE)=0),"NEEDS SOURCE",IF(AND(Q160="approved",COUNTIFS(Images!$A$5:$A$304,A160,Images!$H$5:$H$304,TRUE,Images!$I$5:$I$304,"approved")&lt;&gt;1),"NEEDS PRIMARY IMAGE","OK"))))</x:f>
        <x:v>OK</x:v>
      </x:c>
    </x:row>
    <x:row r="161">
      <x:c r="A161" s="28" t="str">
        <x:v>butter-chicken</x:v>
      </x:c>
      <x:c r="B161" s="28" t="str">
        <x:v>Butter Chicken</x:v>
      </x:c>
      <x:c r="C161" s="28" t="str">
        <x:v>Murgh Makhani</x:v>
      </x:c>
      <x:c r="D161" s="28" t="str">
        <x:v>IN</x:v>
      </x:c>
      <x:c r="E161" s="28" t="str">
        <x:v>south-asia</x:v>
      </x:c>
      <x:c r="F161" s="28" t="str">
        <x:v>grilled-protein</x:v>
      </x:c>
      <x:c r="G161" s="28" t="str">
        <x:v>rich</x:v>
      </x:c>
      <x:c r="H161" s="28" t="str">
        <x:v>comforting</x:v>
      </x:c>
      <x:c r="I161" s="28"/>
      <x:c r="J161" s="28" t="str">
        <x:v>creamy</x:v>
      </x:c>
      <x:c r="K161" s="28" t="str">
        <x:v>savory</x:v>
      </x:c>
      <x:c r="L161" s="28" t="str">
        <x:v>aromatic</x:v>
      </x:c>
      <x:c r="M161" s="28"/>
      <x:c r="N161" s="28" t="n">
        <x:v>1</x:v>
      </x:c>
      <x:c r="O161" s="28" t="str">
        <x:v>North Indian chicken in a buttery tomato sauce enriched with cream and warm spices.</x:v>
      </x:c>
      <x:c r="P161" s="28" t="str">
        <x:v>Butter chicken, also called murgh makhani, is a North Indian dish of chicken served in a smooth tomato-based sauce enriched with butter, cream, and aromatic spices. The chicken is often cooked separately before being finished in the sauce.</x:v>
      </x:c>
      <x:c r="Q161" s="28" t="str">
        <x:v>needs-review</x:v>
      </x:c>
      <x:c r="R161" s="28" t="str">
        <x:v>Batch 7 candidate. Familiarity level is a Nom product heuristic.</x:v>
      </x:c>
      <x:c r="S161" s="28" t="str">
        <x:f>IF(A161="","",IF(COUNTIF($A$5:$A$205,A161)&gt;1,"DUPLICATE ID",IF(AND(Q161="approved",COUNTIFS(Sources!$A$5:$A$404,A161,Sources!$F$5:$F$404,TRUE)=0),"NEEDS SOURCE",IF(AND(Q161="approved",COUNTIFS(Images!$A$5:$A$304,A161,Images!$H$5:$H$304,TRUE,Images!$I$5:$I$304,"approved")&lt;&gt;1),"NEEDS PRIMARY IMAGE","OK"))))</x:f>
        <x:v>OK</x:v>
      </x:c>
    </x:row>
    <x:row r="162">
      <x:c r="A162" s="28" t="str">
        <x:v>poha</x:v>
      </x:c>
      <x:c r="B162" s="28" t="str">
        <x:v>Poha</x:v>
      </x:c>
      <x:c r="C162" s="28" t="str">
        <x:v>Pohe|Flattened Rice</x:v>
      </x:c>
      <x:c r="D162" s="28" t="str">
        <x:v>IN</x:v>
      </x:c>
      <x:c r="E162" s="28" t="str">
        <x:v>south-asia</x:v>
      </x:c>
      <x:c r="F162" s="28" t="str">
        <x:v>rice</x:v>
      </x:c>
      <x:c r="G162" s="28" t="str">
        <x:v>fresh</x:v>
      </x:c>
      <x:c r="H162" s="28" t="str">
        <x:v>comforting</x:v>
      </x:c>
      <x:c r="I162" s="28"/>
      <x:c r="J162" s="28" t="str">
        <x:v>savory</x:v>
      </x:c>
      <x:c r="K162" s="28" t="str">
        <x:v>light</x:v>
      </x:c>
      <x:c r="L162" s="28" t="str">
        <x:v>aromatic</x:v>
      </x:c>
      <x:c r="M162" s="28"/>
      <x:c r="N162" s="28" t="n">
        <x:v>1</x:v>
      </x:c>
      <x:c r="O162" s="28" t="str">
        <x:v>Indian flattened rice cooked with onions, spices, herbs, and fresh garnishes.</x:v>
      </x:c>
      <x:c r="P162" s="28" t="str">
        <x:v>Poha is a South Asian dish made from flattened rice flakes that are rinsed and cooked with ingredients such as onion, mustard seed, turmeric, chile, peanuts, herbs, and lemon. Regional breakfast versions vary across India.</x:v>
      </x:c>
      <x:c r="Q162" s="28" t="str">
        <x:v>needs-review</x:v>
      </x:c>
      <x:c r="R162" s="28" t="str">
        <x:v>Batch 7 candidate. Source covers flattened rice broadly; add a stronger dish-specific culinary source before approval.</x:v>
      </x:c>
      <x:c r="S162" s="28" t="str">
        <x:f>IF(A162="","",IF(COUNTIF($A$5:$A$205,A162)&gt;1,"DUPLICATE ID",IF(AND(Q162="approved",COUNTIFS(Sources!$A$5:$A$404,A162,Sources!$F$5:$F$404,TRUE)=0),"NEEDS SOURCE",IF(AND(Q162="approved",COUNTIFS(Images!$A$5:$A$304,A162,Images!$H$5:$H$304,TRUE,Images!$I$5:$I$304,"approved")&lt;&gt;1),"NEEDS PRIMARY IMAGE","OK"))))</x:f>
        <x:v>OK</x:v>
      </x:c>
    </x:row>
    <x:row r="163">
      <x:c r="A163" s="28" t="str">
        <x:v>dal-dhokli</x:v>
      </x:c>
      <x:c r="B163" s="28" t="str">
        <x:v>Dal Dhokli</x:v>
      </x:c>
      <x:c r="C163" s="28" t="str">
        <x:v>Daal Dhokli</x:v>
      </x:c>
      <x:c r="D163" s="28" t="str">
        <x:v>IN</x:v>
      </x:c>
      <x:c r="E163" s="28" t="str">
        <x:v>south-asia</x:v>
      </x:c>
      <x:c r="F163" s="28" t="str">
        <x:v>noodle</x:v>
      </x:c>
      <x:c r="G163" s="28" t="str">
        <x:v>comforting</x:v>
      </x:c>
      <x:c r="H163" s="28" t="str">
        <x:v>tangy</x:v>
      </x:c>
      <x:c r="I163" s="28"/>
      <x:c r="J163" s="28" t="str">
        <x:v>savory</x:v>
      </x:c>
      <x:c r="K163" s="28" t="str">
        <x:v>aromatic</x:v>
      </x:c>
      <x:c r="L163" s="28" t="str">
        <x:v>chewy</x:v>
      </x:c>
      <x:c r="M163" s="28"/>
      <x:c r="N163" s="28" t="n">
        <x:v>3</x:v>
      </x:c>
      <x:c r="O163" s="28" t="str">
        <x:v>Gujarati wheat-dough pieces simmered in spiced lentil dal until tender and comforting.</x:v>
      </x:c>
      <x:c r="P163" s="28" t="str">
        <x:v>Dal dhokli is a western Indian dish in which thin pieces of seasoned wheat dough are simmered directly in a lentil-based dal. Gujarati versions often balance savory spices with tangy or lightly sweet notes.</x:v>
      </x:c>
      <x:c r="Q163" s="28" t="str">
        <x:v>needs-review</x:v>
      </x:c>
      <x:c r="R163" s="28" t="str">
        <x:v>Batch 7 candidate. Noodle is Nom's closest category for the cooked wheat-dough pieces.</x:v>
      </x:c>
      <x:c r="S163" s="28" t="str">
        <x:f>IF(A163="","",IF(COUNTIF($A$5:$A$205,A163)&gt;1,"DUPLICATE ID",IF(AND(Q163="approved",COUNTIFS(Sources!$A$5:$A$404,A163,Sources!$F$5:$F$404,TRUE)=0),"NEEDS SOURCE",IF(AND(Q163="approved",COUNTIFS(Images!$A$5:$A$304,A163,Images!$H$5:$H$304,TRUE,Images!$I$5:$I$304,"approved")&lt;&gt;1),"NEEDS PRIMARY IMAGE","OK"))))</x:f>
        <x:v>OK</x:v>
      </x:c>
    </x:row>
    <x:row r="164">
      <x:c r="A164" s="28" t="str">
        <x:v>manti</x:v>
      </x:c>
      <x:c r="B164" s="28" t="str">
        <x:v>Manti</x:v>
      </x:c>
      <x:c r="C164" s="28" t="str">
        <x:v>Mantı|Mantu</x:v>
      </x:c>
      <x:c r="D164" s="28" t="str">
        <x:v>TR</x:v>
      </x:c>
      <x:c r="E164" s="28" t="str">
        <x:v>middle-east</x:v>
      </x:c>
      <x:c r="F164" s="28" t="str">
        <x:v>noodle</x:v>
      </x:c>
      <x:c r="G164" s="28" t="str">
        <x:v>rich</x:v>
      </x:c>
      <x:c r="H164" s="28" t="str">
        <x:v>tangy</x:v>
      </x:c>
      <x:c r="I164" s="28"/>
      <x:c r="J164" s="28" t="str">
        <x:v>savory</x:v>
      </x:c>
      <x:c r="K164" s="28" t="str">
        <x:v>creamy</x:v>
      </x:c>
      <x:c r="L164" s="28" t="str">
        <x:v>garlicky</x:v>
      </x:c>
      <x:c r="M164" s="28"/>
      <x:c r="N164" s="28" t="n">
        <x:v>2</x:v>
      </x:c>
      <x:c r="O164" s="28" t="str">
        <x:v>Turkish filled dumplings served with garlicky yogurt and spiced butter or sauce.</x:v>
      </x:c>
      <x:c r="P164" s="28" t="str">
        <x:v>Manti are small filled dumplings found across Turkic and Central Asian cuisines. Turkish mantı are commonly filled with seasoned meat and served with garlic yogurt plus butter or oil flavored with red pepper and herbs.</x:v>
      </x:c>
      <x:c r="Q164" s="28" t="str">
        <x:v>needs-review</x:v>
      </x:c>
      <x:c r="R164" s="28" t="str">
        <x:v>Batch 7 candidate. Turkey is grouped under Nom's Middle East region; regional dumpling forms vary widely. Verified source check: completed for pilot.</x:v>
      </x:c>
      <x:c r="S164" s="28" t="str">
        <x:f>IF(A164="","",IF(COUNTIF($A$5:$A$205,A164)&gt;1,"DUPLICATE ID",IF(AND(Q164="approved",COUNTIFS(Sources!$A$5:$A$404,A164,Sources!$F$5:$F$404,TRUE)=0),"NEEDS SOURCE",IF(AND(Q164="approved",COUNTIFS(Images!$A$5:$A$304,A164,Images!$H$5:$H$304,TRUE,Images!$I$5:$I$304,"approved")&lt;&gt;1),"NEEDS PRIMARY IMAGE","OK"))))</x:f>
        <x:v>OK</x:v>
      </x:c>
    </x:row>
    <x:row r="165">
      <x:c r="A165" s="28" t="str">
        <x:v>adana-kebab</x:v>
      </x:c>
      <x:c r="B165" s="28" t="str">
        <x:v>Adana Kebab</x:v>
      </x:c>
      <x:c r="C165" s="28" t="str">
        <x:v>Adana Kebap|Kıyma Kebabı</x:v>
      </x:c>
      <x:c r="D165" s="28" t="str">
        <x:v>TR</x:v>
      </x:c>
      <x:c r="E165" s="28" t="str">
        <x:v>middle-east</x:v>
      </x:c>
      <x:c r="F165" s="28" t="str">
        <x:v>grilled-protein</x:v>
      </x:c>
      <x:c r="G165" s="28" t="str">
        <x:v>spicy</x:v>
      </x:c>
      <x:c r="H165" s="28" t="str">
        <x:v>rich</x:v>
      </x:c>
      <x:c r="I165" s="28"/>
      <x:c r="J165" s="28" t="str">
        <x:v>savory</x:v>
      </x:c>
      <x:c r="K165" s="28" t="str">
        <x:v>smoky</x:v>
      </x:c>
      <x:c r="L165" s="28" t="str">
        <x:v>charred</x:v>
      </x:c>
      <x:c r="M165" s="28"/>
      <x:c r="N165" s="28" t="n">
        <x:v>2</x:v>
      </x:c>
      <x:c r="O165" s="28" t="str">
        <x:v>Turkish minced-meat kebab seasoned with chile and grilled on wide metal skewers.</x:v>
      </x:c>
      <x:c r="P165" s="28" t="str">
        <x:v>Adana kebab is a Turkish kebab associated with Adana, made from hand-minced lamb or mutton seasoned with salt and red pepper, shaped onto wide skewers, and grilled over charcoal.</x:v>
      </x:c>
      <x:c r="Q165" s="28" t="str">
        <x:v>needs-review</x:v>
      </x:c>
      <x:c r="R165" s="28" t="str">
        <x:v>Batch 7 candidate. Turkey follows Nom's current Middle East grouping.</x:v>
      </x:c>
      <x:c r="S165" s="28" t="str">
        <x:f>IF(A165="","",IF(COUNTIF($A$5:$A$205,A165)&gt;1,"DUPLICATE ID",IF(AND(Q165="approved",COUNTIFS(Sources!$A$5:$A$404,A165,Sources!$F$5:$F$404,TRUE)=0),"NEEDS SOURCE",IF(AND(Q165="approved",COUNTIFS(Images!$A$5:$A$304,A165,Images!$H$5:$H$304,TRUE,Images!$I$5:$I$304,"approved")&lt;&gt;1),"NEEDS PRIMARY IMAGE","OK"))))</x:f>
        <x:v>OK</x:v>
      </x:c>
    </x:row>
    <x:row r="166">
      <x:c r="A166" s="28" t="str">
        <x:v>freekeh-pilaf</x:v>
      </x:c>
      <x:c r="B166" s="28" t="str">
        <x:v>Freekeh Pilaf</x:v>
      </x:c>
      <x:c r="C166" s="28" t="str">
        <x:v>Freekeh|Farik</x:v>
      </x:c>
      <x:c r="D166" s="28" t="str">
        <x:v>JO</x:v>
      </x:c>
      <x:c r="E166" s="28" t="str">
        <x:v>middle-east</x:v>
      </x:c>
      <x:c r="F166" s="28" t="str">
        <x:v>rice</x:v>
      </x:c>
      <x:c r="G166" s="28" t="str">
        <x:v>comforting</x:v>
      </x:c>
      <x:c r="H166" s="28"/>
      <x:c r="I166" s="28"/>
      <x:c r="J166" s="28" t="str">
        <x:v>smoky</x:v>
      </x:c>
      <x:c r="K166" s="28" t="str">
        <x:v>savory</x:v>
      </x:c>
      <x:c r="L166" s="28" t="str">
        <x:v>earthy</x:v>
      </x:c>
      <x:c r="M166" s="28"/>
      <x:c r="N166" s="28" t="n">
        <x:v>2</x:v>
      </x:c>
      <x:c r="O166" s="28" t="str">
        <x:v>Levantine roasted green-wheat pilaf with a nutty, smoky character and savory toppings.</x:v>
      </x:c>
      <x:c r="P166" s="28" t="str">
        <x:v>Freekeh is young green wheat that is roasted and rubbed, giving it a distinctive smoky flavor. Pilaf-style preparations across the Levant cook it with stock, aromatics, herbs, vegetables, or meat.</x:v>
      </x:c>
      <x:c r="Q166" s="28" t="str">
        <x:v>needs-review</x:v>
      </x:c>
      <x:c r="R166" s="28" t="str">
        <x:v>Batch 7 candidate. Rice is Nom's closest grain-base category; freekeh is wheat, not rice.</x:v>
      </x:c>
      <x:c r="S166" s="28" t="str">
        <x:f>IF(A166="","",IF(COUNTIF($A$5:$A$205,A166)&gt;1,"DUPLICATE ID",IF(AND(Q166="approved",COUNTIFS(Sources!$A$5:$A$404,A166,Sources!$F$5:$F$404,TRUE)=0),"NEEDS SOURCE",IF(AND(Q166="approved",COUNTIFS(Images!$A$5:$A$304,A166,Images!$H$5:$H$304,TRUE,Images!$I$5:$I$304,"approved")&lt;&gt;1),"NEEDS PRIMARY IMAGE","OK"))))</x:f>
        <x:v>OK</x:v>
      </x:c>
    </x:row>
    <x:row r="167">
      <x:c r="A167" s="28" t="str">
        <x:v>sfiha</x:v>
      </x:c>
      <x:c r="B167" s="28" t="str">
        <x:v>Sfiha</x:v>
      </x:c>
      <x:c r="C167" s="28" t="str">
        <x:v>Sfeeha|Lahm bi Ajin</x:v>
      </x:c>
      <x:c r="D167" s="28" t="str">
        <x:v>LB</x:v>
      </x:c>
      <x:c r="E167" s="28" t="str">
        <x:v>middle-east</x:v>
      </x:c>
      <x:c r="F167" s="28" t="str">
        <x:v>handheld</x:v>
      </x:c>
      <x:c r="G167" s="28" t="str">
        <x:v>comforting</x:v>
      </x:c>
      <x:c r="H167" s="28"/>
      <x:c r="I167" s="28"/>
      <x:c r="J167" s="28" t="str">
        <x:v>savory</x:v>
      </x:c>
      <x:c r="K167" s="28" t="str">
        <x:v>aromatic</x:v>
      </x:c>
      <x:c r="L167" s="28" t="str">
        <x:v>tender</x:v>
      </x:c>
      <x:c r="M167" s="28"/>
      <x:c r="N167" s="28" t="n">
        <x:v>2</x:v>
      </x:c>
      <x:c r="O167" s="28" t="str">
        <x:v>Levantine open-faced meat flatbread baked with tomato, onion, herbs, and spices.</x:v>
      </x:c>
      <x:c r="P167" s="28" t="str">
        <x:v>Sfiha is a Levantine baked flatbread topped with seasoned minced meat, commonly mixed with tomato, onion, herbs, spices, and sometimes pomegranate or other tangy ingredients. Shapes and toppings vary by region.</x:v>
      </x:c>
      <x:c r="Q167" s="28" t="str">
        <x:v>needs-review</x:v>
      </x:c>
      <x:c r="R167" s="28" t="str">
        <x:v>Batch 7 candidate. Lebanon used for catalog grouping while acknowledging wider Levantine traditions. Retag resolution applied: preference flavor set to 'comforting'.</x:v>
      </x:c>
      <x:c r="S167" s="28" t="str">
        <x:f>IF(A167="","",IF(COUNTIF($A$5:$A$205,A167)&gt;1,"DUPLICATE ID",IF(AND(Q167="approved",COUNTIFS(Sources!$A$5:$A$404,A167,Sources!$F$5:$F$404,TRUE)=0),"NEEDS SOURCE",IF(AND(Q167="approved",COUNTIFS(Images!$A$5:$A$304,A167,Images!$H$5:$H$304,TRUE,Images!$I$5:$I$304,"approved")&lt;&gt;1),"NEEDS PRIMARY IMAGE","OK"))))</x:f>
        <x:v>OK</x:v>
      </x:c>
    </x:row>
    <x:row r="168">
      <x:c r="A168" s="28" t="str">
        <x:v>baasto-iyo-suugo</x:v>
      </x:c>
      <x:c r="B168" s="28" t="str">
        <x:v>Baasto iyo Suugo</x:v>
      </x:c>
      <x:c r="C168" s="28" t="str">
        <x:v>Somali Pasta|Baasto</x:v>
      </x:c>
      <x:c r="D168" s="28" t="str">
        <x:v>SO</x:v>
      </x:c>
      <x:c r="E168" s="28" t="str">
        <x:v>africa</x:v>
      </x:c>
      <x:c r="F168" s="28" t="str">
        <x:v>noodle</x:v>
      </x:c>
      <x:c r="G168" s="28" t="str">
        <x:v>comforting</x:v>
      </x:c>
      <x:c r="H168" s="28"/>
      <x:c r="I168" s="28"/>
      <x:c r="J168" s="28" t="str">
        <x:v>savory</x:v>
      </x:c>
      <x:c r="K168" s="28" t="str">
        <x:v>aromatic</x:v>
      </x:c>
      <x:c r="L168" s="28" t="str">
        <x:v>tender</x:v>
      </x:c>
      <x:c r="M168" s="28"/>
      <x:c r="N168" s="28" t="n">
        <x:v>3</x:v>
      </x:c>
      <x:c r="O168" s="28" t="str">
        <x:v>Somali pasta served with a spiced tomato meat sauce and often banana on the side.</x:v>
      </x:c>
      <x:c r="P168" s="28" t="str">
        <x:v>Baasto iyo suugo is a Somali pasta-and-sauce meal shaped by Italian influence in Somalia. Pasta is served with a spiced tomato-based meat sauce, and many Somali diners pair the dish with banana as a customary accompaniment.</x:v>
      </x:c>
      <x:c r="Q168" s="28" t="str">
        <x:v>needs-review</x:v>
      </x:c>
      <x:c r="R168" s="28" t="str">
        <x:v>Batch 7 candidate. Source is Somali cuisine overview; add a dedicated dish source before production approval. Retag resolution applied: preference flavor set to 'comforting'.</x:v>
      </x:c>
      <x:c r="S168" s="28" t="str">
        <x:f>IF(A168="","",IF(COUNTIF($A$5:$A$205,A168)&gt;1,"DUPLICATE ID",IF(AND(Q168="approved",COUNTIFS(Sources!$A$5:$A$404,A168,Sources!$F$5:$F$404,TRUE)=0),"NEEDS SOURCE",IF(AND(Q168="approved",COUNTIFS(Images!$A$5:$A$304,A168,Images!$H$5:$H$304,TRUE,Images!$I$5:$I$304,"approved")&lt;&gt;1),"NEEDS PRIMARY IMAGE","OK"))))</x:f>
        <x:v>OK</x:v>
      </x:c>
    </x:row>
    <x:row r="169">
      <x:c r="A169" s="28" t="str">
        <x:v>pastilla</x:v>
      </x:c>
      <x:c r="B169" s="28" t="str">
        <x:v>Pastilla</x:v>
      </x:c>
      <x:c r="C169" s="28" t="str">
        <x:v>Bastilla|B'stilla</x:v>
      </x:c>
      <x:c r="D169" s="28" t="str">
        <x:v>MA</x:v>
      </x:c>
      <x:c r="E169" s="28" t="str">
        <x:v>africa</x:v>
      </x:c>
      <x:c r="F169" s="28" t="str">
        <x:v>handheld</x:v>
      </x:c>
      <x:c r="G169" s="28" t="str">
        <x:v>crispy</x:v>
      </x:c>
      <x:c r="H169" s="28" t="str">
        <x:v>rich</x:v>
      </x:c>
      <x:c r="I169" s="28"/>
      <x:c r="J169" s="28" t="str">
        <x:v>savory</x:v>
      </x:c>
      <x:c r="K169" s="28" t="str">
        <x:v>sweet</x:v>
      </x:c>
      <x:c r="L169" s="28" t="str">
        <x:v>aromatic</x:v>
      </x:c>
      <x:c r="M169" s="28"/>
      <x:c r="N169" s="28" t="n">
        <x:v>3</x:v>
      </x:c>
      <x:c r="O169" s="28" t="str">
        <x:v>Moroccan layered pastry filled with spiced poultry or seafood, almonds, and delicate crisp pastry.</x:v>
      </x:c>
      <x:c r="P169" s="28" t="str">
        <x:v>Pastilla is a Moroccan savory pastry made with very thin pastry sheets layered around seasoned poultry, seafood, or other fillings. Classic preparations may balance savory spices with almonds, cinnamon, or a light sweetness.</x:v>
      </x:c>
      <x:c r="Q169" s="28" t="str">
        <x:v>needs-review</x:v>
      </x:c>
      <x:c r="R169" s="28" t="str">
        <x:v>Batch 7 candidate. Handheld is Nom's closest category even though pastilla is often served as a sliced pie.</x:v>
      </x:c>
      <x:c r="S169" s="28" t="str">
        <x:f>IF(A169="","",IF(COUNTIF($A$5:$A$205,A169)&gt;1,"DUPLICATE ID",IF(AND(Q169="approved",COUNTIFS(Sources!$A$5:$A$404,A169,Sources!$F$5:$F$404,TRUE)=0),"NEEDS SOURCE",IF(AND(Q169="approved",COUNTIFS(Images!$A$5:$A$304,A169,Images!$H$5:$H$304,TRUE,Images!$I$5:$I$304,"approved")&lt;&gt;1),"NEEDS PRIMARY IMAGE","OK"))))</x:f>
        <x:v>OK</x:v>
      </x:c>
    </x:row>
    <x:row r="170">
      <x:c r="A170" s="28" t="str">
        <x:v>moi-moi</x:v>
      </x:c>
      <x:c r="B170" s="28" t="str">
        <x:v>Moi Moi</x:v>
      </x:c>
      <x:c r="C170" s="28" t="str">
        <x:v>Moin Moin|Moyi Moyi</x:v>
      </x:c>
      <x:c r="D170" s="28" t="str">
        <x:v>NG</x:v>
      </x:c>
      <x:c r="E170" s="28" t="str">
        <x:v>africa</x:v>
      </x:c>
      <x:c r="F170" s="28" t="str">
        <x:v>handheld</x:v>
      </x:c>
      <x:c r="G170" s="28" t="str">
        <x:v>comforting</x:v>
      </x:c>
      <x:c r="H170" s="28"/>
      <x:c r="I170" s="28"/>
      <x:c r="J170" s="28" t="str">
        <x:v>savory</x:v>
      </x:c>
      <x:c r="K170" s="28" t="str">
        <x:v>earthy</x:v>
      </x:c>
      <x:c r="L170" s="28" t="str">
        <x:v>tender</x:v>
      </x:c>
      <x:c r="M170" s="28"/>
      <x:c r="N170" s="28" t="n">
        <x:v>3</x:v>
      </x:c>
      <x:c r="O170" s="28" t="str">
        <x:v>Nigerian steamed bean pudding seasoned with peppers, onions, and savory aromatics.</x:v>
      </x:c>
      <x:c r="P170" s="28" t="str">
        <x:v>Moi moi is a Nigerian steamed pudding made from blended peeled beans, commonly black-eyed peas, mixed with peppers, onions, oil, and seasonings. Eggs, fish, or other fillings may be added before steaming.</x:v>
      </x:c>
      <x:c r="Q170" s="28" t="str">
        <x:v>needs-review</x:v>
      </x:c>
      <x:c r="R170" s="28" t="str">
        <x:v>Batch 7 candidate. Handheld is Nom's closest portable-food category; moi moi is often served from a mold or leaf. Retag resolution applied: preference flavor set to 'comforting'.</x:v>
      </x:c>
      <x:c r="S170" s="28" t="str">
        <x:f>IF(A170="","",IF(COUNTIF($A$5:$A$205,A170)&gt;1,"DUPLICATE ID",IF(AND(Q170="approved",COUNTIFS(Sources!$A$5:$A$404,A170,Sources!$F$5:$F$404,TRUE)=0),"NEEDS SOURCE",IF(AND(Q170="approved",COUNTIFS(Images!$A$5:$A$304,A170,Images!$H$5:$H$304,TRUE,Images!$I$5:$I$304,"approved")&lt;&gt;1),"NEEDS PRIMARY IMAGE","OK"))))</x:f>
        <x:v>OK</x:v>
      </x:c>
    </x:row>
    <x:row r="171">
      <x:c r="A171" s="28" t="str">
        <x:v>attieke-fish</x:v>
      </x:c>
      <x:c r="B171" s="28" t="str">
        <x:v>Attiéké with Grilled Fish</x:v>
      </x:c>
      <x:c r="C171" s="28" t="str">
        <x:v>Attiéké Poisson|Attieke</x:v>
      </x:c>
      <x:c r="D171" s="28" t="str">
        <x:v>CI</x:v>
      </x:c>
      <x:c r="E171" s="28" t="str">
        <x:v>africa</x:v>
      </x:c>
      <x:c r="F171" s="28" t="str">
        <x:v>rice</x:v>
      </x:c>
      <x:c r="G171" s="28" t="str">
        <x:v>fresh</x:v>
      </x:c>
      <x:c r="H171" s="28" t="str">
        <x:v>tangy</x:v>
      </x:c>
      <x:c r="I171" s="28"/>
      <x:c r="J171" s="28" t="str">
        <x:v>savory</x:v>
      </x:c>
      <x:c r="K171" s="28" t="str">
        <x:v>smoky</x:v>
      </x:c>
      <x:c r="L171" s="28" t="str">
        <x:v>light</x:v>
      </x:c>
      <x:c r="M171" s="28"/>
      <x:c r="N171" s="28" t="n">
        <x:v>3</x:v>
      </x:c>
      <x:c r="O171" s="28" t="str">
        <x:v>Ivorian fermented cassava couscous served with grilled fish, onions, tomato, and fresh chile.</x:v>
      </x:c>
      <x:c r="P171" s="28" t="str">
        <x:v>Attiéké is an Ivorian staple made from fermented grated cassava processed into couscous-like granules. A common meal pairs it with grilled fish, onion, tomato, chile, and fresh acidic garnishes.</x:v>
      </x:c>
      <x:c r="Q171" s="28" t="str">
        <x:v>needs-review</x:v>
      </x:c>
      <x:c r="R171" s="28" t="str">
        <x:v>Batch 7 candidate. Rice is Nom's closest starch-base category; attiéké is fermented cassava, not rice.</x:v>
      </x:c>
      <x:c r="S171" s="28" t="str">
        <x:f>IF(A171="","",IF(COUNTIF($A$5:$A$205,A171)&gt;1,"DUPLICATE ID",IF(AND(Q171="approved",COUNTIFS(Sources!$A$5:$A$404,A171,Sources!$F$5:$F$404,TRUE)=0),"NEEDS SOURCE",IF(AND(Q171="approved",COUNTIFS(Images!$A$5:$A$304,A171,Images!$H$5:$H$304,TRUE,Images!$I$5:$I$304,"approved")&lt;&gt;1),"NEEDS PRIMARY IMAGE","OK"))))</x:f>
        <x:v>OK</x:v>
      </x:c>
    </x:row>
    <x:row r="172">
      <x:c r="A172" s="28" t="str">
        <x:v>arroz-de-marisco</x:v>
      </x:c>
      <x:c r="B172" s="28" t="str">
        <x:v>Arroz de Marisco</x:v>
      </x:c>
      <x:c r="C172" s="28" t="str">
        <x:v>Portuguese Seafood Rice</x:v>
      </x:c>
      <x:c r="D172" s="28" t="str">
        <x:v>PT</x:v>
      </x:c>
      <x:c r="E172" s="28" t="str">
        <x:v>europe</x:v>
      </x:c>
      <x:c r="F172" s="28" t="str">
        <x:v>rice</x:v>
      </x:c>
      <x:c r="G172" s="28" t="str">
        <x:v>rich</x:v>
      </x:c>
      <x:c r="H172" s="28"/>
      <x:c r="I172" s="28"/>
      <x:c r="J172" s="28" t="str">
        <x:v>savory</x:v>
      </x:c>
      <x:c r="K172" s="28" t="str">
        <x:v>aromatic</x:v>
      </x:c>
      <x:c r="L172" s="28" t="str">
        <x:v>umami</x:v>
      </x:c>
      <x:c r="M172" s="28"/>
      <x:c r="N172" s="28" t="n">
        <x:v>2</x:v>
      </x:c>
      <x:c r="O172" s="28" t="str">
        <x:v>Portuguese seafood rice cooked in a tomato-rich broth with shellfish, fish, and herbs.</x:v>
      </x:c>
      <x:c r="P172" s="28" t="str">
        <x:v>Arroz de marisco is a Portuguese seafood-rice dish cooked until loose and saucy rather than dry. Rice simmers with a flavorful seafood broth, tomato, aromatics, herbs, and combinations of shrimp, clams, crab, or other seafood.</x:v>
      </x:c>
      <x:c r="Q172" s="28" t="str">
        <x:v>needs-review</x:v>
      </x:c>
      <x:c r="R172" s="28" t="str">
        <x:v>Batch 7 candidate. Source should be strengthened with a dedicated Portuguese culinary reference before approval. Retag resolution applied: preference flavor set to 'rich'.</x:v>
      </x:c>
      <x:c r="S172" s="28" t="str">
        <x:f>IF(A172="","",IF(COUNTIF($A$5:$A$205,A172)&gt;1,"DUPLICATE ID",IF(AND(Q172="approved",COUNTIFS(Sources!$A$5:$A$404,A172,Sources!$F$5:$F$404,TRUE)=0),"NEEDS SOURCE",IF(AND(Q172="approved",COUNTIFS(Images!$A$5:$A$304,A172,Images!$H$5:$H$304,TRUE,Images!$I$5:$I$304,"approved")&lt;&gt;1),"NEEDS PRIMARY IMAGE","OK"))))</x:f>
        <x:v>OK</x:v>
      </x:c>
    </x:row>
    <x:row r="173">
      <x:c r="A173" s="28" t="str">
        <x:v>arroz-negro</x:v>
      </x:c>
      <x:c r="B173" s="28" t="str">
        <x:v>Arroz Negro</x:v>
      </x:c>
      <x:c r="C173" s="28" t="str">
        <x:v>Arròs Negre|Black Rice</x:v>
      </x:c>
      <x:c r="D173" s="28" t="str">
        <x:v>ES</x:v>
      </x:c>
      <x:c r="E173" s="28" t="str">
        <x:v>europe</x:v>
      </x:c>
      <x:c r="F173" s="28" t="str">
        <x:v>rice</x:v>
      </x:c>
      <x:c r="G173" s="28" t="str">
        <x:v>rich</x:v>
      </x:c>
      <x:c r="H173" s="28"/>
      <x:c r="I173" s="28"/>
      <x:c r="J173" s="28" t="str">
        <x:v>savory</x:v>
      </x:c>
      <x:c r="K173" s="28" t="str">
        <x:v>umami</x:v>
      </x:c>
      <x:c r="L173" s="28" t="str">
        <x:v>aromatic</x:v>
      </x:c>
      <x:c r="M173" s="28"/>
      <x:c r="N173" s="28" t="n">
        <x:v>2</x:v>
      </x:c>
      <x:c r="O173" s="28" t="str">
        <x:v>Spanish black rice colored with squid ink and cooked with seafood in a wide pan.</x:v>
      </x:c>
      <x:c r="P173" s="28" t="str">
        <x:v>Arroz negro, or arròs negre, is a Spanish Mediterranean rice dish colored and flavored with squid or cuttlefish ink. It commonly includes seafood, stock, tomato, garlic, and other aromatics cooked in a paella-style pan.</x:v>
      </x:c>
      <x:c r="Q173" s="28" t="str">
        <x:v>needs-review</x:v>
      </x:c>
      <x:c r="R173" s="28" t="str">
        <x:v>Batch 7 candidate. Spain used for catalog grouping; Valencian and Catalan traditions are especially relevant. Retag resolution applied: preference flavor set to 'rich'.</x:v>
      </x:c>
      <x:c r="S173" s="28" t="str">
        <x:f>IF(A173="","",IF(COUNTIF($A$5:$A$205,A173)&gt;1,"DUPLICATE ID",IF(AND(Q173="approved",COUNTIFS(Sources!$A$5:$A$404,A173,Sources!$F$5:$F$404,TRUE)=0),"NEEDS SOURCE",IF(AND(Q173="approved",COUNTIFS(Images!$A$5:$A$304,A173,Images!$H$5:$H$304,TRUE,Images!$I$5:$I$304,"approved")&lt;&gt;1),"NEEDS PRIMARY IMAGE","OK"))))</x:f>
        <x:v>OK</x:v>
      </x:c>
    </x:row>
    <x:row r="174">
      <x:c r="A174" s="28" t="str">
        <x:v>cevapi</x:v>
      </x:c>
      <x:c r="B174" s="28" t="str">
        <x:v>Ćevapi</x:v>
      </x:c>
      <x:c r="C174" s="28" t="str">
        <x:v>Cevapi|Ćevapčići</x:v>
      </x:c>
      <x:c r="D174" s="28" t="str">
        <x:v>BA</x:v>
      </x:c>
      <x:c r="E174" s="28" t="str">
        <x:v>europe</x:v>
      </x:c>
      <x:c r="F174" s="28" t="str">
        <x:v>grilled-protein</x:v>
      </x:c>
      <x:c r="G174" s="28" t="str">
        <x:v>rich</x:v>
      </x:c>
      <x:c r="H174" s="28" t="str">
        <x:v>fresh</x:v>
      </x:c>
      <x:c r="I174" s="28"/>
      <x:c r="J174" s="28" t="str">
        <x:v>savory</x:v>
      </x:c>
      <x:c r="K174" s="28" t="str">
        <x:v>smoky</x:v>
      </x:c>
      <x:c r="L174" s="28" t="str">
        <x:v>juicy</x:v>
      </x:c>
      <x:c r="M174" s="28"/>
      <x:c r="N174" s="28" t="n">
        <x:v>2</x:v>
      </x:c>
      <x:c r="O174" s="28" t="str">
        <x:v>Balkan grilled minced-meat sausages served with flatbread, onions, and fresh accompaniments.</x:v>
      </x:c>
      <x:c r="P174" s="28" t="str">
        <x:v>Ćevapi are small skinless minced-meat sausages associated with the Balkans, especially Bosnia and Herzegovina. They are grilled and commonly served in flatbread with chopped onion and regional condiments.</x:v>
      </x:c>
      <x:c r="Q174" s="28" t="str">
        <x:v>needs-review</x:v>
      </x:c>
      <x:c r="R174" s="28" t="str">
        <x:v>Batch 7 candidate. Bosnia and Herzegovina used for catalog grouping while acknowledging wider Balkan traditions.</x:v>
      </x:c>
      <x:c r="S174" s="28" t="str">
        <x:f>IF(A174="","",IF(COUNTIF($A$5:$A$205,A174)&gt;1,"DUPLICATE ID",IF(AND(Q174="approved",COUNTIFS(Sources!$A$5:$A$404,A174,Sources!$F$5:$F$404,TRUE)=0),"NEEDS SOURCE",IF(AND(Q174="approved",COUNTIFS(Images!$A$5:$A$304,A174,Images!$H$5:$H$304,TRUE,Images!$I$5:$I$304,"approved")&lt;&gt;1),"NEEDS PRIMARY IMAGE","OK"))))</x:f>
        <x:v>OK</x:v>
      </x:c>
    </x:row>
    <x:row r="175">
      <x:c r="A175" s="28" t="str">
        <x:v>arroz-con-gandules</x:v>
      </x:c>
      <x:c r="B175" s="28" t="str">
        <x:v>Arroz con Gandules</x:v>
      </x:c>
      <x:c r="C175" s="28" t="str">
        <x:v>Puerto Rican Rice with Pigeon Peas</x:v>
      </x:c>
      <x:c r="D175" s="28" t="str">
        <x:v>PR</x:v>
      </x:c>
      <x:c r="E175" s="28" t="str">
        <x:v>latin-america</x:v>
      </x:c>
      <x:c r="F175" s="28" t="str">
        <x:v>rice</x:v>
      </x:c>
      <x:c r="G175" s="28" t="str">
        <x:v>comforting</x:v>
      </x:c>
      <x:c r="H175" s="28" t="str">
        <x:v>rich</x:v>
      </x:c>
      <x:c r="I175" s="28"/>
      <x:c r="J175" s="28" t="str">
        <x:v>savory</x:v>
      </x:c>
      <x:c r="K175" s="28" t="str">
        <x:v>aromatic</x:v>
      </x:c>
      <x:c r="L175" s="28" t="str">
        <x:v>tender</x:v>
      </x:c>
      <x:c r="M175" s="28"/>
      <x:c r="N175" s="28" t="n">
        <x:v>1</x:v>
      </x:c>
      <x:c r="O175" s="28" t="str">
        <x:v>Puerto Rican rice with pigeon peas, sofrito, seasonings, and savory additions.</x:v>
      </x:c>
      <x:c r="P175" s="28" t="str">
        <x:v>Arroz con gandules is a Puerto Rican rice dish combining rice with pigeon peas, sofrito, seasonings, and often pork or other savory additions. It is widely associated with celebrations and holiday meals.</x:v>
      </x:c>
      <x:c r="Q175" s="28" t="str">
        <x:v>needs-review</x:v>
      </x:c>
      <x:c r="R175" s="28" t="str">
        <x:v>Batch 7 candidate. Puerto Rico is grouped under Nom's Latin America &amp; Caribbean region.</x:v>
      </x:c>
      <x:c r="S175" s="28" t="str">
        <x:f>IF(A175="","",IF(COUNTIF($A$5:$A$205,A175)&gt;1,"DUPLICATE ID",IF(AND(Q175="approved",COUNTIFS(Sources!$A$5:$A$404,A175,Sources!$F$5:$F$404,TRUE)=0),"NEEDS SOURCE",IF(AND(Q175="approved",COUNTIFS(Images!$A$5:$A$304,A175,Images!$H$5:$H$304,TRUE,Images!$I$5:$I$304,"approved")&lt;&gt;1),"NEEDS PRIMARY IMAGE","OK"))))</x:f>
        <x:v>OK</x:v>
      </x:c>
    </x:row>
    <x:row r="176">
      <x:c r="A176" s="28" t="str">
        <x:v>chivito</x:v>
      </x:c>
      <x:c r="B176" s="28" t="str">
        <x:v>Chivito</x:v>
      </x:c>
      <x:c r="C176" s="28" t="str">
        <x:v>Chivito Uruguayo</x:v>
      </x:c>
      <x:c r="D176" s="28" t="str">
        <x:v>UY</x:v>
      </x:c>
      <x:c r="E176" s="28" t="str">
        <x:v>latin-america</x:v>
      </x:c>
      <x:c r="F176" s="28" t="str">
        <x:v>handheld</x:v>
      </x:c>
      <x:c r="G176" s="28" t="str">
        <x:v>rich</x:v>
      </x:c>
      <x:c r="H176" s="28" t="str">
        <x:v>fresh</x:v>
      </x:c>
      <x:c r="I176" s="28"/>
      <x:c r="J176" s="28" t="str">
        <x:v>savory</x:v>
      </x:c>
      <x:c r="K176" s="28" t="str">
        <x:v>juicy</x:v>
      </x:c>
      <x:c r="L176" s="28" t="str">
        <x:v>tender</x:v>
      </x:c>
      <x:c r="M176" s="28"/>
      <x:c r="N176" s="28" t="n">
        <x:v>2</x:v>
      </x:c>
      <x:c r="O176" s="28" t="str">
        <x:v>Uruguayan steak sandwich stacked with ham, cheese, vegetables, egg, and sauces.</x:v>
      </x:c>
      <x:c r="P176" s="28" t="str">
        <x:v>The chivito is an Uruguayan sandwich built around a thin slice of beef steak, commonly layered with ham, cheese, lettuce, tomato, mayonnaise, and sometimes egg, bacon, olives, or other toppings.</x:v>
      </x:c>
      <x:c r="Q176" s="28" t="str">
        <x:v>needs-review</x:v>
      </x:c>
      <x:c r="R176" s="28" t="str">
        <x:v>Batch 7 candidate. Toppings vary substantially by restaurant and region.</x:v>
      </x:c>
      <x:c r="S176" s="28" t="str">
        <x:f>IF(A176="","",IF(COUNTIF($A$5:$A$205,A176)&gt;1,"DUPLICATE ID",IF(AND(Q176="approved",COUNTIFS(Sources!$A$5:$A$404,A176,Sources!$F$5:$F$404,TRUE)=0),"NEEDS SOURCE",IF(AND(Q176="approved",COUNTIFS(Images!$A$5:$A$304,A176,Images!$H$5:$H$304,TRUE,Images!$I$5:$I$304,"approved")&lt;&gt;1),"NEEDS PRIMARY IMAGE","OK"))))</x:f>
        <x:v>OK</x:v>
      </x:c>
    </x:row>
    <x:row r="177">
      <x:c r="A177" s="28" t="str">
        <x:v>jerk-chicken</x:v>
      </x:c>
      <x:c r="B177" s="28" t="str">
        <x:v>Jerk Chicken</x:v>
      </x:c>
      <x:c r="C177" s="28" t="str">
        <x:v>Jamaican Jerk Chicken</x:v>
      </x:c>
      <x:c r="D177" s="28" t="str">
        <x:v>JM</x:v>
      </x:c>
      <x:c r="E177" s="28" t="str">
        <x:v>latin-america</x:v>
      </x:c>
      <x:c r="F177" s="28" t="str">
        <x:v>grilled-protein</x:v>
      </x:c>
      <x:c r="G177" s="28" t="str">
        <x:v>spicy</x:v>
      </x:c>
      <x:c r="H177" s="28"/>
      <x:c r="I177" s="28"/>
      <x:c r="J177" s="28" t="str">
        <x:v>smoky</x:v>
      </x:c>
      <x:c r="K177" s="28" t="str">
        <x:v>charred</x:v>
      </x:c>
      <x:c r="L177" s="28" t="str">
        <x:v>aromatic</x:v>
      </x:c>
      <x:c r="M177" s="28"/>
      <x:c r="N177" s="28" t="n">
        <x:v>2</x:v>
      </x:c>
      <x:c r="O177" s="28" t="str">
        <x:v>Jamaican chicken marinated with allspice, chile, herbs, and aromatics, then grilled or smoked.</x:v>
      </x:c>
      <x:c r="P177" s="28" t="str">
        <x:v>Jerk chicken is a Jamaican preparation in which chicken is seasoned with a highly aromatic jerk marinade or dry rub built around allspice, Scotch bonnet chile, herbs, and spices, then grilled or smoked.</x:v>
      </x:c>
      <x:c r="Q177" s="28" t="str">
        <x:v>needs-review</x:v>
      </x:c>
      <x:c r="R177" s="28" t="str">
        <x:v>Batch 7 candidate. Jamaica is grouped under Nom's Latin America &amp; Caribbean region.</x:v>
      </x:c>
      <x:c r="S177" s="28" t="str">
        <x:f>IF(A177="","",IF(COUNTIF($A$5:$A$205,A177)&gt;1,"DUPLICATE ID",IF(AND(Q177="approved",COUNTIFS(Sources!$A$5:$A$404,A177,Sources!$F$5:$F$404,TRUE)=0),"NEEDS SOURCE",IF(AND(Q177="approved",COUNTIFS(Images!$A$5:$A$304,A177,Images!$H$5:$H$304,TRUE,Images!$I$5:$I$304,"approved")&lt;&gt;1),"NEEDS PRIMARY IMAGE","OK"))))</x:f>
        <x:v>OK</x:v>
      </x:c>
    </x:row>
    <x:row r="178">
      <x:c r="A178" s="28" t="str">
        <x:v>montreal-smoked-meat-sandwich</x:v>
      </x:c>
      <x:c r="B178" s="28" t="str">
        <x:v>Montreal Smoked Meat Sandwich</x:v>
      </x:c>
      <x:c r="C178" s="28" t="str">
        <x:v>Smoked Meat Sandwich</x:v>
      </x:c>
      <x:c r="D178" s="28" t="str">
        <x:v>CA</x:v>
      </x:c>
      <x:c r="E178" s="28" t="str">
        <x:v>north-america</x:v>
      </x:c>
      <x:c r="F178" s="28" t="str">
        <x:v>handheld</x:v>
      </x:c>
      <x:c r="G178" s="28" t="str">
        <x:v>rich</x:v>
      </x:c>
      <x:c r="H178" s="28"/>
      <x:c r="I178" s="28"/>
      <x:c r="J178" s="28" t="str">
        <x:v>savory</x:v>
      </x:c>
      <x:c r="K178" s="28" t="str">
        <x:v>smoky</x:v>
      </x:c>
      <x:c r="L178" s="28" t="str">
        <x:v>tender</x:v>
      </x:c>
      <x:c r="M178" s="28"/>
      <x:c r="N178" s="28" t="n">
        <x:v>1</x:v>
      </x:c>
      <x:c r="O178" s="28" t="str">
        <x:v>Montreal deli sandwich piled with cured smoked beef, mustard, and rye bread.</x:v>
      </x:c>
      <x:c r="P178" s="28" t="str">
        <x:v>A Montreal smoked meat sandwich features hand-sliced cured and smoked beef brisket piled onto rye bread, usually with yellow mustard. The meat is seasoned, smoked, steamed, and sliced across the grain.</x:v>
      </x:c>
      <x:c r="Q178" s="28" t="str">
        <x:v>needs-review</x:v>
      </x:c>
      <x:c r="R178" s="28" t="str">
        <x:v>Batch 7 candidate. Source is the broader Montreal-style smoked meat reference.</x:v>
      </x:c>
      <x:c r="S178" s="28" t="str">
        <x:f>IF(A178="","",IF(COUNTIF($A$5:$A$205,A178)&gt;1,"DUPLICATE ID",IF(AND(Q178="approved",COUNTIFS(Sources!$A$5:$A$404,A178,Sources!$F$5:$F$404,TRUE)=0),"NEEDS SOURCE",IF(AND(Q178="approved",COUNTIFS(Images!$A$5:$A$304,A178,Images!$H$5:$H$304,TRUE,Images!$I$5:$I$304,"approved")&lt;&gt;1),"NEEDS PRIMARY IMAGE","OK"))))</x:f>
        <x:v>OK</x:v>
      </x:c>
    </x:row>
    <x:row r="179">
      <x:c r="A179" s="28" t="str">
        <x:v>chicken-and-waffles</x:v>
      </x:c>
      <x:c r="B179" s="28" t="str">
        <x:v>Chicken and Waffles</x:v>
      </x:c>
      <x:c r="C179" s="28" t="str">
        <x:v>Fried Chicken and Waffles</x:v>
      </x:c>
      <x:c r="D179" s="28" t="str">
        <x:v>US</x:v>
      </x:c>
      <x:c r="E179" s="28" t="str">
        <x:v>north-america</x:v>
      </x:c>
      <x:c r="F179" s="28" t="str">
        <x:v>grilled-protein</x:v>
      </x:c>
      <x:c r="G179" s="28" t="str">
        <x:v>crispy</x:v>
      </x:c>
      <x:c r="H179" s="28" t="str">
        <x:v>rich</x:v>
      </x:c>
      <x:c r="I179" s="28"/>
      <x:c r="J179" s="28" t="str">
        <x:v>savory</x:v>
      </x:c>
      <x:c r="K179" s="28" t="str">
        <x:v>buttery</x:v>
      </x:c>
      <x:c r="L179" s="28" t="str">
        <x:v>juicy</x:v>
      </x:c>
      <x:c r="M179" s="28"/>
      <x:c r="N179" s="28" t="n">
        <x:v>1</x:v>
      </x:c>
      <x:c r="O179" s="28" t="str">
        <x:v>American fried chicken paired with waffles for a crisp, savory, lightly sweet meal.</x:v>
      </x:c>
      <x:c r="P179" s="28" t="str">
        <x:v>Chicken and waffles is an American dish pairing fried chicken with waffles. Modern versions often combine crisp seasoned chicken with buttery waffles and toppings such as syrup, hot sauce, honey, or flavored butter.</x:v>
      </x:c>
      <x:c r="Q179" s="28" t="str">
        <x:v>needs-review</x:v>
      </x:c>
      <x:c r="R179" s="28" t="str">
        <x:v>Batch 7 candidate. Grilled/Protein is Nom's broad protein category; the chicken is usually fried.</x:v>
      </x:c>
      <x:c r="S179" s="28" t="str">
        <x:f>IF(A179="","",IF(COUNTIF($A$5:$A$205,A179)&gt;1,"DUPLICATE ID",IF(AND(Q179="approved",COUNTIFS(Sources!$A$5:$A$404,A179,Sources!$F$5:$F$404,TRUE)=0),"NEEDS SOURCE",IF(AND(Q179="approved",COUNTIFS(Images!$A$5:$A$304,A179,Images!$H$5:$H$304,TRUE,Images!$I$5:$I$304,"approved")&lt;&gt;1),"NEEDS PRIMARY IMAGE","OK"))))</x:f>
        <x:v>OK</x:v>
      </x:c>
    </x:row>
    <x:row r="180">
      <x:c r="A180" s="28" t="str">
        <x:v>katsudon</x:v>
      </x:c>
      <x:c r="B180" s="28" t="str">
        <x:v>Katsudon</x:v>
      </x:c>
      <x:c r="C180" s="28" t="str">
        <x:v>Pork Cutlet Rice Bowl</x:v>
      </x:c>
      <x:c r="D180" s="28" t="str">
        <x:v>JP</x:v>
      </x:c>
      <x:c r="E180" s="28" t="str">
        <x:v>east-asia</x:v>
      </x:c>
      <x:c r="F180" s="28" t="str">
        <x:v>rice</x:v>
      </x:c>
      <x:c r="G180" s="28" t="str">
        <x:v>comforting</x:v>
      </x:c>
      <x:c r="H180" s="28" t="str">
        <x:v>crispy</x:v>
      </x:c>
      <x:c r="I180" s="28"/>
      <x:c r="J180" s="28" t="str">
        <x:v>savory</x:v>
      </x:c>
      <x:c r="K180" s="28" t="str">
        <x:v>tender</x:v>
      </x:c>
      <x:c r="L180" s="28" t="str">
        <x:v>umami</x:v>
      </x:c>
      <x:c r="M180" s="28"/>
      <x:c r="N180" s="28" t="n">
        <x:v>1</x:v>
      </x:c>
      <x:c r="O180" s="28" t="str">
        <x:v>Japanese rice bowl topped with a crisp pork cutlet, egg, onion, and sweet-savory sauce.</x:v>
      </x:c>
      <x:c r="P180" s="28" t="str">
        <x:v>Katsudon is a Japanese donburi dish made by simmering a breaded pork cutlet with onion and egg in a sweet-savory soy-based sauce, then serving the mixture over steamed rice. The cutlet keeps some crisp texture while absorbing the sauce.</x:v>
      </x:c>
      <x:c r="Q180" s="28" t="str">
        <x:v>needs-review</x:v>
      </x:c>
      <x:c r="R180" s="28" t="str">
        <x:v>Batch 8 candidate. Familiarity and flavor assignments are Nom product heuristics.</x:v>
      </x:c>
      <x:c r="S180" s="28" t="str">
        <x:f>IF(A180="","",IF(COUNTIF($A$5:$A$205,A180)&gt;1,"DUPLICATE ID",IF(AND(Q180="approved",COUNTIFS(Sources!$A$5:$A$404,A180,Sources!$F$5:$F$404,TRUE)=0),"NEEDS SOURCE",IF(AND(Q180="approved",COUNTIFS(Images!$A$5:$A$304,A180,Images!$H$5:$H$304,TRUE,Images!$I$5:$I$304,"approved")&lt;&gt;1),"NEEDS PRIMARY IMAGE","OK"))))</x:f>
        <x:v>OK</x:v>
      </x:c>
    </x:row>
    <x:row r="181">
      <x:c r="A181" s="28" t="str">
        <x:v>jjajangmyeon</x:v>
      </x:c>
      <x:c r="B181" s="28" t="str">
        <x:v>Jjajangmyeon</x:v>
      </x:c>
      <x:c r="C181" s="28" t="str">
        <x:v>Jajangmyeon|Korean Black Bean Noodles</x:v>
      </x:c>
      <x:c r="D181" s="28" t="str">
        <x:v>KR</x:v>
      </x:c>
      <x:c r="E181" s="28" t="str">
        <x:v>east-asia</x:v>
      </x:c>
      <x:c r="F181" s="28" t="str">
        <x:v>noodle</x:v>
      </x:c>
      <x:c r="G181" s="28" t="str">
        <x:v>rich</x:v>
      </x:c>
      <x:c r="H181" s="28" t="str">
        <x:v>comforting</x:v>
      </x:c>
      <x:c r="I181" s="28"/>
      <x:c r="J181" s="28" t="str">
        <x:v>savory</x:v>
      </x:c>
      <x:c r="K181" s="28" t="str">
        <x:v>umami</x:v>
      </x:c>
      <x:c r="L181" s="28" t="str">
        <x:v>chewy</x:v>
      </x:c>
      <x:c r="M181" s="28"/>
      <x:c r="N181" s="28" t="n">
        <x:v>2</x:v>
      </x:c>
      <x:c r="O181" s="28" t="str">
        <x:v>Korean wheat noodles coated in a thick black-bean sauce with pork and vegetables.</x:v>
      </x:c>
      <x:c r="P181" s="28" t="str">
        <x:v>Jjajangmyeon is a Korean noodle dish made with thick wheat noodles and a dark sauce based on chunjang, a fermented black-bean paste. Pork, onion, zucchini, cabbage, or other vegetables are commonly cooked into the sauce.</x:v>
      </x:c>
      <x:c r="Q181" s="28" t="str">
        <x:v>needs-review</x:v>
      </x:c>
      <x:c r="R181" s="28" t="str">
        <x:v>Batch 8 candidate. Richness depends on sauce preparation and toppings.</x:v>
      </x:c>
      <x:c r="S181" s="28" t="str">
        <x:f>IF(A181="","",IF(COUNTIF($A$5:$A$205,A181)&gt;1,"DUPLICATE ID",IF(AND(Q181="approved",COUNTIFS(Sources!$A$5:$A$404,A181,Sources!$F$5:$F$404,TRUE)=0),"NEEDS SOURCE",IF(AND(Q181="approved",COUNTIFS(Images!$A$5:$A$304,A181,Images!$H$5:$H$304,TRUE,Images!$I$5:$I$304,"approved")&lt;&gt;1),"NEEDS PRIMARY IMAGE","OK"))))</x:f>
        <x:v>OK</x:v>
      </x:c>
    </x:row>
    <x:row r="182">
      <x:c r="A182" s="28" t="str">
        <x:v>wonton-soup</x:v>
      </x:c>
      <x:c r="B182" s="28" t="str">
        <x:v>Wonton Soup</x:v>
      </x:c>
      <x:c r="C182" s="28" t="str">
        <x:v>Wonton Noodle Soup</x:v>
      </x:c>
      <x:c r="D182" s="28" t="str">
        <x:v>CN</x:v>
      </x:c>
      <x:c r="E182" s="28" t="str">
        <x:v>east-asia</x:v>
      </x:c>
      <x:c r="F182" s="28" t="str">
        <x:v>soup-broth</x:v>
      </x:c>
      <x:c r="G182" s="28" t="str">
        <x:v>comforting</x:v>
      </x:c>
      <x:c r="H182" s="28" t="str">
        <x:v>fresh</x:v>
      </x:c>
      <x:c r="I182" s="28"/>
      <x:c r="J182" s="28" t="str">
        <x:v>savory</x:v>
      </x:c>
      <x:c r="K182" s="28" t="str">
        <x:v>light</x:v>
      </x:c>
      <x:c r="L182" s="28" t="str">
        <x:v>tender</x:v>
      </x:c>
      <x:c r="M182" s="28"/>
      <x:c r="N182" s="28" t="n">
        <x:v>1</x:v>
      </x:c>
      <x:c r="O182" s="28" t="str">
        <x:v>Chinese broth with delicate filled wontons, greens, scallions, and optional noodles.</x:v>
      </x:c>
      <x:c r="P182" s="28" t="str">
        <x:v>Wonton soup centers on small filled dumplings served in a clear savory broth. Pork, shrimp, or mixed fillings are common, with greens, scallions, and noodles added in many regional Chinese and Cantonese-style versions.</x:v>
      </x:c>
      <x:c r="Q182" s="28" t="str">
        <x:v>needs-review</x:v>
      </x:c>
      <x:c r="R182" s="28" t="str">
        <x:v>Batch 8 candidate. Source is the broader wonton reference; soup style varies by region.</x:v>
      </x:c>
      <x:c r="S182" s="28" t="str">
        <x:f>IF(A182="","",IF(COUNTIF($A$5:$A$205,A182)&gt;1,"DUPLICATE ID",IF(AND(Q182="approved",COUNTIFS(Sources!$A$5:$A$404,A182,Sources!$F$5:$F$404,TRUE)=0),"NEEDS SOURCE",IF(AND(Q182="approved",COUNTIFS(Images!$A$5:$A$304,A182,Images!$H$5:$H$304,TRUE,Images!$I$5:$I$304,"approved")&lt;&gt;1),"NEEDS PRIMARY IMAGE","OK"))))</x:f>
        <x:v>OK</x:v>
      </x:c>
    </x:row>
    <x:row r="183">
      <x:c r="A183" s="28" t="str">
        <x:v>lemon-rice</x:v>
      </x:c>
      <x:c r="B183" s="28" t="str">
        <x:v>Lemon Rice</x:v>
      </x:c>
      <x:c r="C183" s="28" t="str">
        <x:v>Chitranna|Nimmakaya Pulihora</x:v>
      </x:c>
      <x:c r="D183" s="28" t="str">
        <x:v>IN</x:v>
      </x:c>
      <x:c r="E183" s="28" t="str">
        <x:v>south-asia</x:v>
      </x:c>
      <x:c r="F183" s="28" t="str">
        <x:v>rice</x:v>
      </x:c>
      <x:c r="G183" s="28" t="str">
        <x:v>fresh</x:v>
      </x:c>
      <x:c r="H183" s="28" t="str">
        <x:v>tangy</x:v>
      </x:c>
      <x:c r="I183" s="28"/>
      <x:c r="J183" s="28" t="str">
        <x:v>aromatic</x:v>
      </x:c>
      <x:c r="K183" s="28" t="str">
        <x:v>savory</x:v>
      </x:c>
      <x:c r="L183" s="28" t="str">
        <x:v>light</x:v>
      </x:c>
      <x:c r="M183" s="28"/>
      <x:c r="N183" s="28" t="n">
        <x:v>1</x:v>
      </x:c>
      <x:c r="O183" s="28" t="str">
        <x:v>South Indian rice brightened with lemon, tempered spices, curry leaves, and crunchy garnishes.</x:v>
      </x:c>
      <x:c r="P183" s="28" t="str">
        <x:v>Lemon rice is a South Indian seasoned-rice dish in which cooked rice is tossed with lemon juice and a tempering of mustard seed, curry leaves, chile, and other spices. Peanuts or cashews are common additions for texture.</x:v>
      </x:c>
      <x:c r="Q183" s="28" t="str">
        <x:v>needs-review</x:v>
      </x:c>
      <x:c r="R183" s="28" t="str">
        <x:v>Batch 8 candidate. Regional names and recipes vary; chitranna is one related South Indian form.</x:v>
      </x:c>
      <x:c r="S183" s="28" t="str">
        <x:f>IF(A183="","",IF(COUNTIF($A$5:$A$205,A183)&gt;1,"DUPLICATE ID",IF(AND(Q183="approved",COUNTIFS(Sources!$A$5:$A$404,A183,Sources!$F$5:$F$404,TRUE)=0),"NEEDS SOURCE",IF(AND(Q183="approved",COUNTIFS(Images!$A$5:$A$304,A183,Images!$H$5:$H$304,TRUE,Images!$I$5:$I$304,"approved")&lt;&gt;1),"NEEDS PRIMARY IMAGE","OK"))))</x:f>
        <x:v>OK</x:v>
      </x:c>
    </x:row>
    <x:row r="184">
      <x:c r="A184" s="28" t="str">
        <x:v>paya</x:v>
      </x:c>
      <x:c r="B184" s="28" t="str">
        <x:v>Paya</x:v>
      </x:c>
      <x:c r="C184" s="28" t="str">
        <x:v>Paaya|Trotter Curry</x:v>
      </x:c>
      <x:c r="D184" s="28" t="str">
        <x:v>PK</x:v>
      </x:c>
      <x:c r="E184" s="28" t="str">
        <x:v>south-asia</x:v>
      </x:c>
      <x:c r="F184" s="28" t="str">
        <x:v>soup-broth</x:v>
      </x:c>
      <x:c r="G184" s="28" t="str">
        <x:v>rich</x:v>
      </x:c>
      <x:c r="H184" s="28" t="str">
        <x:v>comforting</x:v>
      </x:c>
      <x:c r="I184" s="28"/>
      <x:c r="J184" s="28" t="str">
        <x:v>savory</x:v>
      </x:c>
      <x:c r="K184" s="28" t="str">
        <x:v>aromatic</x:v>
      </x:c>
      <x:c r="L184" s="28" t="str">
        <x:v>tender</x:v>
      </x:c>
      <x:c r="M184" s="28"/>
      <x:c r="N184" s="28" t="n">
        <x:v>3</x:v>
      </x:c>
      <x:c r="O184" s="28" t="str">
        <x:v>South Asian slow-cooked trotter stew with warming spices and a deeply gelatinous broth.</x:v>
      </x:c>
      <x:c r="P184" s="28" t="str">
        <x:v>Paya is a South Asian stew made by slowly simmering goat, lamb, or beef trotters with aromatics and spices until the broth becomes rich and gelatinous. It is commonly served with naan or other breads.</x:v>
      </x:c>
      <x:c r="Q184" s="28" t="str">
        <x:v>needs-review</x:v>
      </x:c>
      <x:c r="R184" s="28" t="str">
        <x:v>Batch 8 candidate. Pakistan used for catalog grouping while acknowledging wider South Asian traditions.</x:v>
      </x:c>
      <x:c r="S184" s="28" t="str">
        <x:f>IF(A184="","",IF(COUNTIF($A$5:$A$205,A184)&gt;1,"DUPLICATE ID",IF(AND(Q184="approved",COUNTIFS(Sources!$A$5:$A$404,A184,Sources!$F$5:$F$404,TRUE)=0),"NEEDS SOURCE",IF(AND(Q184="approved",COUNTIFS(Images!$A$5:$A$304,A184,Images!$H$5:$H$304,TRUE,Images!$I$5:$I$304,"approved")&lt;&gt;1),"NEEDS PRIMARY IMAGE","OK"))))</x:f>
        <x:v>OK</x:v>
      </x:c>
    </x:row>
    <x:row r="185">
      <x:c r="A185" s="28" t="str">
        <x:v>chicken-chettinad</x:v>
      </x:c>
      <x:c r="B185" s="28" t="str">
        <x:v>Chicken Chettinad</x:v>
      </x:c>
      <x:c r="C185" s="28" t="str">
        <x:v>Chettinad Chicken</x:v>
      </x:c>
      <x:c r="D185" s="28" t="str">
        <x:v>IN</x:v>
      </x:c>
      <x:c r="E185" s="28" t="str">
        <x:v>south-asia</x:v>
      </x:c>
      <x:c r="F185" s="28" t="str">
        <x:v>grilled-protein</x:v>
      </x:c>
      <x:c r="G185" s="28" t="str">
        <x:v>spicy</x:v>
      </x:c>
      <x:c r="H185" s="28"/>
      <x:c r="I185" s="28"/>
      <x:c r="J185" s="28" t="str">
        <x:v>aromatic</x:v>
      </x:c>
      <x:c r="K185" s="28" t="str">
        <x:v>savory</x:v>
      </x:c>
      <x:c r="L185" s="28" t="str">
        <x:v>smoky</x:v>
      </x:c>
      <x:c r="M185" s="28"/>
      <x:c r="N185" s="28" t="n">
        <x:v>2</x:v>
      </x:c>
      <x:c r="O185" s="28" t="str">
        <x:v>Tamil chicken cooked with a bold Chettinad spice blend, aromatics, and roasted seasonings.</x:v>
      </x:c>
      <x:c r="P185" s="28" t="str">
        <x:v>Chicken Chettinad is associated with the Chettinad region of Tamil Nadu and uses an intensely aromatic mixture of spices, chiles, curry leaves, and other seasonings. The chicken cooks in the masala until deeply flavored and tender.</x:v>
      </x:c>
      <x:c r="Q185" s="28" t="str">
        <x:v>needs-review</x:v>
      </x:c>
      <x:c r="R185" s="28" t="str">
        <x:v>Batch 8 candidate. Grilled/Protein is Nom's broad protein category; the chicken is typically cooked in a masala rather than grilled.</x:v>
      </x:c>
      <x:c r="S185" s="28" t="str">
        <x:f>IF(A185="","",IF(COUNTIF($A$5:$A$205,A185)&gt;1,"DUPLICATE ID",IF(AND(Q185="approved",COUNTIFS(Sources!$A$5:$A$404,A185,Sources!$F$5:$F$404,TRUE)=0),"NEEDS SOURCE",IF(AND(Q185="approved",COUNTIFS(Images!$A$5:$A$304,A185,Images!$H$5:$H$304,TRUE,Images!$I$5:$I$304,"approved")&lt;&gt;1),"NEEDS PRIMARY IMAGE","OK"))))</x:f>
        <x:v>OK</x:v>
      </x:c>
    </x:row>
    <x:row r="186">
      <x:c r="A186" s="28" t="str">
        <x:v>mandi</x:v>
      </x:c>
      <x:c r="B186" s="28" t="str">
        <x:v>Mandi</x:v>
      </x:c>
      <x:c r="C186" s="28" t="str">
        <x:v>Yemeni Mandi</x:v>
      </x:c>
      <x:c r="D186" s="28" t="str">
        <x:v>YE</x:v>
      </x:c>
      <x:c r="E186" s="28" t="str">
        <x:v>middle-east</x:v>
      </x:c>
      <x:c r="F186" s="28" t="str">
        <x:v>rice</x:v>
      </x:c>
      <x:c r="G186" s="28" t="str">
        <x:v>comforting</x:v>
      </x:c>
      <x:c r="H186" s="28"/>
      <x:c r="I186" s="28"/>
      <x:c r="J186" s="28" t="str">
        <x:v>aromatic</x:v>
      </x:c>
      <x:c r="K186" s="28" t="str">
        <x:v>smoky</x:v>
      </x:c>
      <x:c r="L186" s="28" t="str">
        <x:v>tender</x:v>
      </x:c>
      <x:c r="M186" s="28"/>
      <x:c r="N186" s="28" t="n">
        <x:v>2</x:v>
      </x:c>
      <x:c r="O186" s="28" t="str">
        <x:v>Yemeni spiced rice topped with slow-cooked meat and a distinctive smoky aroma.</x:v>
      </x:c>
      <x:c r="P186" s="28" t="str">
        <x:v>Mandi is a Yemeni rice-and-meat dish in which fragrant rice is served with chicken, lamb, or another meat cooked until tender. Traditional preparations develop a smoky character from cooking methods associated with an underground or enclosed oven.</x:v>
      </x:c>
      <x:c r="Q186" s="28" t="str">
        <x:v>needs-review</x:v>
      </x:c>
      <x:c r="R186" s="28" t="str">
        <x:v>Batch 8 candidate. Adventure level is a Nom product heuristic.</x:v>
      </x:c>
      <x:c r="S186" s="28" t="str">
        <x:f>IF(A186="","",IF(COUNTIF($A$5:$A$205,A186)&gt;1,"DUPLICATE ID",IF(AND(Q186="approved",COUNTIFS(Sources!$A$5:$A$404,A186,Sources!$F$5:$F$404,TRUE)=0),"NEEDS SOURCE",IF(AND(Q186="approved",COUNTIFS(Images!$A$5:$A$304,A186,Images!$H$5:$H$304,TRUE,Images!$I$5:$I$304,"approved")&lt;&gt;1),"NEEDS PRIMARY IMAGE","OK"))))</x:f>
        <x:v>OK</x:v>
      </x:c>
    </x:row>
    <x:row r="187">
      <x:c r="A187" s="28" t="str">
        <x:v>shish-barak</x:v>
      </x:c>
      <x:c r="B187" s="28" t="str">
        <x:v>Shish Barak</x:v>
      </x:c>
      <x:c r="C187" s="28" t="str">
        <x:v>Shishbarak|Shushbarak</x:v>
      </x:c>
      <x:c r="D187" s="28" t="str">
        <x:v>LB</x:v>
      </x:c>
      <x:c r="E187" s="28" t="str">
        <x:v>middle-east</x:v>
      </x:c>
      <x:c r="F187" s="28" t="str">
        <x:v>soup-broth</x:v>
      </x:c>
      <x:c r="G187" s="28" t="str">
        <x:v>rich</x:v>
      </x:c>
      <x:c r="H187" s="28" t="str">
        <x:v>tangy</x:v>
      </x:c>
      <x:c r="I187" s="28"/>
      <x:c r="J187" s="28" t="str">
        <x:v>creamy</x:v>
      </x:c>
      <x:c r="K187" s="28" t="str">
        <x:v>savory</x:v>
      </x:c>
      <x:c r="L187" s="28" t="str">
        <x:v>garlicky</x:v>
      </x:c>
      <x:c r="M187" s="28"/>
      <x:c r="N187" s="28" t="n">
        <x:v>3</x:v>
      </x:c>
      <x:c r="O187" s="28" t="str">
        <x:v>Levantine meat dumplings simmered in a tangy yogurt sauce with garlic and herbs.</x:v>
      </x:c>
      <x:c r="P187" s="28" t="str">
        <x:v>Shish barak is a Levantine dumpling dish made from small meat-filled dough parcels cooked in a warm yogurt-based sauce. Garlic, herbs, and sometimes rice accompany the dumplings, producing a creamy, tangy, savory meal.</x:v>
      </x:c>
      <x:c r="Q187" s="28" t="str">
        <x:v>needs-review</x:v>
      </x:c>
      <x:c r="R187" s="28" t="str">
        <x:v>Batch 8 candidate. Lebanon used for catalog grouping while acknowledging wider Levantine traditions.</x:v>
      </x:c>
      <x:c r="S187" s="28" t="str">
        <x:f>IF(A187="","",IF(COUNTIF($A$5:$A$205,A187)&gt;1,"DUPLICATE ID",IF(AND(Q187="approved",COUNTIFS(Sources!$A$5:$A$404,A187,Sources!$F$5:$F$404,TRUE)=0),"NEEDS SOURCE",IF(AND(Q187="approved",COUNTIFS(Images!$A$5:$A$304,A187,Images!$H$5:$H$304,TRUE,Images!$I$5:$I$304,"approved")&lt;&gt;1),"NEEDS PRIMARY IMAGE","OK"))))</x:f>
        <x:v>OK</x:v>
      </x:c>
    </x:row>
    <x:row r="188">
      <x:c r="A188" s="28" t="str">
        <x:v>maftoul</x:v>
      </x:c>
      <x:c r="B188" s="28" t="str">
        <x:v>Maftoul</x:v>
      </x:c>
      <x:c r="C188" s="28" t="str">
        <x:v>Palestinian Couscous</x:v>
      </x:c>
      <x:c r="D188" s="28" t="str">
        <x:v>PS</x:v>
      </x:c>
      <x:c r="E188" s="28" t="str">
        <x:v>middle-east</x:v>
      </x:c>
      <x:c r="F188" s="28" t="str">
        <x:v>rice</x:v>
      </x:c>
      <x:c r="G188" s="28" t="str">
        <x:v>comforting</x:v>
      </x:c>
      <x:c r="H188" s="28"/>
      <x:c r="I188" s="28"/>
      <x:c r="J188" s="28" t="str">
        <x:v>savory</x:v>
      </x:c>
      <x:c r="K188" s="28" t="str">
        <x:v>earthy</x:v>
      </x:c>
      <x:c r="L188" s="28" t="str">
        <x:v>aromatic</x:v>
      </x:c>
      <x:c r="M188" s="28"/>
      <x:c r="N188" s="28" t="n">
        <x:v>3</x:v>
      </x:c>
      <x:c r="O188" s="28" t="str">
        <x:v>Palestinian hand-rolled wheat grains steamed and served with chickpeas, vegetables, and broth.</x:v>
      </x:c>
      <x:c r="P188" s="28" t="str">
        <x:v>Maftoul is a Palestinian hand-rolled wheat product similar in appearance to large couscous. It is traditionally steamed and served with chickpeas, onions, vegetables, chicken, or a spiced broth.</x:v>
      </x:c>
      <x:c r="Q188" s="28" t="str">
        <x:v>needs-review</x:v>
      </x:c>
      <x:c r="R188" s="28" t="str">
        <x:v>Batch 8 candidate. Rice is Nom's closest grain-base category; maftoul is wheat, not rice.</x:v>
      </x:c>
      <x:c r="S188" s="28" t="str">
        <x:f>IF(A188="","",IF(COUNTIF($A$5:$A$205,A188)&gt;1,"DUPLICATE ID",IF(AND(Q188="approved",COUNTIFS(Sources!$A$5:$A$404,A188,Sources!$F$5:$F$404,TRUE)=0),"NEEDS SOURCE",IF(AND(Q188="approved",COUNTIFS(Images!$A$5:$A$304,A188,Images!$H$5:$H$304,TRUE,Images!$I$5:$I$304,"approved")&lt;&gt;1),"NEEDS PRIMARY IMAGE","OK"))))</x:f>
        <x:v>OK</x:v>
      </x:c>
    </x:row>
    <x:row r="189">
      <x:c r="A189" s="28" t="str">
        <x:v>sambousek</x:v>
      </x:c>
      <x:c r="B189" s="28" t="str">
        <x:v>Sambousek</x:v>
      </x:c>
      <x:c r="C189" s="28" t="str">
        <x:v>Sambusak|Sambouseh</x:v>
      </x:c>
      <x:c r="D189" s="28" t="str">
        <x:v>LB</x:v>
      </x:c>
      <x:c r="E189" s="28" t="str">
        <x:v>middle-east</x:v>
      </x:c>
      <x:c r="F189" s="28" t="str">
        <x:v>handheld</x:v>
      </x:c>
      <x:c r="G189" s="28" t="str">
        <x:v>rich</x:v>
      </x:c>
      <x:c r="H189" s="28"/>
      <x:c r="I189" s="28"/>
      <x:c r="J189" s="28" t="str">
        <x:v>savory</x:v>
      </x:c>
      <x:c r="K189" s="28" t="str">
        <x:v>aromatic</x:v>
      </x:c>
      <x:c r="L189" s="28" t="str">
        <x:v>tender</x:v>
      </x:c>
      <x:c r="M189" s="28"/>
      <x:c r="N189" s="28" t="n">
        <x:v>2</x:v>
      </x:c>
      <x:c r="O189" s="28" t="str">
        <x:v>Levantine savory pastry filled with meat, cheese, or vegetables and baked or fried.</x:v>
      </x:c>
      <x:c r="P189" s="28" t="str">
        <x:v>Sambousek are small filled pastries found across the Levant and Middle East. Thin dough is folded around fillings such as seasoned meat, cheese, spinach, or other vegetables, then baked or fried until golden.</x:v>
      </x:c>
      <x:c r="Q189" s="28" t="str">
        <x:v>needs-review</x:v>
      </x:c>
      <x:c r="R189" s="28" t="str">
        <x:v>Batch 8 candidate. Lebanon used for catalog grouping; naming and fillings vary across the region.</x:v>
      </x:c>
      <x:c r="S189" s="28" t="str">
        <x:f>IF(A189="","",IF(COUNTIF($A$5:$A$205,A189)&gt;1,"DUPLICATE ID",IF(AND(Q189="approved",COUNTIFS(Sources!$A$5:$A$404,A189,Sources!$F$5:$F$404,TRUE)=0),"NEEDS SOURCE",IF(AND(Q189="approved",COUNTIFS(Images!$A$5:$A$304,A189,Images!$H$5:$H$304,TRUE,Images!$I$5:$I$304,"approved")&lt;&gt;1),"NEEDS PRIMARY IMAGE","OK"))))</x:f>
        <x:v>OK</x:v>
      </x:c>
    </x:row>
    <x:row r="190">
      <x:c r="A190" s="28" t="str">
        <x:v>pepper-soup</x:v>
      </x:c>
      <x:c r="B190" s="28" t="str">
        <x:v>Pepper Soup</x:v>
      </x:c>
      <x:c r="C190" s="28" t="str">
        <x:v>Nigerian Pepper Soup</x:v>
      </x:c>
      <x:c r="D190" s="28" t="str">
        <x:v>NG</x:v>
      </x:c>
      <x:c r="E190" s="28" t="str">
        <x:v>africa</x:v>
      </x:c>
      <x:c r="F190" s="28" t="str">
        <x:v>soup-broth</x:v>
      </x:c>
      <x:c r="G190" s="28" t="str">
        <x:v>spicy</x:v>
      </x:c>
      <x:c r="H190" s="28"/>
      <x:c r="I190" s="28"/>
      <x:c r="J190" s="28" t="str">
        <x:v>aromatic</x:v>
      </x:c>
      <x:c r="K190" s="28" t="str">
        <x:v>savory</x:v>
      </x:c>
      <x:c r="L190" s="28" t="str">
        <x:v>light</x:v>
      </x:c>
      <x:c r="M190" s="28"/>
      <x:c r="N190" s="28" t="n">
        <x:v>3</x:v>
      </x:c>
      <x:c r="O190" s="28" t="str">
        <x:v>West African spicy broth with meat or fish and a fragrant blend of local spices.</x:v>
      </x:c>
      <x:c r="P190" s="28" t="str">
        <x:v>Pepper soup is a West African soup especially popular in Nigeria and neighboring countries. Goat, beef, chicken, fish, or offal may be simmered in a thin, intensely aromatic broth seasoned with chile and regional spice blends.</x:v>
      </x:c>
      <x:c r="Q190" s="28" t="str">
        <x:v>needs-review</x:v>
      </x:c>
      <x:c r="R190" s="28" t="str">
        <x:v>Batch 8 candidate. Nigeria used for catalog grouping while acknowledging wider West African traditions.</x:v>
      </x:c>
      <x:c r="S190" s="28" t="str">
        <x:f>IF(A190="","",IF(COUNTIF($A$5:$A$205,A190)&gt;1,"DUPLICATE ID",IF(AND(Q190="approved",COUNTIFS(Sources!$A$5:$A$404,A190,Sources!$F$5:$F$404,TRUE)=0),"NEEDS SOURCE",IF(AND(Q190="approved",COUNTIFS(Images!$A$5:$A$304,A190,Images!$H$5:$H$304,TRUE,Images!$I$5:$I$304,"approved")&lt;&gt;1),"NEEDS PRIMARY IMAGE","OK"))))</x:f>
        <x:v>OK</x:v>
      </x:c>
    </x:row>
    <x:row r="191">
      <x:c r="A191" s="28" t="str">
        <x:v>kitfo</x:v>
      </x:c>
      <x:c r="B191" s="28" t="str">
        <x:v>Kitfo</x:v>
      </x:c>
      <x:c r="C191" s="28"/>
      <x:c r="D191" s="28" t="str">
        <x:v>ET</x:v>
      </x:c>
      <x:c r="E191" s="28" t="str">
        <x:v>africa</x:v>
      </x:c>
      <x:c r="F191" s="28" t="str">
        <x:v>grilled-protein</x:v>
      </x:c>
      <x:c r="G191" s="28" t="str">
        <x:v>rich</x:v>
      </x:c>
      <x:c r="H191" s="28" t="str">
        <x:v>spicy</x:v>
      </x:c>
      <x:c r="I191" s="28"/>
      <x:c r="J191" s="28" t="str">
        <x:v>savory</x:v>
      </x:c>
      <x:c r="K191" s="28" t="str">
        <x:v>buttery</x:v>
      </x:c>
      <x:c r="L191" s="28" t="str">
        <x:v>tender</x:v>
      </x:c>
      <x:c r="M191" s="28"/>
      <x:c r="N191" s="28" t="n">
        <x:v>3</x:v>
      </x:c>
      <x:c r="O191" s="28" t="str">
        <x:v>Ethiopian finely minced beef seasoned with spiced clarified butter and mitmita.</x:v>
      </x:c>
      <x:c r="P191" s="28" t="str">
        <x:v>Kitfo is an Ethiopian dish of finely minced beef mixed with niter kibbeh, a spiced clarified butter, and mitmita or other seasonings. It may be served raw, lightly warmed, or fully cooked with injera and fresh cheese or greens.</x:v>
      </x:c>
      <x:c r="Q191" s="28" t="str">
        <x:v>needs-review</x:v>
      </x:c>
      <x:c r="R191" s="28" t="str">
        <x:v>Batch 8 candidate. Grilled/Protein is Nom's broad protein category; traditional kitfo is not grilled.</x:v>
      </x:c>
      <x:c r="S191" s="28" t="str">
        <x:f>IF(A191="","",IF(COUNTIF($A$5:$A$205,A191)&gt;1,"DUPLICATE ID",IF(AND(Q191="approved",COUNTIFS(Sources!$A$5:$A$404,A191,Sources!$F$5:$F$404,TRUE)=0),"NEEDS SOURCE",IF(AND(Q191="approved",COUNTIFS(Images!$A$5:$A$304,A191,Images!$H$5:$H$304,TRUE,Images!$I$5:$I$304,"approved")&lt;&gt;1),"NEEDS PRIMARY IMAGE","OK"))))</x:f>
        <x:v>OK</x:v>
      </x:c>
    </x:row>
    <x:row r="192">
      <x:c r="A192" s="28" t="str">
        <x:v>tagliatelle-al-ragu</x:v>
      </x:c>
      <x:c r="B192" s="28" t="str">
        <x:v>Tagliatelle al Ragù</x:v>
      </x:c>
      <x:c r="C192" s="28" t="str">
        <x:v>Tagliatelle al Ragù Bolognese</x:v>
      </x:c>
      <x:c r="D192" s="28" t="str">
        <x:v>IT</x:v>
      </x:c>
      <x:c r="E192" s="28" t="str">
        <x:v>europe</x:v>
      </x:c>
      <x:c r="F192" s="28" t="str">
        <x:v>noodle</x:v>
      </x:c>
      <x:c r="G192" s="28" t="str">
        <x:v>rich</x:v>
      </x:c>
      <x:c r="H192" s="28" t="str">
        <x:v>comforting</x:v>
      </x:c>
      <x:c r="I192" s="28"/>
      <x:c r="J192" s="28" t="str">
        <x:v>savory</x:v>
      </x:c>
      <x:c r="K192" s="28" t="str">
        <x:v>tender</x:v>
      </x:c>
      <x:c r="L192" s="28" t="str">
        <x:v>aromatic</x:v>
      </x:c>
      <x:c r="M192" s="28"/>
      <x:c r="N192" s="28" t="n">
        <x:v>1</x:v>
      </x:c>
      <x:c r="O192" s="28" t="str">
        <x:v>Emilian ribbon pasta coated in a slow-cooked meat-and-tomato ragù.</x:v>
      </x:c>
      <x:c r="P192" s="28" t="str">
        <x:v>Tagliatelle al ragù is an Emilia-Romagna pasta preparation pairing broad egg noodles with a slowly cooked meat sauce. Bolognese-style ragù commonly includes minced meat, aromatic vegetables, wine, and a modest amount of tomato.</x:v>
      </x:c>
      <x:c r="Q192" s="28" t="str">
        <x:v>needs-review</x:v>
      </x:c>
      <x:c r="R192" s="28" t="str">
        <x:v>Batch 8 candidate. This row distinguishes the pasta dish from generic international 'spaghetti bolognese.'</x:v>
      </x:c>
      <x:c r="S192" s="28" t="str">
        <x:f>IF(A192="","",IF(COUNTIF($A$5:$A$205,A192)&gt;1,"DUPLICATE ID",IF(AND(Q192="approved",COUNTIFS(Sources!$A$5:$A$404,A192,Sources!$F$5:$F$404,TRUE)=0),"NEEDS SOURCE",IF(AND(Q192="approved",COUNTIFS(Images!$A$5:$A$304,A192,Images!$H$5:$H$304,TRUE,Images!$I$5:$I$304,"approved")&lt;&gt;1),"NEEDS PRIMARY IMAGE","OK"))))</x:f>
        <x:v>OK</x:v>
      </x:c>
    </x:row>
    <x:row r="193">
      <x:c r="A193" s="28" t="str">
        <x:v>minestrone</x:v>
      </x:c>
      <x:c r="B193" s="28" t="str">
        <x:v>Minestrone</x:v>
      </x:c>
      <x:c r="C193" s="28"/>
      <x:c r="D193" s="28" t="str">
        <x:v>IT</x:v>
      </x:c>
      <x:c r="E193" s="28" t="str">
        <x:v>europe</x:v>
      </x:c>
      <x:c r="F193" s="28" t="str">
        <x:v>soup-broth</x:v>
      </x:c>
      <x:c r="G193" s="28" t="str">
        <x:v>fresh</x:v>
      </x:c>
      <x:c r="H193" s="28" t="str">
        <x:v>comforting</x:v>
      </x:c>
      <x:c r="I193" s="28"/>
      <x:c r="J193" s="28" t="str">
        <x:v>savory</x:v>
      </x:c>
      <x:c r="K193" s="28" t="str">
        <x:v>herbal</x:v>
      </x:c>
      <x:c r="L193" s="28" t="str">
        <x:v>light</x:v>
      </x:c>
      <x:c r="M193" s="28"/>
      <x:c r="N193" s="28" t="n">
        <x:v>1</x:v>
      </x:c>
      <x:c r="O193" s="28" t="str">
        <x:v>Italian vegetable soup with beans, seasonal produce, and optional pasta or rice.</x:v>
      </x:c>
      <x:c r="P193" s="28" t="str">
        <x:v>Minestrone is an Italian vegetable soup without one fixed recipe. Common versions combine beans, onions, celery, carrots, tomatoes, leafy greens, and seasonal vegetables, sometimes with pasta or rice for extra body.</x:v>
      </x:c>
      <x:c r="Q193" s="28" t="str">
        <x:v>needs-review</x:v>
      </x:c>
      <x:c r="R193" s="28" t="str">
        <x:v>Batch 8 candidate. Fresh and comforting preferences reflect vegetable-forward common versions.</x:v>
      </x:c>
      <x:c r="S193" s="28" t="str">
        <x:f>IF(A193="","",IF(COUNTIF($A$5:$A$205,A193)&gt;1,"DUPLICATE ID",IF(AND(Q193="approved",COUNTIFS(Sources!$A$5:$A$404,A193,Sources!$F$5:$F$404,TRUE)=0),"NEEDS SOURCE",IF(AND(Q193="approved",COUNTIFS(Images!$A$5:$A$304,A193,Images!$H$5:$H$304,TRUE,Images!$I$5:$I$304,"approved")&lt;&gt;1),"NEEDS PRIMARY IMAGE","OK"))))</x:f>
        <x:v>OK</x:v>
      </x:c>
    </x:row>
    <x:row r="194">
      <x:c r="A194" s="28" t="str">
        <x:v>shepherds-pie</x:v>
      </x:c>
      <x:c r="B194" s="28" t="str">
        <x:v>Shepherd's Pie</x:v>
      </x:c>
      <x:c r="C194" s="28" t="str">
        <x:v>Cottage Pie</x:v>
      </x:c>
      <x:c r="D194" s="28" t="str">
        <x:v>GB</x:v>
      </x:c>
      <x:c r="E194" s="28" t="str">
        <x:v>europe</x:v>
      </x:c>
      <x:c r="F194" s="28" t="str">
        <x:v>grilled-protein</x:v>
      </x:c>
      <x:c r="G194" s="28" t="str">
        <x:v>rich</x:v>
      </x:c>
      <x:c r="H194" s="28" t="str">
        <x:v>comforting</x:v>
      </x:c>
      <x:c r="I194" s="28"/>
      <x:c r="J194" s="28" t="str">
        <x:v>savory</x:v>
      </x:c>
      <x:c r="K194" s="28" t="str">
        <x:v>creamy</x:v>
      </x:c>
      <x:c r="L194" s="28" t="str">
        <x:v>tender</x:v>
      </x:c>
      <x:c r="M194" s="28"/>
      <x:c r="N194" s="28" t="n">
        <x:v>1</x:v>
      </x:c>
      <x:c r="O194" s="28" t="str">
        <x:v>British baked meat-and-vegetable filling topped with a browned layer of mashed potato.</x:v>
      </x:c>
      <x:c r="P194" s="28" t="str">
        <x:v>Shepherd's pie is a British and Irish-style baked dish made from minced lamb and vegetables covered with mashed potato and browned in the oven. The closely related cottage pie traditionally uses beef.</x:v>
      </x:c>
      <x:c r="Q194" s="28" t="str">
        <x:v>needs-review</x:v>
      </x:c>
      <x:c r="R194" s="28" t="str">
        <x:v>Batch 8 candidate. Grilled/Protein is Nom's broad protein category; the dish is baked.</x:v>
      </x:c>
      <x:c r="S194" s="28" t="str">
        <x:f>IF(A194="","",IF(COUNTIF($A$5:$A$205,A194)&gt;1,"DUPLICATE ID",IF(AND(Q194="approved",COUNTIFS(Sources!$A$5:$A$404,A194,Sources!$F$5:$F$404,TRUE)=0),"NEEDS SOURCE",IF(AND(Q194="approved",COUNTIFS(Images!$A$5:$A$304,A194,Images!$H$5:$H$304,TRUE,Images!$I$5:$I$304,"approved")&lt;&gt;1),"NEEDS PRIMARY IMAGE","OK"))))</x:f>
        <x:v>OK</x:v>
      </x:c>
    </x:row>
    <x:row r="195">
      <x:c r="A195" s="28" t="str">
        <x:v>arroz-con-coco</x:v>
      </x:c>
      <x:c r="B195" s="28" t="str">
        <x:v>Arroz con Coco</x:v>
      </x:c>
      <x:c r="C195" s="28" t="str">
        <x:v>Coconut Rice</x:v>
      </x:c>
      <x:c r="D195" s="28" t="str">
        <x:v>CO</x:v>
      </x:c>
      <x:c r="E195" s="28" t="str">
        <x:v>latin-america</x:v>
      </x:c>
      <x:c r="F195" s="28" t="str">
        <x:v>rice</x:v>
      </x:c>
      <x:c r="G195" s="28" t="str">
        <x:v>rich</x:v>
      </x:c>
      <x:c r="H195" s="28"/>
      <x:c r="I195" s="28"/>
      <x:c r="J195" s="28" t="str">
        <x:v>creamy</x:v>
      </x:c>
      <x:c r="K195" s="28" t="str">
        <x:v>aromatic</x:v>
      </x:c>
      <x:c r="L195" s="28" t="str">
        <x:v>sweet</x:v>
      </x:c>
      <x:c r="M195" s="28"/>
      <x:c r="N195" s="28" t="n">
        <x:v>2</x:v>
      </x:c>
      <x:c r="O195" s="28" t="str">
        <x:v>Colombian Caribbean coconut rice with a fragrant, lightly sweet-savory profile.</x:v>
      </x:c>
      <x:c r="P195" s="28" t="str">
        <x:v>Arroz con coco is a coconut-rice preparation associated with Colombia's Caribbean coast and other parts of Latin America and the Caribbean. Rice is cooked with coconut milk or reduced coconut, producing a fragrant, rich flavor that may lean lightly sweet.</x:v>
      </x:c>
      <x:c r="Q195" s="28" t="str">
        <x:v>needs-review</x:v>
      </x:c>
      <x:c r="R195" s="28" t="str">
        <x:v>Batch 8 candidate. Colombia used for catalog grouping; coconut-rice traditions span the Caribbean.</x:v>
      </x:c>
      <x:c r="S195" s="28" t="str">
        <x:f>IF(A195="","",IF(COUNTIF($A$5:$A$205,A195)&gt;1,"DUPLICATE ID",IF(AND(Q195="approved",COUNTIFS(Sources!$A$5:$A$404,A195,Sources!$F$5:$F$404,TRUE)=0),"NEEDS SOURCE",IF(AND(Q195="approved",COUNTIFS(Images!$A$5:$A$304,A195,Images!$H$5:$H$304,TRUE,Images!$I$5:$I$304,"approved")&lt;&gt;1),"NEEDS PRIMARY IMAGE","OK"))))</x:f>
        <x:v>OK</x:v>
      </x:c>
    </x:row>
    <x:row r="196">
      <x:c r="A196" s="28" t="str">
        <x:v>pozole</x:v>
      </x:c>
      <x:c r="B196" s="28" t="str">
        <x:v>Pozole</x:v>
      </x:c>
      <x:c r="C196" s="28" t="str">
        <x:v>Posole</x:v>
      </x:c>
      <x:c r="D196" s="28" t="str">
        <x:v>MX</x:v>
      </x:c>
      <x:c r="E196" s="28" t="str">
        <x:v>latin-america</x:v>
      </x:c>
      <x:c r="F196" s="28" t="str">
        <x:v>soup-broth</x:v>
      </x:c>
      <x:c r="G196" s="28" t="str">
        <x:v>fresh</x:v>
      </x:c>
      <x:c r="H196" s="28"/>
      <x:c r="I196" s="28"/>
      <x:c r="J196" s="28" t="str">
        <x:v>savory</x:v>
      </x:c>
      <x:c r="K196" s="28" t="str">
        <x:v>aromatic</x:v>
      </x:c>
      <x:c r="L196" s="28" t="str">
        <x:v>tender</x:v>
      </x:c>
      <x:c r="M196" s="28"/>
      <x:c r="N196" s="28" t="n">
        <x:v>2</x:v>
      </x:c>
      <x:c r="O196" s="28" t="str">
        <x:v>Mexican hominy stew with pork or chicken and a tableful of crisp, fresh garnishes.</x:v>
      </x:c>
      <x:c r="P196" s="28" t="str">
        <x:v>Pozole is a Mexican soup or stew built around nixtamalized hominy and commonly pork or chicken. Red, green, and white regional styles are served with fresh garnishes such as lettuce, radish, onion, lime, and chile.</x:v>
      </x:c>
      <x:c r="Q196" s="28" t="str">
        <x:v>needs-review</x:v>
      </x:c>
      <x:c r="R196" s="28" t="str">
        <x:v>Batch 8 candidate. Spiciness depends on regional style and garnishes.</x:v>
      </x:c>
      <x:c r="S196" s="28" t="str">
        <x:f>IF(A196="","",IF(COUNTIF($A$5:$A$205,A196)&gt;1,"DUPLICATE ID",IF(AND(Q196="approved",COUNTIFS(Sources!$A$5:$A$404,A196,Sources!$F$5:$F$404,TRUE)=0),"NEEDS SOURCE",IF(AND(Q196="approved",COUNTIFS(Images!$A$5:$A$304,A196,Images!$H$5:$H$304,TRUE,Images!$I$5:$I$304,"approved")&lt;&gt;1),"NEEDS PRIMARY IMAGE","OK"))))</x:f>
        <x:v>OK</x:v>
      </x:c>
    </x:row>
    <x:row r="197">
      <x:c r="A197" s="28" t="str">
        <x:v>locro</x:v>
      </x:c>
      <x:c r="B197" s="28" t="str">
        <x:v>Locro</x:v>
      </x:c>
      <x:c r="C197" s="28" t="str">
        <x:v>Locro de Papa|Andean Locro</x:v>
      </x:c>
      <x:c r="D197" s="28" t="str">
        <x:v>AR</x:v>
      </x:c>
      <x:c r="E197" s="28" t="str">
        <x:v>latin-america</x:v>
      </x:c>
      <x:c r="F197" s="28" t="str">
        <x:v>soup-broth</x:v>
      </x:c>
      <x:c r="G197" s="28" t="str">
        <x:v>rich</x:v>
      </x:c>
      <x:c r="H197" s="28" t="str">
        <x:v>comforting</x:v>
      </x:c>
      <x:c r="I197" s="28"/>
      <x:c r="J197" s="28" t="str">
        <x:v>savory</x:v>
      </x:c>
      <x:c r="K197" s="28" t="str">
        <x:v>earthy</x:v>
      </x:c>
      <x:c r="L197" s="28" t="str">
        <x:v>creamy</x:v>
      </x:c>
      <x:c r="M197" s="28"/>
      <x:c r="N197" s="28" t="n">
        <x:v>3</x:v>
      </x:c>
      <x:c r="O197" s="28" t="str">
        <x:v>Andean thick stew of corn, beans, squash, potatoes, and regional meats or cheese.</x:v>
      </x:c>
      <x:c r="P197" s="28" t="str">
        <x:v>Locro is a thick Andean stew with many regional forms. Argentine preparations often combine corn, beans, squash, potato, and meat, while other Andean versions use different vegetables, cheese, or seasonings.</x:v>
      </x:c>
      <x:c r="Q197" s="28" t="str">
        <x:v>needs-review</x:v>
      </x:c>
      <x:c r="R197" s="28" t="str">
        <x:v>Batch 8 candidate. Argentina used for catalog grouping while acknowledging broader Andean traditions.</x:v>
      </x:c>
      <x:c r="S197" s="28" t="str">
        <x:f>IF(A197="","",IF(COUNTIF($A$5:$A$205,A197)&gt;1,"DUPLICATE ID",IF(AND(Q197="approved",COUNTIFS(Sources!$A$5:$A$404,A197,Sources!$F$5:$F$404,TRUE)=0),"NEEDS SOURCE",IF(AND(Q197="approved",COUNTIFS(Images!$A$5:$A$304,A197,Images!$H$5:$H$304,TRUE,Images!$I$5:$I$304,"approved")&lt;&gt;1),"NEEDS PRIMARY IMAGE","OK"))))</x:f>
        <x:v>OK</x:v>
      </x:c>
    </x:row>
    <x:row r="198">
      <x:c r="A198" s="28" t="str">
        <x:v>mofongo</x:v>
      </x:c>
      <x:c r="B198" s="28" t="str">
        <x:v>Mofongo</x:v>
      </x:c>
      <x:c r="C198" s="28"/>
      <x:c r="D198" s="28" t="str">
        <x:v>PR</x:v>
      </x:c>
      <x:c r="E198" s="28" t="str">
        <x:v>latin-america</x:v>
      </x:c>
      <x:c r="F198" s="28" t="str">
        <x:v>rice</x:v>
      </x:c>
      <x:c r="G198" s="28" t="str">
        <x:v>rich</x:v>
      </x:c>
      <x:c r="H198" s="28" t="str">
        <x:v>comforting</x:v>
      </x:c>
      <x:c r="I198" s="28"/>
      <x:c r="J198" s="28" t="str">
        <x:v>savory</x:v>
      </x:c>
      <x:c r="K198" s="28" t="str">
        <x:v>garlicky</x:v>
      </x:c>
      <x:c r="L198" s="28" t="str">
        <x:v>earthy</x:v>
      </x:c>
      <x:c r="M198" s="28"/>
      <x:c r="N198" s="28" t="n">
        <x:v>2</x:v>
      </x:c>
      <x:c r="O198" s="28" t="str">
        <x:v>Puerto Rican mashed fried plantain seasoned with garlic and filled or topped with savory proteins.</x:v>
      </x:c>
      <x:c r="P198" s="28" t="str">
        <x:v>Mofongo is a Puerto Rican dish made by frying green plantains and mashing them with garlic, fat, and crisp pork or other seasonings. It may be shaped into a mound and served with broth, seafood, chicken, pork, or other toppings.</x:v>
      </x:c>
      <x:c r="Q198" s="28" t="str">
        <x:v>needs-review</x:v>
      </x:c>
      <x:c r="R198" s="28" t="str">
        <x:v>Batch 8 candidate. Rice is Nom's closest starch-base category; mofongo is plantain-based, not rice.</x:v>
      </x:c>
      <x:c r="S198" s="28" t="str">
        <x:f>IF(A198="","",IF(COUNTIF($A$5:$A$205,A198)&gt;1,"DUPLICATE ID",IF(AND(Q198="approved",COUNTIFS(Sources!$A$5:$A$404,A198,Sources!$F$5:$F$404,TRUE)=0),"NEEDS SOURCE",IF(AND(Q198="approved",COUNTIFS(Images!$A$5:$A$304,A198,Images!$H$5:$H$304,TRUE,Images!$I$5:$I$304,"approved")&lt;&gt;1),"NEEDS PRIMARY IMAGE","OK"))))</x:f>
        <x:v>OK</x:v>
      </x:c>
    </x:row>
    <x:row r="199">
      <x:c r="A199" s="28" t="str">
        <x:v>red-beans-and-rice</x:v>
      </x:c>
      <x:c r="B199" s="28" t="str">
        <x:v>Red Beans and Rice</x:v>
      </x:c>
      <x:c r="C199" s="28" t="str">
        <x:v>Louisiana Red Beans and Rice</x:v>
      </x:c>
      <x:c r="D199" s="28" t="str">
        <x:v>US</x:v>
      </x:c>
      <x:c r="E199" s="28" t="str">
        <x:v>north-america</x:v>
      </x:c>
      <x:c r="F199" s="28" t="str">
        <x:v>rice</x:v>
      </x:c>
      <x:c r="G199" s="28" t="str">
        <x:v>comforting</x:v>
      </x:c>
      <x:c r="H199" s="28" t="str">
        <x:v>rich</x:v>
      </x:c>
      <x:c r="I199" s="28"/>
      <x:c r="J199" s="28" t="str">
        <x:v>savory</x:v>
      </x:c>
      <x:c r="K199" s="28" t="str">
        <x:v>smoky</x:v>
      </x:c>
      <x:c r="L199" s="28" t="str">
        <x:v>earthy</x:v>
      </x:c>
      <x:c r="M199" s="28"/>
      <x:c r="N199" s="28" t="n">
        <x:v>1</x:v>
      </x:c>
      <x:c r="O199" s="28" t="str">
        <x:v>Louisiana red beans slow-cooked with aromatics and sausage, served over rice.</x:v>
      </x:c>
      <x:c r="P199" s="28" t="str">
        <x:v>Red beans and rice is a Louisiana Creole dish in which red beans are slow-cooked with onion, celery, bell pepper, seasonings, and often sausage or other pork, then spooned over white rice.</x:v>
      </x:c>
      <x:c r="Q199" s="28" t="str">
        <x:v>needs-review</x:v>
      </x:c>
      <x:c r="R199" s="28" t="str">
        <x:v>Batch 8 candidate. Familiarity level is a Nom product heuristic.</x:v>
      </x:c>
      <x:c r="S199" s="28" t="str">
        <x:f>IF(A199="","",IF(COUNTIF($A$5:$A$205,A199)&gt;1,"DUPLICATE ID",IF(AND(Q199="approved",COUNTIFS(Sources!$A$5:$A$404,A199,Sources!$F$5:$F$404,TRUE)=0),"NEEDS SOURCE",IF(AND(Q199="approved",COUNTIFS(Images!$A$5:$A$304,A199,Images!$H$5:$H$304,TRUE,Images!$I$5:$I$304,"approved")&lt;&gt;1),"NEEDS PRIMARY IMAGE","OK"))))</x:f>
        <x:v>OK</x:v>
      </x:c>
    </x:row>
    <x:row r="200">
      <x:c r="A200" s="28" t="str">
        <x:v>crawfish-etouffee</x:v>
      </x:c>
      <x:c r="B200" s="28" t="str">
        <x:v>Crawfish Étouffée</x:v>
      </x:c>
      <x:c r="C200" s="28" t="str">
        <x:v>Crawfish Etouffee|Étouffée</x:v>
      </x:c>
      <x:c r="D200" s="28" t="str">
        <x:v>US</x:v>
      </x:c>
      <x:c r="E200" s="28" t="str">
        <x:v>north-america</x:v>
      </x:c>
      <x:c r="F200" s="28" t="str">
        <x:v>rice</x:v>
      </x:c>
      <x:c r="G200" s="28" t="str">
        <x:v>rich</x:v>
      </x:c>
      <x:c r="H200" s="28" t="str">
        <x:v>comforting</x:v>
      </x:c>
      <x:c r="I200" s="28"/>
      <x:c r="J200" s="28" t="str">
        <x:v>savory</x:v>
      </x:c>
      <x:c r="K200" s="28" t="str">
        <x:v>creamy</x:v>
      </x:c>
      <x:c r="L200" s="28" t="str">
        <x:v>aromatic</x:v>
      </x:c>
      <x:c r="M200" s="28"/>
      <x:c r="N200" s="28" t="n">
        <x:v>2</x:v>
      </x:c>
      <x:c r="O200" s="28" t="str">
        <x:v>Louisiana crawfish in a thick, seasoned sauce served generously over rice.</x:v>
      </x:c>
      <x:c r="P200" s="28" t="str">
        <x:v>Crawfish étouffée is a Louisiana dish in which crawfish are smothered in a thick, seasoned sauce based on butter or roux with onion, celery, bell pepper, and spices. It is traditionally served over rice.</x:v>
      </x:c>
      <x:c r="Q200" s="28" t="str">
        <x:v>needs-review</x:v>
      </x:c>
      <x:c r="R200" s="28" t="str">
        <x:v>Batch 8 candidate. Louisiana Creole and Cajun versions differ in technique and ingredients.</x:v>
      </x:c>
      <x:c r="S200" s="28" t="str">
        <x:f>IF(A200="","",IF(COUNTIF($A$5:$A$205,A200)&gt;1,"DUPLICATE ID",IF(AND(Q200="approved",COUNTIFS(Sources!$A$5:$A$404,A200,Sources!$F$5:$F$404,TRUE)=0),"NEEDS SOURCE",IF(AND(Q200="approved",COUNTIFS(Images!$A$5:$A$304,A200,Images!$H$5:$H$304,TRUE,Images!$I$5:$I$304,"approved")&lt;&gt;1),"NEEDS PRIMARY IMAGE","OK"))))</x:f>
        <x:v>OK</x:v>
      </x:c>
    </x:row>
    <x:row r="201">
      <x:c r="A201" s="28" t="str">
        <x:v>saimin</x:v>
      </x:c>
      <x:c r="B201" s="28" t="str">
        <x:v>Saimin</x:v>
      </x:c>
      <x:c r="C201" s="28" t="str">
        <x:v>Hawaiian Saimin</x:v>
      </x:c>
      <x:c r="D201" s="28" t="str">
        <x:v>US</x:v>
      </x:c>
      <x:c r="E201" s="28" t="str">
        <x:v>north-america</x:v>
      </x:c>
      <x:c r="F201" s="28" t="str">
        <x:v>noodle</x:v>
      </x:c>
      <x:c r="G201" s="28" t="str">
        <x:v>comforting</x:v>
      </x:c>
      <x:c r="H201" s="28" t="str">
        <x:v>fresh</x:v>
      </x:c>
      <x:c r="I201" s="28"/>
      <x:c r="J201" s="28" t="str">
        <x:v>savory</x:v>
      </x:c>
      <x:c r="K201" s="28" t="str">
        <x:v>light</x:v>
      </x:c>
      <x:c r="L201" s="28" t="str">
        <x:v>umami</x:v>
      </x:c>
      <x:c r="M201" s="28"/>
      <x:c r="N201" s="28" t="n">
        <x:v>2</x:v>
      </x:c>
      <x:c r="O201" s="28" t="str">
        <x:v>Hawaii noodle soup with wheat-and-egg noodles, clear broth, and local toppings.</x:v>
      </x:c>
      <x:c r="P201" s="28" t="str">
        <x:v>Saimin is a noodle soup developed in Hawaii, combining soft wheat-and-egg noodles with a light dashi-like broth and toppings such as scallions, fish cake, char siu, egg, or Spam depending on the version.</x:v>
      </x:c>
      <x:c r="Q201" s="28" t="str">
        <x:v>needs-review</x:v>
      </x:c>
      <x:c r="R201" s="28" t="str">
        <x:v>Batch 8 candidate. Hawaii's distinct local food culture should remain explicit despite Nom's North America grouping.</x:v>
      </x:c>
      <x:c r="S201" s="28" t="str">
        <x:f>IF(A201="","",IF(COUNTIF($A$5:$A$205,A201)&gt;1,"DUPLICATE ID",IF(AND(Q201="approved",COUNTIFS(Sources!$A$5:$A$404,A201,Sources!$F$5:$F$404,TRUE)=0),"NEEDS SOURCE",IF(AND(Q201="approved",COUNTIFS(Images!$A$5:$A$304,A201,Images!$H$5:$H$304,TRUE,Images!$I$5:$I$304,"approved")&lt;&gt;1),"NEEDS PRIMARY IMAGE","OK"))))</x:f>
        <x:v>OK</x:v>
      </x:c>
    </x:row>
    <x:row r="202">
      <x:c r="A202" s="28" t="str">
        <x:v>cincinnati-chili</x:v>
      </x:c>
      <x:c r="B202" s="28" t="str">
        <x:v>Cincinnati Chili</x:v>
      </x:c>
      <x:c r="C202" s="28" t="str">
        <x:v>Cincinnati-style Chili</x:v>
      </x:c>
      <x:c r="D202" s="28" t="str">
        <x:v>US</x:v>
      </x:c>
      <x:c r="E202" s="28" t="str">
        <x:v>north-america</x:v>
      </x:c>
      <x:c r="F202" s="28" t="str">
        <x:v>noodle</x:v>
      </x:c>
      <x:c r="G202" s="28" t="str">
        <x:v>rich</x:v>
      </x:c>
      <x:c r="H202" s="28" t="str">
        <x:v>comforting</x:v>
      </x:c>
      <x:c r="I202" s="28"/>
      <x:c r="J202" s="28" t="str">
        <x:v>savory</x:v>
      </x:c>
      <x:c r="K202" s="28" t="str">
        <x:v>aromatic</x:v>
      </x:c>
      <x:c r="L202" s="28" t="str">
        <x:v>tender</x:v>
      </x:c>
      <x:c r="M202" s="28"/>
      <x:c r="N202" s="28" t="n">
        <x:v>1</x:v>
      </x:c>
      <x:c r="O202" s="28" t="str">
        <x:v>Cincinnati spiced meat sauce served over spaghetti with cheese and optional beans or onions.</x:v>
      </x:c>
      <x:c r="P202" s="28" t="str">
        <x:v>Cincinnati chili is an American regional meat sauce served over spaghetti and ordered in layered 'ways' with toppings such as shredded cheese, onions, and beans. Its seasoning profile differs from Texas-style chili.</x:v>
      </x:c>
      <x:c r="Q202" s="28" t="str">
        <x:v>needs-review</x:v>
      </x:c>
      <x:c r="R202" s="28" t="str">
        <x:v>Batch 8 candidate. Noodle category reflects the classic spaghetti service.</x:v>
      </x:c>
      <x:c r="S202" s="28" t="str">
        <x:f>IF(A202="","",IF(COUNTIF($A$5:$A$205,A202)&gt;1,"DUPLICATE ID",IF(AND(Q202="approved",COUNTIFS(Sources!$A$5:$A$404,A202,Sources!$F$5:$F$404,TRUE)=0),"NEEDS SOURCE",IF(AND(Q202="approved",COUNTIFS(Images!$A$5:$A$304,A202,Images!$H$5:$H$304,TRUE,Images!$I$5:$I$304,"approved")&lt;&gt;1),"NEEDS PRIMARY IMAGE","OK"))))</x:f>
        <x:v>OK</x:v>
      </x:c>
    </x:row>
    <x:row r="203">
      <x:c r="A203" s="28" t="str">
        <x:v>canadian-split-pea-soup</x:v>
      </x:c>
      <x:c r="B203" s="28" t="str">
        <x:v>Canadian Split Pea Soup</x:v>
      </x:c>
      <x:c r="C203" s="28" t="str">
        <x:v>Québécois Pea Soup|Soupe aux Pois</x:v>
      </x:c>
      <x:c r="D203" s="28" t="str">
        <x:v>CA</x:v>
      </x:c>
      <x:c r="E203" s="28" t="str">
        <x:v>north-america</x:v>
      </x:c>
      <x:c r="F203" s="28" t="str">
        <x:v>soup-broth</x:v>
      </x:c>
      <x:c r="G203" s="28" t="str">
        <x:v>comforting</x:v>
      </x:c>
      <x:c r="H203" s="28"/>
      <x:c r="I203" s="28"/>
      <x:c r="J203" s="28" t="str">
        <x:v>earthy</x:v>
      </x:c>
      <x:c r="K203" s="28" t="str">
        <x:v>savory</x:v>
      </x:c>
      <x:c r="L203" s="28" t="str">
        <x:v>creamy</x:v>
      </x:c>
      <x:c r="M203" s="28"/>
      <x:c r="N203" s="28" t="n">
        <x:v>2</x:v>
      </x:c>
      <x:c r="O203" s="28" t="str">
        <x:v>Québécois split-pea soup slow-cooked with vegetables, herbs, and often salted pork or ham.</x:v>
      </x:c>
      <x:c r="P203" s="28" t="str">
        <x:v>Canadian split pea soup, especially the Québécois soupe aux pois tradition, combines dried peas with onion, herbs, and often salted pork or ham. Long simmering creates a thick, earthy, comforting soup.</x:v>
      </x:c>
      <x:c r="Q203" s="28" t="str">
        <x:v>needs-review</x:v>
      </x:c>
      <x:c r="R203" s="28" t="str">
        <x:v>Batch 8 candidate. Source is the broad pea-soup reference; add a Quebec-specific culinary source before approval.</x:v>
      </x:c>
      <x:c r="S203" s="28" t="str">
        <x:f>IF(A203="","",IF(COUNTIF($A$5:$A$205,A203)&gt;1,"DUPLICATE ID",IF(AND(Q203="approved",COUNTIFS(Sources!$A$5:$A$404,A203,Sources!$F$5:$F$404,TRUE)=0),"NEEDS SOURCE",IF(AND(Q203="approved",COUNTIFS(Images!$A$5:$A$304,A203,Images!$H$5:$H$304,TRUE,Images!$I$5:$I$304,"approved")&lt;&gt;1),"NEEDS PRIMARY IMAGE","OK"))))</x:f>
        <x:v>OK</x:v>
      </x:c>
    </x:row>
    <x:row r="204">
      <x:c r="A204" s="28" t="str">
        <x:v>matzo-ball-soup</x:v>
      </x:c>
      <x:c r="B204" s="28" t="str">
        <x:v>Matzo Ball Soup</x:v>
      </x:c>
      <x:c r="C204" s="28" t="str">
        <x:v>Matzah Ball Soup</x:v>
      </x:c>
      <x:c r="D204" s="28" t="str">
        <x:v>US</x:v>
      </x:c>
      <x:c r="E204" s="28" t="str">
        <x:v>north-america</x:v>
      </x:c>
      <x:c r="F204" s="28" t="str">
        <x:v>soup-broth</x:v>
      </x:c>
      <x:c r="G204" s="28" t="str">
        <x:v>comforting</x:v>
      </x:c>
      <x:c r="H204" s="28"/>
      <x:c r="I204" s="28"/>
      <x:c r="J204" s="28" t="str">
        <x:v>savory</x:v>
      </x:c>
      <x:c r="K204" s="28" t="str">
        <x:v>light</x:v>
      </x:c>
      <x:c r="L204" s="28" t="str">
        <x:v>tender</x:v>
      </x:c>
      <x:c r="M204" s="28"/>
      <x:c r="N204" s="28" t="n">
        <x:v>1</x:v>
      </x:c>
      <x:c r="O204" s="28" t="str">
        <x:v>Jewish-American chicken soup served with tender dumplings made from matzo meal.</x:v>
      </x:c>
      <x:c r="P204" s="28" t="str">
        <x:v>Matzo ball soup pairs a clear chicken broth with dumplings made from matzo meal, egg, and fat. It is closely associated with Ashkenazi Jewish cuisine and is especially prominent in Jewish-American home cooking and delicatessen culture.</x:v>
      </x:c>
      <x:c r="Q204" s="28" t="str">
        <x:v>needs-review</x:v>
      </x:c>
      <x:c r="R204" s="28" t="str">
        <x:v>Batch 8 candidate. North America grouping reflects Jewish-American product context while acknowledging Ashkenazi origins.</x:v>
      </x:c>
      <x:c r="S204" s="28" t="str">
        <x:f>IF(A204="","",IF(COUNTIF($A$5:$A$205,A204)&gt;1,"DUPLICATE ID",IF(AND(Q204="approved",COUNTIFS(Sources!$A$5:$A$404,A204,Sources!$F$5:$F$404,TRUE)=0),"NEEDS SOURCE",IF(AND(Q204="approved",COUNTIFS(Images!$A$5:$A$304,A204,Images!$H$5:$H$304,TRUE,Images!$I$5:$I$304,"approved")&lt;&gt;1),"NEEDS PRIMARY IMAGE","OK"))))</x:f>
        <x:v>OK</x:v>
      </x:c>
    </x:row>
    <x:row r="205">
      <x:c r="A205" t="str">
        <x:v>fresh-lumpia</x:v>
      </x:c>
      <x:c r="B205" t="str">
        <x:v>Fresh Lumpia</x:v>
      </x:c>
      <x:c r="C205" t="str">
        <x:v>Fresh Lumpia|Lumpia Sariwa</x:v>
      </x:c>
      <x:c r="D205" t="str">
        <x:v>PH</x:v>
      </x:c>
      <x:c r="E205" t="str">
        <x:v>southeast-asia</x:v>
      </x:c>
      <x:c r="F205" t="str">
        <x:v>handheld</x:v>
      </x:c>
      <x:c r="G205" t="str">
        <x:v>fresh</x:v>
      </x:c>
      <x:c r="H205"/>
      <x:c r="I205"/>
      <x:c r="J205" t="str">
        <x:v>savory</x:v>
      </x:c>
      <x:c r="K205" t="str">
        <x:v>light</x:v>
      </x:c>
      <x:c r="L205"/>
      <x:c r="M205"/>
      <x:c r="N205" t="n">
        <x:v>1</x:v>
      </x:c>
      <x:c r="O205" t="str">
        <x:v>Filipino fresh spring rolls with soft wrappers and vegetable-forward savory fillings.</x:v>
      </x:c>
      <x:c r="P205" t="str">
        <x:v>Fresh lumpia are Filipino spring rolls served without frying, using softer wrappers and vegetable-forward fillings. This entry was split from the original mixed Lumpia row so Nom can distinguish the fresh style from crisp fried versions.</x:v>
      </x:c>
      <x:c r="Q205" t="str">
        <x:v>needs-review</x:v>
      </x:c>
      <x:c r="R205" t="str">
        <x:v>Split from the original mixed Lumpia entry. This row represents fresh lumpia only; source and image remain candidates pending verification.</x:v>
      </x:c>
      <x:c r="S205" t="str">
        <x:f>IF(A205="","",IF(COUNTIF($A$5:$A$205,A205)&gt;1,"DUPLICATE ID",IF(AND(Q205="approved",COUNTIFS(Sources!$A$5:$A$404,A205,Sources!$F$5:$F$404,TRUE)=0),"NEEDS SOURCE",IF(AND(Q205="approved",COUNTIFS(Images!$A$5:$A$304,A205,Images!$H$5:$H$304,TRUE,Images!$I$5:$I$304,"approved")&lt;&gt;1),"NEEDS PRIMARY IMAGE","OK"))))</x:f>
        <x:v>OK</x:v>
      </x:c>
    </x:row>
  </x:sheetData>
  <x:mergeCells>
    <x:mergeCell ref="A1:S1"/>
    <x:mergeCell ref="A2:S2"/>
  </x:mergeCells>
  <x:conditionalFormatting sqref="Q5:Q204">
    <x:cfRule type="expression" dxfId="0" priority="1">
      <x:formula>Q5="approved"</x:formula>
    </x:cfRule>
    <x:cfRule type="expression" dxfId="1" priority="2">
      <x:formula>Q5="needs-review"</x:formula>
    </x:cfRule>
    <x:cfRule type="expression" dxfId="2" priority="3">
      <x:formula>Q5="rejected"</x:formula>
    </x:cfRule>
  </x:conditionalFormatting>
  <x:conditionalFormatting sqref="S5:S204">
    <x:cfRule type="expression" dxfId="3" priority="4">
      <x:formula>S5="OK"</x:formula>
    </x:cfRule>
    <x:cfRule type="expression" dxfId="4" priority="5">
      <x:formula>LEFT(S5,5)="NEEDS"</x:formula>
    </x:cfRule>
    <x:cfRule type="expression" dxfId="5" priority="6">
      <x:formula>S5="DUPLICATE ID"</x:formula>
    </x:cfRule>
  </x:conditionalFormatting>
  <x:dataValidations count="12">
    <x:dataValidation type="list" sqref="D5:D204">
      <x:formula1>"AD,AE,AF,AG,AI,AL,AM,AO,AQ,AR,AS,AT,AU,AW,AX,AZ,BA,BB,BD,BE,BF,BG,BH,BI,BJ,BL,BM,BN,BO,BQ,BR,BS,BT,BV,BW,BY,BZ,CA,CC,CD,CF,CG,CH,CI,CK,CL,CM,CN,CO,CR,CU,CV,CW,CX,CY,CZ,DE,DJ,DK,DM,DO,DZ,EC,EE,EG,EH,ER,ES,ET,FI,FJ,FK,FM,FO,FR,GA,GB,GD,GE,GF,GG,GH,GI,GL,GM,GN,GP,GQ,GR,GS,GT,GU,GW,GY,HK,HM,HN,HR,HT,HU,ID,IE,IL,IM,IN,IO,IQ,IR,IS,IT,JE,JM,JO,JP,KE,KG,KH,KI,KM,KN,KP,KR,KW,KY,KZ,LA,LB,LC,LI,LK,LR,LS,LT,LU,LV,LY,MA,MC,MD,ME,MF,MG,MH,MK,ML,MM,MN,MO,MP,MQ,MR,MS,MT,MU,MV,MW,MX,MY,MZ,NA,NC,NE,NF,NG,NI,NL,NO,NP,NR,NU,NZ,OM,PA,PE,PF,PG,PH,PK,PL,PM,PN,PR,PS,PT,PW,PY,QA,RE,RO,RS,RU,RW,SA,SB,SC,SD,SE,SG,SH,SI,SJ,SK,SL,SM,SN,SO,SR,SS,ST,SV,SX,SY,SZ,TC,TD,TF,TG,TH,TJ,TK,TL,TM,TN,TO,TR,TT,TV,TW,TZ,UA,UG,UM,US,UY,UZ,VA,VC,VE,VG,VI,VN,VU,WF,WS,YE,YT,ZA,ZM,ZW"</x:formula1>
    </x:dataValidation>
    <x:dataValidation type="list" sqref="E5:E204">
      <x:formula1>"east-asia,southeast-asia,south-asia,middle-east,africa,europe,latin-america,north-america"</x:formula1>
    </x:dataValidation>
    <x:dataValidation type="list" sqref="F5:F204">
      <x:formula1>"noodle,rice,soup-broth,grilled-protein,handheld"</x:formula1>
    </x:dataValidation>
    <x:dataValidation type="list" sqref="G5:G204">
      <x:formula1>"spicy,comforting,fresh,rich,crispy,tangy"</x:formula1>
    </x:dataValidation>
    <x:dataValidation type="list" sqref="H5:H204">
      <x:formula1>"spicy,comforting,fresh,rich,crispy,tangy"</x:formula1>
    </x:dataValidation>
    <x:dataValidation type="list" sqref="I5:I204">
      <x:formula1>"spicy,comforting,fresh,rich,crispy,tangy"</x:formula1>
    </x:dataValidation>
    <x:dataValidation type="list" sqref="J5:J204">
      <x:formula1>"savory,smoky,bold,light,sweet,umami,aromatic,herbal,creamy,nutty,charred,fermented,garlicky,buttery,earthy,chewy,tender,juicy"</x:formula1>
    </x:dataValidation>
    <x:dataValidation type="list" sqref="K5:K204">
      <x:formula1>"savory,smoky,bold,light,sweet,umami,aromatic,herbal,creamy,nutty,charred,fermented,garlicky,buttery,earthy,chewy,tender,juicy"</x:formula1>
    </x:dataValidation>
    <x:dataValidation type="list" sqref="L5:L204">
      <x:formula1>"savory,smoky,bold,light,sweet,umami,aromatic,herbal,creamy,nutty,charred,fermented,garlicky,buttery,earthy,chewy,tender,juicy"</x:formula1>
    </x:dataValidation>
    <x:dataValidation type="list" sqref="M5:M204">
      <x:formula1>"savory,smoky,bold,light,sweet,umami,aromatic,herbal,creamy,nutty,charred,fermented,garlicky,buttery,earthy,chewy,tender,juicy"</x:formula1>
    </x:dataValidation>
    <x:dataValidation type="list" sqref="N5:N204">
      <x:formula1>"1,2,3"</x:formula1>
    </x:dataValidation>
    <x:dataValidation type="list" sqref="Q5:Q204">
      <x:formula1>"draft,needs-review,approved,rejected"</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34" hidden="0" customWidth="1"/>
    <x:col min="3" max="3" width="34" hidden="0" customWidth="1"/>
    <x:col min="4" max="4" width="20" hidden="0" customWidth="1"/>
    <x:col min="5" max="5" width="22" hidden="0" customWidth="1"/>
    <x:col min="6" max="6" width="18" hidden="0" customWidth="1"/>
    <x:col min="7" max="7" width="28" hidden="0" customWidth="1"/>
    <x:col min="8" max="8" width="12" hidden="0" customWidth="1"/>
    <x:col min="9" max="9" width="16" hidden="0" customWidth="1"/>
    <x:col min="10" max="10" width="36" hidden="0" customWidth="1"/>
    <x:col min="11" max="11" width="28" hidden="0" customWidth="1"/>
  </x:cols>
  <x:sheetData>
    <x:row r="1">
      <x:c r="A1" s="31" t="str">
        <x:v>Nom Dish Catalog — Images &amp; Licensing</x:v>
      </x:c>
      <x:c r="B1" s="31"/>
      <x:c r="C1" s="31"/>
      <x:c r="D1" s="31"/>
      <x:c r="E1" s="31"/>
      <x:c r="F1" s="31"/>
      <x:c r="G1" s="31"/>
      <x:c r="H1" s="31"/>
      <x:c r="I1" s="31"/>
      <x:c r="J1" s="31"/>
      <x:c r="K1" s="31"/>
    </x:row>
    <x:row r="2" ht="32" customHeight="1">
      <x:c r="A2" s="35" t="str">
        <x:v>Track image source, creator, license, primary-image selection, and optimized runtime output. Keep original source URLs.</x:v>
      </x:c>
      <x:c r="B2" s="35"/>
      <x:c r="C2" s="35"/>
      <x:c r="D2" s="35"/>
      <x:c r="E2" s="35"/>
      <x:c r="F2" s="35"/>
      <x:c r="G2" s="35"/>
      <x:c r="H2" s="35"/>
      <x:c r="I2" s="35"/>
      <x:c r="J2" s="35"/>
      <x:c r="K2" s="35"/>
    </x:row>
    <x:row r="4" ht="32" customHeight="1">
      <x:c r="A4" s="19" t="str">
        <x:v>dishId</x:v>
      </x:c>
      <x:c r="B4" s="19" t="str">
        <x:v>imagePageUrl</x:v>
      </x:c>
      <x:c r="C4" s="19" t="str">
        <x:v>imageDownloadUrl</x:v>
      </x:c>
      <x:c r="D4" s="19" t="str">
        <x:v>provider</x:v>
      </x:c>
      <x:c r="E4" s="19" t="str">
        <x:v>creator</x:v>
      </x:c>
      <x:c r="F4" s="19" t="str">
        <x:v>license</x:v>
      </x:c>
      <x:c r="G4" s="19" t="str">
        <x:v>licenseUrl</x:v>
      </x:c>
      <x:c r="H4" s="19" t="str">
        <x:v>isPrimary</x:v>
      </x:c>
      <x:c r="I4" s="19" t="str">
        <x:v>imageStatus</x:v>
      </x:c>
      <x:c r="J4" s="19" t="str">
        <x:v>altText</x:v>
      </x:c>
      <x:c r="K4" s="19" t="str">
        <x:v>runtimePath</x:v>
      </x:c>
    </x:row>
    <x:row r="5">
      <x:c r="A5" s="38" t="str">
        <x:v>lort-cha</x:v>
      </x:c>
      <x:c r="B5" s="38" t="str">
        <x:v>https://commons.wikimedia.org/w/index.php?search=Lort+Cha&amp;title=Special:MediaSearch&amp;type=image</x:v>
      </x:c>
      <x:c r="C5" s="38"/>
      <x:c r="D5" s="38" t="str">
        <x:v>wikimedia-commons</x:v>
      </x:c>
      <x:c r="E5" s="38"/>
      <x:c r="F5" s="38"/>
      <x:c r="G5" s="38"/>
      <x:c r="H5" s="75" t="b">
        <x:v>0</x:v>
      </x:c>
      <x:c r="I5" s="38" t="str">
        <x:v>candidate</x:v>
      </x:c>
      <x:c r="J5" s="38" t="str">
        <x:v>Lort Cha dish</x:v>
      </x:c>
      <x:c r="K5" s="38"/>
    </x:row>
    <x:row r="6">
      <x:c r="A6" s="38" t="str">
        <x:v>mie-goreng</x:v>
      </x:c>
      <x:c r="B6" s="38" t="str">
        <x:v>https://commons.wikimedia.org/w/index.php?search=Mie+Goreng&amp;title=Special:MediaSearch&amp;type=image</x:v>
      </x:c>
      <x:c r="C6" s="38"/>
      <x:c r="D6" s="38" t="str">
        <x:v>wikimedia-commons</x:v>
      </x:c>
      <x:c r="E6" s="38"/>
      <x:c r="F6" s="38"/>
      <x:c r="G6" s="38"/>
      <x:c r="H6" s="75" t="b">
        <x:v>0</x:v>
      </x:c>
      <x:c r="I6" s="38" t="str">
        <x:v>candidate</x:v>
      </x:c>
      <x:c r="J6" s="38" t="str">
        <x:v>Mie Goreng dish</x:v>
      </x:c>
      <x:c r="K6" s="38"/>
    </x:row>
    <x:row r="7">
      <x:c r="A7" s="38" t="str">
        <x:v>pancit-canton</x:v>
      </x:c>
      <x:c r="B7" s="38" t="str">
        <x:v>https://commons.wikimedia.org/w/index.php?search=Pancit+Canton&amp;title=Special:MediaSearch&amp;type=image</x:v>
      </x:c>
      <x:c r="C7" s="38"/>
      <x:c r="D7" s="38" t="str">
        <x:v>wikimedia-commons</x:v>
      </x:c>
      <x:c r="E7" s="38"/>
      <x:c r="F7" s="38"/>
      <x:c r="G7" s="38"/>
      <x:c r="H7" s="75" t="b">
        <x:v>0</x:v>
      </x:c>
      <x:c r="I7" s="38" t="str">
        <x:v>candidate</x:v>
      </x:c>
      <x:c r="J7" s="38" t="str">
        <x:v>Pancit Canton dish</x:v>
      </x:c>
      <x:c r="K7" s="38"/>
    </x:row>
    <x:row r="8">
      <x:c r="A8" s="38" t="str">
        <x:v>char-kway-teow</x:v>
      </x:c>
      <x:c r="B8" s="38" t="str">
        <x:v>https://commons.wikimedia.org/w/index.php?search=Char+Kway+Teow&amp;title=Special:MediaSearch&amp;type=image</x:v>
      </x:c>
      <x:c r="C8" s="38"/>
      <x:c r="D8" s="38" t="str">
        <x:v>wikimedia-commons</x:v>
      </x:c>
      <x:c r="E8" s="38"/>
      <x:c r="F8" s="38"/>
      <x:c r="G8" s="38"/>
      <x:c r="H8" s="75" t="b">
        <x:v>0</x:v>
      </x:c>
      <x:c r="I8" s="38" t="str">
        <x:v>candidate</x:v>
      </x:c>
      <x:c r="J8" s="38" t="str">
        <x:v>Char Kway Teow dish</x:v>
      </x:c>
      <x:c r="K8" s="38"/>
    </x:row>
    <x:row r="9">
      <x:c r="A9" s="38" t="str">
        <x:v>mi-quang</x:v>
      </x:c>
      <x:c r="B9" s="38" t="str">
        <x:v>https://commons.wikimedia.org/w/index.php?search=M%C3%AC+Qu%E1%BA%A3ng&amp;title=Special:MediaSearch&amp;type=image</x:v>
      </x:c>
      <x:c r="C9" s="38"/>
      <x:c r="D9" s="38" t="str">
        <x:v>wikimedia-commons</x:v>
      </x:c>
      <x:c r="E9" s="38"/>
      <x:c r="F9" s="38"/>
      <x:c r="G9" s="38"/>
      <x:c r="H9" s="75" t="b">
        <x:v>0</x:v>
      </x:c>
      <x:c r="I9" s="38" t="str">
        <x:v>candidate</x:v>
      </x:c>
      <x:c r="J9" s="38" t="str">
        <x:v>Mì Quảng dish</x:v>
      </x:c>
      <x:c r="K9" s="38"/>
    </x:row>
    <x:row r="10">
      <x:c r="A10" s="38" t="str">
        <x:v>hokkien-mee</x:v>
      </x:c>
      <x:c r="B10" s="38" t="str">
        <x:v>https://commons.wikimedia.org/w/index.php?search=Hokkien+Mee&amp;title=Special:MediaSearch&amp;type=image</x:v>
      </x:c>
      <x:c r="C10" s="38"/>
      <x:c r="D10" s="38" t="str">
        <x:v>wikimedia-commons</x:v>
      </x:c>
      <x:c r="E10" s="38"/>
      <x:c r="F10" s="38"/>
      <x:c r="G10" s="38"/>
      <x:c r="H10" s="75" t="b">
        <x:v>0</x:v>
      </x:c>
      <x:c r="I10" s="38" t="str">
        <x:v>candidate</x:v>
      </x:c>
      <x:c r="J10" s="38" t="str">
        <x:v>Hokkien Mee dish</x:v>
      </x:c>
      <x:c r="K10" s="38"/>
    </x:row>
    <x:row r="11">
      <x:c r="A11" s="38" t="str">
        <x:v>kolo-mee</x:v>
      </x:c>
      <x:c r="B11" s="38" t="str">
        <x:v>https://commons.wikimedia.org/w/index.php?search=Kolo+Mee&amp;title=Special:MediaSearch&amp;type=image</x:v>
      </x:c>
      <x:c r="C11" s="38"/>
      <x:c r="D11" s="38" t="str">
        <x:v>wikimedia-commons</x:v>
      </x:c>
      <x:c r="E11" s="38"/>
      <x:c r="F11" s="38"/>
      <x:c r="G11" s="38"/>
      <x:c r="H11" s="75" t="b">
        <x:v>0</x:v>
      </x:c>
      <x:c r="I11" s="38" t="str">
        <x:v>candidate</x:v>
      </x:c>
      <x:c r="J11" s="38" t="str">
        <x:v>Kolo Mee dish</x:v>
      </x:c>
      <x:c r="K11" s="38"/>
    </x:row>
    <x:row r="12">
      <x:c r="A12" s="38" t="str">
        <x:v>pancit-bihon</x:v>
      </x:c>
      <x:c r="B12" s="38" t="str">
        <x:v>https://commons.wikimedia.org/w/index.php?search=Pancit+Bihon&amp;title=Special:MediaSearch&amp;type=image</x:v>
      </x:c>
      <x:c r="C12" s="38"/>
      <x:c r="D12" s="38" t="str">
        <x:v>wikimedia-commons</x:v>
      </x:c>
      <x:c r="E12" s="38"/>
      <x:c r="F12" s="38"/>
      <x:c r="G12" s="38"/>
      <x:c r="H12" s="75" t="b">
        <x:v>0</x:v>
      </x:c>
      <x:c r="I12" s="38" t="str">
        <x:v>candidate</x:v>
      </x:c>
      <x:c r="J12" s="38" t="str">
        <x:v>Pancit Bihon dish</x:v>
      </x:c>
      <x:c r="K12" s="38"/>
    </x:row>
    <x:row r="13">
      <x:c r="A13" s="38" t="str">
        <x:v>cao-lau</x:v>
      </x:c>
      <x:c r="B13" s="38" t="str">
        <x:v>https://commons.wikimedia.org/w/index.php?search=Cao+L%E1%BA%A7u&amp;title=Special:MediaSearch&amp;type=image</x:v>
      </x:c>
      <x:c r="C13" s="38"/>
      <x:c r="D13" s="38" t="str">
        <x:v>wikimedia-commons</x:v>
      </x:c>
      <x:c r="E13" s="38"/>
      <x:c r="F13" s="38"/>
      <x:c r="G13" s="38"/>
      <x:c r="H13" s="75" t="b">
        <x:v>0</x:v>
      </x:c>
      <x:c r="I13" s="38" t="str">
        <x:v>candidate</x:v>
      </x:c>
      <x:c r="J13" s="38" t="str">
        <x:v>Cao Lầu dish</x:v>
      </x:c>
      <x:c r="K13" s="38"/>
    </x:row>
    <x:row r="14">
      <x:c r="A14" s="38" t="str">
        <x:v>num-banh-chok</x:v>
      </x:c>
      <x:c r="B14" s="38" t="str">
        <x:v>https://commons.wikimedia.org/w/index.php?search=Num+Banh+Chok&amp;title=Special:MediaSearch&amp;type=image</x:v>
      </x:c>
      <x:c r="C14" s="38"/>
      <x:c r="D14" s="38" t="str">
        <x:v>wikimedia-commons</x:v>
      </x:c>
      <x:c r="E14" s="38"/>
      <x:c r="F14" s="38"/>
      <x:c r="G14" s="38"/>
      <x:c r="H14" s="75" t="b">
        <x:v>0</x:v>
      </x:c>
      <x:c r="I14" s="38" t="str">
        <x:v>candidate</x:v>
      </x:c>
      <x:c r="J14" s="38" t="str">
        <x:v>Num Banh Chok dish</x:v>
      </x:c>
      <x:c r="K14" s="38"/>
    </x:row>
    <x:row r="15">
      <x:c r="A15" s="38" t="str">
        <x:v>ramen</x:v>
      </x:c>
      <x:c r="B15" s="38" t="str">
        <x:v>https://commons.wikimedia.org/w/index.php?search=Ramen&amp;title=Special:MediaSearch&amp;type=image</x:v>
      </x:c>
      <x:c r="C15" s="38"/>
      <x:c r="D15" s="38" t="str">
        <x:v>wikimedia-commons</x:v>
      </x:c>
      <x:c r="E15" s="38"/>
      <x:c r="F15" s="38"/>
      <x:c r="G15" s="38"/>
      <x:c r="H15" s="75" t="b">
        <x:v>0</x:v>
      </x:c>
      <x:c r="I15" s="38" t="str">
        <x:v>candidate</x:v>
      </x:c>
      <x:c r="J15" s="38" t="str">
        <x:v>Ramen dish</x:v>
      </x:c>
      <x:c r="K15" s="38"/>
    </x:row>
    <x:row r="16">
      <x:c r="A16" s="38" t="str">
        <x:v>bibimbap</x:v>
      </x:c>
      <x:c r="B16" s="38" t="str">
        <x:v>https://commons.wikimedia.org/w/index.php?search=Bibimbap&amp;title=Special:MediaSearch&amp;type=image</x:v>
      </x:c>
      <x:c r="C16" s="38"/>
      <x:c r="D16" s="38" t="str">
        <x:v>wikimedia-commons</x:v>
      </x:c>
      <x:c r="E16" s="38"/>
      <x:c r="F16" s="38"/>
      <x:c r="G16" s="38"/>
      <x:c r="H16" s="75" t="b">
        <x:v>0</x:v>
      </x:c>
      <x:c r="I16" s="38" t="str">
        <x:v>candidate</x:v>
      </x:c>
      <x:c r="J16" s="38" t="str">
        <x:v>Bibimbap dish</x:v>
      </x:c>
      <x:c r="K16" s="38"/>
    </x:row>
    <x:row r="17">
      <x:c r="A17" s="38" t="str">
        <x:v>yakitori</x:v>
      </x:c>
      <x:c r="B17" s="38" t="str">
        <x:v>https://commons.wikimedia.org/w/index.php?search=Yakitori&amp;title=Special:MediaSearch&amp;type=image</x:v>
      </x:c>
      <x:c r="C17" s="38"/>
      <x:c r="D17" s="38" t="str">
        <x:v>wikimedia-commons</x:v>
      </x:c>
      <x:c r="E17" s="38"/>
      <x:c r="F17" s="38"/>
      <x:c r="G17" s="38"/>
      <x:c r="H17" s="75" t="b">
        <x:v>0</x:v>
      </x:c>
      <x:c r="I17" s="38" t="str">
        <x:v>candidate</x:v>
      </x:c>
      <x:c r="J17" s="38" t="str">
        <x:v>Yakitori dish</x:v>
      </x:c>
      <x:c r="K17" s="38"/>
    </x:row>
    <x:row r="18">
      <x:c r="A18" s="38" t="str">
        <x:v>biryani</x:v>
      </x:c>
      <x:c r="B18" s="38" t="str">
        <x:v>https://commons.wikimedia.org/w/index.php?search=Biryani&amp;title=Special:MediaSearch&amp;type=image</x:v>
      </x:c>
      <x:c r="C18" s="38"/>
      <x:c r="D18" s="38" t="str">
        <x:v>wikimedia-commons</x:v>
      </x:c>
      <x:c r="E18" s="38"/>
      <x:c r="F18" s="38"/>
      <x:c r="G18" s="38"/>
      <x:c r="H18" s="75" t="b">
        <x:v>0</x:v>
      </x:c>
      <x:c r="I18" s="38" t="str">
        <x:v>candidate</x:v>
      </x:c>
      <x:c r="J18" s="38" t="str">
        <x:v>Biryani dish</x:v>
      </x:c>
      <x:c r="K18" s="38"/>
    </x:row>
    <x:row r="19">
      <x:c r="A19" s="38" t="str">
        <x:v>masala-dosa</x:v>
      </x:c>
      <x:c r="B19" s="38" t="str">
        <x:v>https://commons.wikimedia.org/w/index.php?search=Masala+Dosa&amp;title=Special:MediaSearch&amp;type=image</x:v>
      </x:c>
      <x:c r="C19" s="38"/>
      <x:c r="D19" s="38" t="str">
        <x:v>wikimedia-commons</x:v>
      </x:c>
      <x:c r="E19" s="38"/>
      <x:c r="F19" s="38"/>
      <x:c r="G19" s="38"/>
      <x:c r="H19" s="75" t="b">
        <x:v>0</x:v>
      </x:c>
      <x:c r="I19" s="38" t="str">
        <x:v>candidate</x:v>
      </x:c>
      <x:c r="J19" s="38" t="str">
        <x:v>Masala Dosa dish</x:v>
      </x:c>
      <x:c r="K19" s="38"/>
    </x:row>
    <x:row r="20">
      <x:c r="A20" s="38" t="str">
        <x:v>mansaf</x:v>
      </x:c>
      <x:c r="B20" s="38" t="str">
        <x:v>https://commons.wikimedia.org/w/index.php?search=Mansaf&amp;title=Special:MediaSearch&amp;type=image</x:v>
      </x:c>
      <x:c r="C20" s="38"/>
      <x:c r="D20" s="38" t="str">
        <x:v>wikimedia-commons</x:v>
      </x:c>
      <x:c r="E20" s="38"/>
      <x:c r="F20" s="38"/>
      <x:c r="G20" s="38"/>
      <x:c r="H20" s="75" t="b">
        <x:v>0</x:v>
      </x:c>
      <x:c r="I20" s="38" t="str">
        <x:v>candidate</x:v>
      </x:c>
      <x:c r="J20" s="38" t="str">
        <x:v>Mansaf dish</x:v>
      </x:c>
      <x:c r="K20" s="38"/>
    </x:row>
    <x:row r="21">
      <x:c r="A21" s="38" t="str">
        <x:v>shish-taouk</x:v>
      </x:c>
      <x:c r="B21" s="38" t="str">
        <x:v>https://commons.wikimedia.org/w/index.php?search=Shish+Taouk&amp;title=Special:MediaSearch&amp;type=image</x:v>
      </x:c>
      <x:c r="C21" s="38"/>
      <x:c r="D21" s="38" t="str">
        <x:v>wikimedia-commons</x:v>
      </x:c>
      <x:c r="E21" s="38"/>
      <x:c r="F21" s="38"/>
      <x:c r="G21" s="38"/>
      <x:c r="H21" s="75" t="b">
        <x:v>0</x:v>
      </x:c>
      <x:c r="I21" s="38" t="str">
        <x:v>candidate</x:v>
      </x:c>
      <x:c r="J21" s="38" t="str">
        <x:v>Shish Taouk dish</x:v>
      </x:c>
      <x:c r="K21" s="38"/>
    </x:row>
    <x:row r="22">
      <x:c r="A22" s="38" t="str">
        <x:v>harira</x:v>
      </x:c>
      <x:c r="B22" s="38" t="str">
        <x:v>https://commons.wikimedia.org/w/index.php?search=Harira&amp;title=Special:MediaSearch&amp;type=image</x:v>
      </x:c>
      <x:c r="C22" s="38"/>
      <x:c r="D22" s="38" t="str">
        <x:v>wikimedia-commons</x:v>
      </x:c>
      <x:c r="E22" s="38"/>
      <x:c r="F22" s="38"/>
      <x:c r="G22" s="38"/>
      <x:c r="H22" s="75" t="b">
        <x:v>0</x:v>
      </x:c>
      <x:c r="I22" s="38" t="str">
        <x:v>candidate</x:v>
      </x:c>
      <x:c r="J22" s="38" t="str">
        <x:v>Harira dish</x:v>
      </x:c>
      <x:c r="K22" s="38"/>
    </x:row>
    <x:row r="23">
      <x:c r="A23" s="38" t="str">
        <x:v>suya</x:v>
      </x:c>
      <x:c r="B23" s="38" t="str">
        <x:v>https://commons.wikimedia.org/w/index.php?search=Suya&amp;title=Special:MediaSearch&amp;type=image</x:v>
      </x:c>
      <x:c r="C23" s="38"/>
      <x:c r="D23" s="38" t="str">
        <x:v>wikimedia-commons</x:v>
      </x:c>
      <x:c r="E23" s="38"/>
      <x:c r="F23" s="38"/>
      <x:c r="G23" s="38"/>
      <x:c r="H23" s="75" t="b">
        <x:v>0</x:v>
      </x:c>
      <x:c r="I23" s="38" t="str">
        <x:v>candidate</x:v>
      </x:c>
      <x:c r="J23" s="38" t="str">
        <x:v>Suya dish</x:v>
      </x:c>
      <x:c r="K23" s="38"/>
    </x:row>
    <x:row r="24">
      <x:c r="A24" s="38" t="str">
        <x:v>carbonara</x:v>
      </x:c>
      <x:c r="B24" s="38" t="str">
        <x:v>https://commons.wikimedia.org/w/index.php?search=Spaghetti+Carbonara&amp;title=Special:MediaSearch&amp;type=image</x:v>
      </x:c>
      <x:c r="C24" s="38"/>
      <x:c r="D24" s="38" t="str">
        <x:v>wikimedia-commons</x:v>
      </x:c>
      <x:c r="E24" s="38"/>
      <x:c r="F24" s="38"/>
      <x:c r="G24" s="38"/>
      <x:c r="H24" s="75" t="b">
        <x:v>0</x:v>
      </x:c>
      <x:c r="I24" s="38" t="str">
        <x:v>candidate</x:v>
      </x:c>
      <x:c r="J24" s="38" t="str">
        <x:v>Spaghetti Carbonara dish</x:v>
      </x:c>
      <x:c r="K24" s="38"/>
    </x:row>
    <x:row r="25">
      <x:c r="A25" s="38" t="str">
        <x:v>french-onion-soup</x:v>
      </x:c>
      <x:c r="B25" s="38" t="str">
        <x:v>https://commons.wikimedia.org/w/index.php?search=French+Onion+Soup&amp;title=Special:MediaSearch&amp;type=image</x:v>
      </x:c>
      <x:c r="C25" s="38"/>
      <x:c r="D25" s="38" t="str">
        <x:v>wikimedia-commons</x:v>
      </x:c>
      <x:c r="E25" s="38"/>
      <x:c r="F25" s="38"/>
      <x:c r="G25" s="38"/>
      <x:c r="H25" s="75" t="b">
        <x:v>0</x:v>
      </x:c>
      <x:c r="I25" s="38" t="str">
        <x:v>candidate</x:v>
      </x:c>
      <x:c r="J25" s="38" t="str">
        <x:v>French Onion Soup dish</x:v>
      </x:c>
      <x:c r="K25" s="38"/>
    </x:row>
    <x:row r="26">
      <x:c r="A26" s="38" t="str">
        <x:v>tacos-al-pastor</x:v>
      </x:c>
      <x:c r="B26" s="38" t="str">
        <x:v>https://commons.wikimedia.org/w/index.php?search=Tacos+al+Pastor&amp;title=Special:MediaSearch&amp;type=image</x:v>
      </x:c>
      <x:c r="C26" s="38"/>
      <x:c r="D26" s="38" t="str">
        <x:v>wikimedia-commons</x:v>
      </x:c>
      <x:c r="E26" s="38"/>
      <x:c r="F26" s="38"/>
      <x:c r="G26" s="38"/>
      <x:c r="H26" s="75" t="b">
        <x:v>0</x:v>
      </x:c>
      <x:c r="I26" s="38" t="str">
        <x:v>candidate</x:v>
      </x:c>
      <x:c r="J26" s="38" t="str">
        <x:v>Tacos al Pastor dish</x:v>
      </x:c>
      <x:c r="K26" s="38"/>
    </x:row>
    <x:row r="27">
      <x:c r="A27" s="38" t="str">
        <x:v>sopa-de-lima</x:v>
      </x:c>
      <x:c r="B27" s="38" t="str">
        <x:v>https://commons.wikimedia.org/w/index.php?search=Sopa+de+Lima&amp;title=Special:MediaSearch&amp;type=image</x:v>
      </x:c>
      <x:c r="C27" s="38"/>
      <x:c r="D27" s="38" t="str">
        <x:v>wikimedia-commons</x:v>
      </x:c>
      <x:c r="E27" s="38"/>
      <x:c r="F27" s="38"/>
      <x:c r="G27" s="38"/>
      <x:c r="H27" s="75" t="b">
        <x:v>0</x:v>
      </x:c>
      <x:c r="I27" s="38" t="str">
        <x:v>candidate</x:v>
      </x:c>
      <x:c r="J27" s="38" t="str">
        <x:v>Sopa de Lima dish</x:v>
      </x:c>
      <x:c r="K27" s="38"/>
    </x:row>
    <x:row r="28">
      <x:c r="A28" s="38" t="str">
        <x:v>jambalaya</x:v>
      </x:c>
      <x:c r="B28" s="38" t="str">
        <x:v>https://commons.wikimedia.org/w/index.php?search=Jambalaya&amp;title=Special:MediaSearch&amp;type=image</x:v>
      </x:c>
      <x:c r="C28" s="38"/>
      <x:c r="D28" s="38" t="str">
        <x:v>wikimedia-commons</x:v>
      </x:c>
      <x:c r="E28" s="38"/>
      <x:c r="F28" s="38"/>
      <x:c r="G28" s="38"/>
      <x:c r="H28" s="75" t="b">
        <x:v>0</x:v>
      </x:c>
      <x:c r="I28" s="38" t="str">
        <x:v>candidate</x:v>
      </x:c>
      <x:c r="J28" s="38" t="str">
        <x:v>Jambalaya dish</x:v>
      </x:c>
      <x:c r="K28" s="38"/>
    </x:row>
    <x:row r="29">
      <x:c r="A29" s="38" t="str">
        <x:v>lobster-roll</x:v>
      </x:c>
      <x:c r="B29" s="38" t="str">
        <x:v>https://commons.wikimedia.org/w/index.php?search=Lobster+Roll&amp;title=Special:MediaSearch&amp;type=image</x:v>
      </x:c>
      <x:c r="C29" s="38"/>
      <x:c r="D29" s="38" t="str">
        <x:v>wikimedia-commons</x:v>
      </x:c>
      <x:c r="E29" s="38"/>
      <x:c r="F29" s="38"/>
      <x:c r="G29" s="38"/>
      <x:c r="H29" s="75" t="b">
        <x:v>0</x:v>
      </x:c>
      <x:c r="I29" s="38" t="str">
        <x:v>candidate</x:v>
      </x:c>
      <x:c r="J29" s="38" t="str">
        <x:v>Lobster Roll dish</x:v>
      </x:c>
      <x:c r="K29" s="38"/>
    </x:row>
    <x:row r="30">
      <x:c r="A30" s="38" t="str">
        <x:v>udon</x:v>
      </x:c>
      <x:c r="B30" s="38" t="str">
        <x:v>https://commons.wikimedia.org/w/index.php?search=Udon&amp;title=Special:MediaSearch&amp;type=image</x:v>
      </x:c>
      <x:c r="C30" s="38"/>
      <x:c r="D30" s="38" t="str">
        <x:v>wikimedia-commons</x:v>
      </x:c>
      <x:c r="E30" s="38"/>
      <x:c r="F30" s="38"/>
      <x:c r="G30" s="38"/>
      <x:c r="H30" s="75" t="b">
        <x:v>0</x:v>
      </x:c>
      <x:c r="I30" s="38" t="str">
        <x:v>candidate</x:v>
      </x:c>
      <x:c r="J30" s="38" t="str">
        <x:v>Udon dish</x:v>
      </x:c>
      <x:c r="K30" s="38"/>
    </x:row>
    <x:row r="31">
      <x:c r="A31" s="38" t="str">
        <x:v>kimchi-jjigae</x:v>
      </x:c>
      <x:c r="B31" s="38" t="str">
        <x:v>https://commons.wikimedia.org/w/index.php?search=Kimchi-jjigae&amp;title=Special:MediaSearch&amp;type=image</x:v>
      </x:c>
      <x:c r="C31" s="38"/>
      <x:c r="D31" s="38" t="str">
        <x:v>wikimedia-commons</x:v>
      </x:c>
      <x:c r="E31" s="38"/>
      <x:c r="F31" s="38"/>
      <x:c r="G31" s="38"/>
      <x:c r="H31" s="75" t="b">
        <x:v>0</x:v>
      </x:c>
      <x:c r="I31" s="38" t="str">
        <x:v>candidate</x:v>
      </x:c>
      <x:c r="J31" s="38" t="str">
        <x:v>Kimchi-jjigae dish</x:v>
      </x:c>
      <x:c r="K31" s="38"/>
    </x:row>
    <x:row r="32">
      <x:c r="A32" s="38" t="str">
        <x:v>bulgogi</x:v>
      </x:c>
      <x:c r="B32" s="38" t="str">
        <x:v>https://commons.wikimedia.org/w/index.php?search=Bulgogi&amp;title=Special:MediaSearch&amp;type=image</x:v>
      </x:c>
      <x:c r="C32" s="38"/>
      <x:c r="D32" s="38" t="str">
        <x:v>wikimedia-commons</x:v>
      </x:c>
      <x:c r="E32" s="38"/>
      <x:c r="F32" s="38"/>
      <x:c r="G32" s="38"/>
      <x:c r="H32" s="75" t="b">
        <x:v>0</x:v>
      </x:c>
      <x:c r="I32" s="38" t="str">
        <x:v>candidate</x:v>
      </x:c>
      <x:c r="J32" s="38" t="str">
        <x:v>Bulgogi dish</x:v>
      </x:c>
      <x:c r="K32" s="38"/>
    </x:row>
    <x:row r="33">
      <x:c r="A33" s="38" t="str">
        <x:v>jianbing</x:v>
      </x:c>
      <x:c r="B33" s="38" t="str">
        <x:v>https://commons.wikimedia.org/w/index.php?search=Jianbing&amp;title=Special:MediaSearch&amp;type=image</x:v>
      </x:c>
      <x:c r="C33" s="38"/>
      <x:c r="D33" s="38" t="str">
        <x:v>wikimedia-commons</x:v>
      </x:c>
      <x:c r="E33" s="38"/>
      <x:c r="F33" s="38"/>
      <x:c r="G33" s="38"/>
      <x:c r="H33" s="75" t="b">
        <x:v>0</x:v>
      </x:c>
      <x:c r="I33" s="38" t="str">
        <x:v>candidate</x:v>
      </x:c>
      <x:c r="J33" s="38" t="str">
        <x:v>Jianbing dish</x:v>
      </x:c>
      <x:c r="K33" s="38"/>
    </x:row>
    <x:row r="34">
      <x:c r="A34" s="38" t="str">
        <x:v>chole-bhature</x:v>
      </x:c>
      <x:c r="B34" s="38" t="str">
        <x:v>https://commons.wikimedia.org/w/index.php?search=Chole+Bhature&amp;title=Special:MediaSearch&amp;type=image</x:v>
      </x:c>
      <x:c r="C34" s="38"/>
      <x:c r="D34" s="38" t="str">
        <x:v>wikimedia-commons</x:v>
      </x:c>
      <x:c r="E34" s="38"/>
      <x:c r="F34" s="38"/>
      <x:c r="G34" s="38"/>
      <x:c r="H34" s="75" t="b">
        <x:v>0</x:v>
      </x:c>
      <x:c r="I34" s="38" t="str">
        <x:v>candidate</x:v>
      </x:c>
      <x:c r="J34" s="38" t="str">
        <x:v>Chole Bhature dish</x:v>
      </x:c>
      <x:c r="K34" s="38"/>
    </x:row>
    <x:row r="35">
      <x:c r="A35" s="38" t="str">
        <x:v>chicken-tikka</x:v>
      </x:c>
      <x:c r="B35" s="38" t="str">
        <x:v>https://commons.wikimedia.org/w/index.php?search=Chicken+Tikka&amp;title=Special:MediaSearch&amp;type=image</x:v>
      </x:c>
      <x:c r="C35" s="38"/>
      <x:c r="D35" s="38" t="str">
        <x:v>wikimedia-commons</x:v>
      </x:c>
      <x:c r="E35" s="38"/>
      <x:c r="F35" s="38"/>
      <x:c r="G35" s="38"/>
      <x:c r="H35" s="75" t="b">
        <x:v>0</x:v>
      </x:c>
      <x:c r="I35" s="38" t="str">
        <x:v>candidate</x:v>
      </x:c>
      <x:c r="J35" s="38" t="str">
        <x:v>Chicken Tikka dish</x:v>
      </x:c>
      <x:c r="K35" s="38"/>
    </x:row>
    <x:row r="36">
      <x:c r="A36" s="38" t="str">
        <x:v>haleem</x:v>
      </x:c>
      <x:c r="B36" s="38" t="str">
        <x:v>https://commons.wikimedia.org/w/index.php?search=Haleem&amp;title=Special:MediaSearch&amp;type=image</x:v>
      </x:c>
      <x:c r="C36" s="38"/>
      <x:c r="D36" s="38" t="str">
        <x:v>wikimedia-commons</x:v>
      </x:c>
      <x:c r="E36" s="38"/>
      <x:c r="F36" s="38"/>
      <x:c r="G36" s="38"/>
      <x:c r="H36" s="75" t="b">
        <x:v>0</x:v>
      </x:c>
      <x:c r="I36" s="38" t="str">
        <x:v>candidate</x:v>
      </x:c>
      <x:c r="J36" s="38" t="str">
        <x:v>Haleem dish</x:v>
      </x:c>
      <x:c r="K36" s="38"/>
    </x:row>
    <x:row r="37">
      <x:c r="A37" s="38" t="str">
        <x:v>kabsa</x:v>
      </x:c>
      <x:c r="B37" s="38" t="str">
        <x:v>https://commons.wikimedia.org/w/index.php?search=Kabsa&amp;title=Special:MediaSearch&amp;type=image</x:v>
      </x:c>
      <x:c r="C37" s="38"/>
      <x:c r="D37" s="38" t="str">
        <x:v>wikimedia-commons</x:v>
      </x:c>
      <x:c r="E37" s="38"/>
      <x:c r="F37" s="38"/>
      <x:c r="G37" s="38"/>
      <x:c r="H37" s="75" t="b">
        <x:v>0</x:v>
      </x:c>
      <x:c r="I37" s="38" t="str">
        <x:v>candidate</x:v>
      </x:c>
      <x:c r="J37" s="38" t="str">
        <x:v>Kabsa dish</x:v>
      </x:c>
      <x:c r="K37" s="38"/>
    </x:row>
    <x:row r="38">
      <x:c r="A38" s="38" t="str">
        <x:v>shawarma</x:v>
      </x:c>
      <x:c r="B38" s="38" t="str">
        <x:v>https://commons.wikimedia.org/w/index.php?search=Shawarma&amp;title=Special:MediaSearch&amp;type=image</x:v>
      </x:c>
      <x:c r="C38" s="38"/>
      <x:c r="D38" s="38" t="str">
        <x:v>wikimedia-commons</x:v>
      </x:c>
      <x:c r="E38" s="38"/>
      <x:c r="F38" s="38"/>
      <x:c r="G38" s="38"/>
      <x:c r="H38" s="75" t="b">
        <x:v>0</x:v>
      </x:c>
      <x:c r="I38" s="38" t="str">
        <x:v>candidate</x:v>
      </x:c>
      <x:c r="J38" s="38" t="str">
        <x:v>Shawarma dish</x:v>
      </x:c>
      <x:c r="K38" s="38"/>
    </x:row>
    <x:row r="39">
      <x:c r="A39" s="38" t="str">
        <x:v>ash-reshteh</x:v>
      </x:c>
      <x:c r="B39" s="38" t="str">
        <x:v>https://commons.wikimedia.org/w/index.php?search=Ash+Reshteh&amp;title=Special:MediaSearch&amp;type=image</x:v>
      </x:c>
      <x:c r="C39" s="38"/>
      <x:c r="D39" s="38" t="str">
        <x:v>wikimedia-commons</x:v>
      </x:c>
      <x:c r="E39" s="38"/>
      <x:c r="F39" s="38"/>
      <x:c r="G39" s="38"/>
      <x:c r="H39" s="75" t="b">
        <x:v>0</x:v>
      </x:c>
      <x:c r="I39" s="38" t="str">
        <x:v>candidate</x:v>
      </x:c>
      <x:c r="J39" s="38" t="str">
        <x:v>Ash Reshteh dish</x:v>
      </x:c>
      <x:c r="K39" s="38"/>
    </x:row>
    <x:row r="40">
      <x:c r="A40" s="38" t="str">
        <x:v>jollof-rice</x:v>
      </x:c>
      <x:c r="B40" s="38" t="str">
        <x:v>https://commons.wikimedia.org/w/index.php?search=Jollof+Rice&amp;title=Special:MediaSearch&amp;type=image</x:v>
      </x:c>
      <x:c r="C40" s="38"/>
      <x:c r="D40" s="38" t="str">
        <x:v>wikimedia-commons</x:v>
      </x:c>
      <x:c r="E40" s="38"/>
      <x:c r="F40" s="38"/>
      <x:c r="G40" s="38"/>
      <x:c r="H40" s="75" t="b">
        <x:v>0</x:v>
      </x:c>
      <x:c r="I40" s="38" t="str">
        <x:v>candidate</x:v>
      </x:c>
      <x:c r="J40" s="38" t="str">
        <x:v>Jollof Rice dish</x:v>
      </x:c>
      <x:c r="K40" s="38"/>
    </x:row>
    <x:row r="41">
      <x:c r="A41" s="38" t="str">
        <x:v>doro-wat</x:v>
      </x:c>
      <x:c r="B41" s="38" t="str">
        <x:v>https://commons.wikimedia.org/w/index.php?search=Doro+Wat&amp;title=Special:MediaSearch&amp;type=image</x:v>
      </x:c>
      <x:c r="C41" s="38"/>
      <x:c r="D41" s="38" t="str">
        <x:v>wikimedia-commons</x:v>
      </x:c>
      <x:c r="E41" s="38"/>
      <x:c r="F41" s="38"/>
      <x:c r="G41" s="38"/>
      <x:c r="H41" s="75" t="b">
        <x:v>0</x:v>
      </x:c>
      <x:c r="I41" s="38" t="str">
        <x:v>candidate</x:v>
      </x:c>
      <x:c r="J41" s="38" t="str">
        <x:v>Doro Wat dish</x:v>
      </x:c>
      <x:c r="K41" s="38"/>
    </x:row>
    <x:row r="42">
      <x:c r="A42" s="38" t="str">
        <x:v>koshari</x:v>
      </x:c>
      <x:c r="B42" s="38" t="str">
        <x:v>https://commons.wikimedia.org/w/index.php?search=Koshari&amp;title=Special:MediaSearch&amp;type=image</x:v>
      </x:c>
      <x:c r="C42" s="38"/>
      <x:c r="D42" s="38" t="str">
        <x:v>wikimedia-commons</x:v>
      </x:c>
      <x:c r="E42" s="38"/>
      <x:c r="F42" s="38"/>
      <x:c r="G42" s="38"/>
      <x:c r="H42" s="75" t="b">
        <x:v>0</x:v>
      </x:c>
      <x:c r="I42" s="38" t="str">
        <x:v>candidate</x:v>
      </x:c>
      <x:c r="J42" s="38" t="str">
        <x:v>Koshari dish</x:v>
      </x:c>
      <x:c r="K42" s="38"/>
    </x:row>
    <x:row r="43">
      <x:c r="A43" s="38" t="str">
        <x:v>thieboudienne</x:v>
      </x:c>
      <x:c r="B43" s="38" t="str">
        <x:v>https://commons.wikimedia.org/w/index.php?search=Thieboudienne&amp;title=Special:MediaSearch&amp;type=image</x:v>
      </x:c>
      <x:c r="C43" s="38"/>
      <x:c r="D43" s="38" t="str">
        <x:v>wikimedia-commons</x:v>
      </x:c>
      <x:c r="E43" s="38"/>
      <x:c r="F43" s="38"/>
      <x:c r="G43" s="38"/>
      <x:c r="H43" s="75" t="b">
        <x:v>0</x:v>
      </x:c>
      <x:c r="I43" s="38" t="str">
        <x:v>candidate</x:v>
      </x:c>
      <x:c r="J43" s="38" t="str">
        <x:v>Thieboudienne dish</x:v>
      </x:c>
      <x:c r="K43" s="38"/>
    </x:row>
    <x:row r="44">
      <x:c r="A44" s="38" t="str">
        <x:v>paella</x:v>
      </x:c>
      <x:c r="B44" s="38" t="str">
        <x:v>https://commons.wikimedia.org/w/index.php?search=Paella&amp;title=Special:MediaSearch&amp;type=image</x:v>
      </x:c>
      <x:c r="C44" s="38"/>
      <x:c r="D44" s="38" t="str">
        <x:v>wikimedia-commons</x:v>
      </x:c>
      <x:c r="E44" s="38"/>
      <x:c r="F44" s="38"/>
      <x:c r="G44" s="38"/>
      <x:c r="H44" s="75" t="b">
        <x:v>0</x:v>
      </x:c>
      <x:c r="I44" s="38" t="str">
        <x:v>candidate</x:v>
      </x:c>
      <x:c r="J44" s="38" t="str">
        <x:v>Paella dish</x:v>
      </x:c>
      <x:c r="K44" s="38"/>
    </x:row>
    <x:row r="45">
      <x:c r="A45" s="38" t="str">
        <x:v>goulash</x:v>
      </x:c>
      <x:c r="B45" s="38" t="str">
        <x:v>https://commons.wikimedia.org/w/index.php?search=Goulash&amp;title=Special:MediaSearch&amp;type=image</x:v>
      </x:c>
      <x:c r="C45" s="38"/>
      <x:c r="D45" s="38" t="str">
        <x:v>wikimedia-commons</x:v>
      </x:c>
      <x:c r="E45" s="38"/>
      <x:c r="F45" s="38"/>
      <x:c r="G45" s="38"/>
      <x:c r="H45" s="75" t="b">
        <x:v>0</x:v>
      </x:c>
      <x:c r="I45" s="38" t="str">
        <x:v>candidate</x:v>
      </x:c>
      <x:c r="J45" s="38" t="str">
        <x:v>Goulash dish</x:v>
      </x:c>
      <x:c r="K45" s="38"/>
    </x:row>
    <x:row r="46">
      <x:c r="A46" s="38" t="str">
        <x:v>souvlaki</x:v>
      </x:c>
      <x:c r="B46" s="38" t="str">
        <x:v>https://commons.wikimedia.org/w/index.php?search=Souvlaki&amp;title=Special:MediaSearch&amp;type=image</x:v>
      </x:c>
      <x:c r="C46" s="38"/>
      <x:c r="D46" s="38" t="str">
        <x:v>wikimedia-commons</x:v>
      </x:c>
      <x:c r="E46" s="38"/>
      <x:c r="F46" s="38"/>
      <x:c r="G46" s="38"/>
      <x:c r="H46" s="75" t="b">
        <x:v>0</x:v>
      </x:c>
      <x:c r="I46" s="38" t="str">
        <x:v>candidate</x:v>
      </x:c>
      <x:c r="J46" s="38" t="str">
        <x:v>Souvlaki dish</x:v>
      </x:c>
      <x:c r="K46" s="38"/>
    </x:row>
    <x:row r="47">
      <x:c r="A47" s="38" t="str">
        <x:v>pierogi</x:v>
      </x:c>
      <x:c r="B47" s="38" t="str">
        <x:v>https://commons.wikimedia.org/w/index.php?search=Pierogi&amp;title=Special:MediaSearch&amp;type=image</x:v>
      </x:c>
      <x:c r="C47" s="38"/>
      <x:c r="D47" s="38" t="str">
        <x:v>wikimedia-commons</x:v>
      </x:c>
      <x:c r="E47" s="38"/>
      <x:c r="F47" s="38"/>
      <x:c r="G47" s="38"/>
      <x:c r="H47" s="75" t="b">
        <x:v>0</x:v>
      </x:c>
      <x:c r="I47" s="38" t="str">
        <x:v>candidate</x:v>
      </x:c>
      <x:c r="J47" s="38" t="str">
        <x:v>Pierogi dish</x:v>
      </x:c>
      <x:c r="K47" s="38"/>
    </x:row>
    <x:row r="48">
      <x:c r="A48" s="38" t="str">
        <x:v>arepa</x:v>
      </x:c>
      <x:c r="B48" s="38" t="str">
        <x:v>https://commons.wikimedia.org/w/index.php?search=Arepa&amp;title=Special:MediaSearch&amp;type=image</x:v>
      </x:c>
      <x:c r="C48" s="38"/>
      <x:c r="D48" s="38" t="str">
        <x:v>wikimedia-commons</x:v>
      </x:c>
      <x:c r="E48" s="38"/>
      <x:c r="F48" s="38"/>
      <x:c r="G48" s="38"/>
      <x:c r="H48" s="75" t="b">
        <x:v>0</x:v>
      </x:c>
      <x:c r="I48" s="38" t="str">
        <x:v>candidate</x:v>
      </x:c>
      <x:c r="J48" s="38" t="str">
        <x:v>Arepa dish</x:v>
      </x:c>
      <x:c r="K48" s="38"/>
    </x:row>
    <x:row r="49">
      <x:c r="A49" s="38" t="str">
        <x:v>ceviche</x:v>
      </x:c>
      <x:c r="B49" s="38" t="str">
        <x:v>https://commons.wikimedia.org/w/index.php?search=Ceviche&amp;title=Special:MediaSearch&amp;type=image</x:v>
      </x:c>
      <x:c r="C49" s="38"/>
      <x:c r="D49" s="38" t="str">
        <x:v>wikimedia-commons</x:v>
      </x:c>
      <x:c r="E49" s="38"/>
      <x:c r="F49" s="38"/>
      <x:c r="G49" s="38"/>
      <x:c r="H49" s="75" t="b">
        <x:v>0</x:v>
      </x:c>
      <x:c r="I49" s="38" t="str">
        <x:v>candidate</x:v>
      </x:c>
      <x:c r="J49" s="38" t="str">
        <x:v>Ceviche dish</x:v>
      </x:c>
      <x:c r="K49" s="38"/>
    </x:row>
    <x:row r="50">
      <x:c r="A50" s="38" t="str">
        <x:v>arroz-con-pollo</x:v>
      </x:c>
      <x:c r="B50" s="38" t="str">
        <x:v>https://commons.wikimedia.org/w/index.php?search=Arroz+con+Pollo&amp;title=Special:MediaSearch&amp;type=image</x:v>
      </x:c>
      <x:c r="C50" s="38"/>
      <x:c r="D50" s="38" t="str">
        <x:v>wikimedia-commons</x:v>
      </x:c>
      <x:c r="E50" s="38"/>
      <x:c r="F50" s="38"/>
      <x:c r="G50" s="38"/>
      <x:c r="H50" s="75" t="b">
        <x:v>0</x:v>
      </x:c>
      <x:c r="I50" s="38" t="str">
        <x:v>candidate</x:v>
      </x:c>
      <x:c r="J50" s="38" t="str">
        <x:v>Arroz con Pollo dish</x:v>
      </x:c>
      <x:c r="K50" s="38"/>
    </x:row>
    <x:row r="51">
      <x:c r="A51" s="38" t="str">
        <x:v>sancocho</x:v>
      </x:c>
      <x:c r="B51" s="38" t="str">
        <x:v>https://commons.wikimedia.org/w/index.php?search=Sancocho&amp;title=Special:MediaSearch&amp;type=image</x:v>
      </x:c>
      <x:c r="C51" s="38"/>
      <x:c r="D51" s="38" t="str">
        <x:v>wikimedia-commons</x:v>
      </x:c>
      <x:c r="E51" s="38"/>
      <x:c r="F51" s="38"/>
      <x:c r="G51" s="38"/>
      <x:c r="H51" s="75" t="b">
        <x:v>0</x:v>
      </x:c>
      <x:c r="I51" s="38" t="str">
        <x:v>candidate</x:v>
      </x:c>
      <x:c r="J51" s="38" t="str">
        <x:v>Sancocho dish</x:v>
      </x:c>
      <x:c r="K51" s="38"/>
    </x:row>
    <x:row r="52">
      <x:c r="A52" s="38" t="str">
        <x:v>gumbo</x:v>
      </x:c>
      <x:c r="B52" s="38" t="str">
        <x:v>https://commons.wikimedia.org/w/index.php?search=Gumbo&amp;title=Special:MediaSearch&amp;type=image</x:v>
      </x:c>
      <x:c r="C52" s="38"/>
      <x:c r="D52" s="38" t="str">
        <x:v>wikimedia-commons</x:v>
      </x:c>
      <x:c r="E52" s="38"/>
      <x:c r="F52" s="38"/>
      <x:c r="G52" s="38"/>
      <x:c r="H52" s="75" t="b">
        <x:v>0</x:v>
      </x:c>
      <x:c r="I52" s="38" t="str">
        <x:v>candidate</x:v>
      </x:c>
      <x:c r="J52" s="38" t="str">
        <x:v>Gumbo dish</x:v>
      </x:c>
      <x:c r="K52" s="38"/>
    </x:row>
    <x:row r="53">
      <x:c r="A53" s="38" t="str">
        <x:v>smoked-brisket</x:v>
      </x:c>
      <x:c r="B53" s="38" t="str">
        <x:v>https://commons.wikimedia.org/w/index.php?search=Smoked+Brisket&amp;title=Special:MediaSearch&amp;type=image</x:v>
      </x:c>
      <x:c r="C53" s="38"/>
      <x:c r="D53" s="38" t="str">
        <x:v>wikimedia-commons</x:v>
      </x:c>
      <x:c r="E53" s="38"/>
      <x:c r="F53" s="38"/>
      <x:c r="G53" s="38"/>
      <x:c r="H53" s="75" t="b">
        <x:v>0</x:v>
      </x:c>
      <x:c r="I53" s="38" t="str">
        <x:v>candidate</x:v>
      </x:c>
      <x:c r="J53" s="38" t="str">
        <x:v>Smoked Brisket dish</x:v>
      </x:c>
      <x:c r="K53" s="38"/>
    </x:row>
    <x:row r="54">
      <x:c r="A54" s="38" t="str">
        <x:v>poke-bowl</x:v>
      </x:c>
      <x:c r="B54" s="38" t="str">
        <x:v>https://commons.wikimedia.org/w/index.php?search=Poke+Bowl&amp;title=Special:MediaSearch&amp;type=image</x:v>
      </x:c>
      <x:c r="C54" s="38"/>
      <x:c r="D54" s="38" t="str">
        <x:v>wikimedia-commons</x:v>
      </x:c>
      <x:c r="E54" s="38"/>
      <x:c r="F54" s="38"/>
      <x:c r="G54" s="38"/>
      <x:c r="H54" s="75" t="b">
        <x:v>0</x:v>
      </x:c>
      <x:c r="I54" s="38" t="str">
        <x:v>candidate</x:v>
      </x:c>
      <x:c r="J54" s="38" t="str">
        <x:v>Poke Bowl dish</x:v>
      </x:c>
      <x:c r="K54" s="38"/>
    </x:row>
    <x:row r="55">
      <x:c r="A55" s="38" t="str">
        <x:v>nasi-goreng</x:v>
      </x:c>
      <x:c r="B55" s="38" t="str">
        <x:v>https://commons.wikimedia.org/w/index.php?search=Nasi+Goreng&amp;title=Special:MediaSearch&amp;type=image</x:v>
      </x:c>
      <x:c r="C55" s="38"/>
      <x:c r="D55" s="38" t="str">
        <x:v>wikimedia-commons</x:v>
      </x:c>
      <x:c r="E55" s="38"/>
      <x:c r="F55" s="38"/>
      <x:c r="G55" s="38"/>
      <x:c r="H55" s="75" t="b">
        <x:v>0</x:v>
      </x:c>
      <x:c r="I55" s="38" t="str">
        <x:v>candidate</x:v>
      </x:c>
      <x:c r="J55" s="38" t="str">
        <x:v>Nasi Goreng dish</x:v>
      </x:c>
      <x:c r="K55" s="38"/>
    </x:row>
    <x:row r="56">
      <x:c r="A56" s="38" t="str">
        <x:v>chicken-adobo</x:v>
      </x:c>
      <x:c r="B56" s="38" t="str">
        <x:v>https://commons.wikimedia.org/w/index.php?search=Chicken+Adobo&amp;title=Special:MediaSearch&amp;type=image</x:v>
      </x:c>
      <x:c r="C56" s="38"/>
      <x:c r="D56" s="38" t="str">
        <x:v>wikimedia-commons</x:v>
      </x:c>
      <x:c r="E56" s="38"/>
      <x:c r="F56" s="38"/>
      <x:c r="G56" s="38"/>
      <x:c r="H56" s="75" t="b">
        <x:v>0</x:v>
      </x:c>
      <x:c r="I56" s="38" t="str">
        <x:v>candidate</x:v>
      </x:c>
      <x:c r="J56" s="38" t="str">
        <x:v>Chicken Adobo dish</x:v>
      </x:c>
      <x:c r="K56" s="38"/>
    </x:row>
    <x:row r="57">
      <x:c r="A57" s="38" t="str">
        <x:v>satay</x:v>
      </x:c>
      <x:c r="B57" s="38" t="str">
        <x:v>https://commons.wikimedia.org/w/index.php?search=Satay&amp;title=Special:MediaSearch&amp;type=image</x:v>
      </x:c>
      <x:c r="C57" s="38"/>
      <x:c r="D57" s="38" t="str">
        <x:v>wikimedia-commons</x:v>
      </x:c>
      <x:c r="E57" s="38"/>
      <x:c r="F57" s="38"/>
      <x:c r="G57" s="38"/>
      <x:c r="H57" s="75" t="b">
        <x:v>0</x:v>
      </x:c>
      <x:c r="I57" s="38" t="str">
        <x:v>candidate</x:v>
      </x:c>
      <x:c r="J57" s="38" t="str">
        <x:v>Satay dish</x:v>
      </x:c>
      <x:c r="K57" s="38"/>
    </x:row>
    <x:row r="58">
      <x:c r="A58" s="38" t="str">
        <x:v>laksa</x:v>
      </x:c>
      <x:c r="B58" s="38" t="str">
        <x:v>https://commons.wikimedia.org/w/index.php?search=Laksa&amp;title=Special:MediaSearch&amp;type=image</x:v>
      </x:c>
      <x:c r="C58" s="38"/>
      <x:c r="D58" s="38" t="str">
        <x:v>wikimedia-commons</x:v>
      </x:c>
      <x:c r="E58" s="38"/>
      <x:c r="F58" s="38"/>
      <x:c r="G58" s="38"/>
      <x:c r="H58" s="75" t="b">
        <x:v>0</x:v>
      </x:c>
      <x:c r="I58" s="38" t="str">
        <x:v>candidate</x:v>
      </x:c>
      <x:c r="J58" s="38" t="str">
        <x:v>Laksa dish</x:v>
      </x:c>
      <x:c r="K58" s="38"/>
    </x:row>
    <x:row r="59">
      <x:c r="A59" s="38" t="str">
        <x:v>banh-mi</x:v>
      </x:c>
      <x:c r="B59" s="38" t="str">
        <x:v>https://commons.wikimedia.org/w/index.php?search=B%C3%A1nh+M%C3%AC&amp;title=Special:MediaSearch&amp;type=image</x:v>
      </x:c>
      <x:c r="C59" s="38"/>
      <x:c r="D59" s="38" t="str">
        <x:v>wikimedia-commons</x:v>
      </x:c>
      <x:c r="E59" s="38"/>
      <x:c r="F59" s="38"/>
      <x:c r="G59" s="38"/>
      <x:c r="H59" s="75" t="b">
        <x:v>0</x:v>
      </x:c>
      <x:c r="I59" s="38" t="str">
        <x:v>candidate</x:v>
      </x:c>
      <x:c r="J59" s="38" t="str">
        <x:v>Bánh Mì dish</x:v>
      </x:c>
      <x:c r="K59" s="38"/>
    </x:row>
    <x:row r="60">
      <x:c r="A60" s="38" t="str">
        <x:v>sinigang</x:v>
      </x:c>
      <x:c r="B60" s="38" t="str">
        <x:v>https://commons.wikimedia.org/w/index.php?search=Sinigang&amp;title=Special:MediaSearch&amp;type=image</x:v>
      </x:c>
      <x:c r="C60" s="38"/>
      <x:c r="D60" s="38" t="str">
        <x:v>wikimedia-commons</x:v>
      </x:c>
      <x:c r="E60" s="38"/>
      <x:c r="F60" s="38"/>
      <x:c r="G60" s="38"/>
      <x:c r="H60" s="75" t="b">
        <x:v>0</x:v>
      </x:c>
      <x:c r="I60" s="38" t="str">
        <x:v>candidate</x:v>
      </x:c>
      <x:c r="J60" s="38" t="str">
        <x:v>Sinigang dish</x:v>
      </x:c>
      <x:c r="K60" s="38"/>
    </x:row>
    <x:row r="61">
      <x:c r="A61" s="38" t="str">
        <x:v>gyoza</x:v>
      </x:c>
      <x:c r="B61" s="38" t="str">
        <x:v>https://commons.wikimedia.org/w/index.php?search=Gyoza&amp;title=Special:MediaSearch&amp;type=image</x:v>
      </x:c>
      <x:c r="C61" s="38"/>
      <x:c r="D61" s="38" t="str">
        <x:v>wikimedia-commons</x:v>
      </x:c>
      <x:c r="E61" s="38"/>
      <x:c r="F61" s="38"/>
      <x:c r="G61" s="38"/>
      <x:c r="H61" s="75" t="b">
        <x:v>0</x:v>
      </x:c>
      <x:c r="I61" s="38" t="str">
        <x:v>candidate</x:v>
      </x:c>
      <x:c r="J61" s="38" t="str">
        <x:v>Gyoza dish</x:v>
      </x:c>
      <x:c r="K61" s="38"/>
    </x:row>
    <x:row r="62">
      <x:c r="A62" s="38" t="str">
        <x:v>tonkatsu</x:v>
      </x:c>
      <x:c r="B62" s="38" t="str">
        <x:v>https://commons.wikimedia.org/w/index.php?search=Tonkatsu&amp;title=Special:MediaSearch&amp;type=image</x:v>
      </x:c>
      <x:c r="C62" s="38"/>
      <x:c r="D62" s="38" t="str">
        <x:v>wikimedia-commons</x:v>
      </x:c>
      <x:c r="E62" s="38"/>
      <x:c r="F62" s="38"/>
      <x:c r="G62" s="38"/>
      <x:c r="H62" s="75" t="b">
        <x:v>0</x:v>
      </x:c>
      <x:c r="I62" s="38" t="str">
        <x:v>candidate</x:v>
      </x:c>
      <x:c r="J62" s="38" t="str">
        <x:v>Tonkatsu dish</x:v>
      </x:c>
      <x:c r="K62" s="38"/>
    </x:row>
    <x:row r="63">
      <x:c r="A63" s="38" t="str">
        <x:v>congee</x:v>
      </x:c>
      <x:c r="B63" s="38" t="str">
        <x:v>https://commons.wikimedia.org/w/index.php?search=Congee&amp;title=Special:MediaSearch&amp;type=image</x:v>
      </x:c>
      <x:c r="C63" s="38"/>
      <x:c r="D63" s="38" t="str">
        <x:v>wikimedia-commons</x:v>
      </x:c>
      <x:c r="E63" s="38"/>
      <x:c r="F63" s="38"/>
      <x:c r="G63" s="38"/>
      <x:c r="H63" s="75" t="b">
        <x:v>0</x:v>
      </x:c>
      <x:c r="I63" s="38" t="str">
        <x:v>candidate</x:v>
      </x:c>
      <x:c r="J63" s="38" t="str">
        <x:v>Congee dish</x:v>
      </x:c>
      <x:c r="K63" s="38"/>
    </x:row>
    <x:row r="64">
      <x:c r="A64" s="38" t="str">
        <x:v>samosa</x:v>
      </x:c>
      <x:c r="B64" s="38" t="str">
        <x:v>https://commons.wikimedia.org/w/index.php?search=Samosa&amp;title=Special:MediaSearch&amp;type=image</x:v>
      </x:c>
      <x:c r="C64" s="38"/>
      <x:c r="D64" s="38" t="str">
        <x:v>wikimedia-commons</x:v>
      </x:c>
      <x:c r="E64" s="38"/>
      <x:c r="F64" s="38"/>
      <x:c r="G64" s="38"/>
      <x:c r="H64" s="75" t="b">
        <x:v>0</x:v>
      </x:c>
      <x:c r="I64" s="38" t="str">
        <x:v>candidate</x:v>
      </x:c>
      <x:c r="J64" s="38" t="str">
        <x:v>Samosa dish</x:v>
      </x:c>
      <x:c r="K64" s="38"/>
    </x:row>
    <x:row r="65">
      <x:c r="A65" s="38" t="str">
        <x:v>tandoori-chicken</x:v>
      </x:c>
      <x:c r="B65" s="38" t="str">
        <x:v>https://commons.wikimedia.org/w/index.php?search=Tandoori+Chicken&amp;title=Special:MediaSearch&amp;type=image</x:v>
      </x:c>
      <x:c r="C65" s="38"/>
      <x:c r="D65" s="38" t="str">
        <x:v>wikimedia-commons</x:v>
      </x:c>
      <x:c r="E65" s="38"/>
      <x:c r="F65" s="38"/>
      <x:c r="G65" s="38"/>
      <x:c r="H65" s="75" t="b">
        <x:v>0</x:v>
      </x:c>
      <x:c r="I65" s="38" t="str">
        <x:v>candidate</x:v>
      </x:c>
      <x:c r="J65" s="38" t="str">
        <x:v>Tandoori Chicken dish</x:v>
      </x:c>
      <x:c r="K65" s="38"/>
    </x:row>
    <x:row r="66">
      <x:c r="A66" s="38" t="str">
        <x:v>idiyappam</x:v>
      </x:c>
      <x:c r="B66" s="38" t="str">
        <x:v>https://commons.wikimedia.org/w/index.php?search=Idiyappam&amp;title=Special:MediaSearch&amp;type=image</x:v>
      </x:c>
      <x:c r="C66" s="38"/>
      <x:c r="D66" s="38" t="str">
        <x:v>wikimedia-commons</x:v>
      </x:c>
      <x:c r="E66" s="38"/>
      <x:c r="F66" s="38"/>
      <x:c r="G66" s="38"/>
      <x:c r="H66" s="75" t="b">
        <x:v>0</x:v>
      </x:c>
      <x:c r="I66" s="38" t="str">
        <x:v>candidate</x:v>
      </x:c>
      <x:c r="J66" s="38" t="str">
        <x:v>Idiyappam dish</x:v>
      </x:c>
      <x:c r="K66" s="38"/>
    </x:row>
    <x:row r="67">
      <x:c r="A67" s="38" t="str">
        <x:v>falafel</x:v>
      </x:c>
      <x:c r="B67" s="38" t="str">
        <x:v>https://commons.wikimedia.org/w/index.php?search=Falafel&amp;title=Special:MediaSearch&amp;type=image</x:v>
      </x:c>
      <x:c r="C67" s="38"/>
      <x:c r="D67" s="38" t="str">
        <x:v>wikimedia-commons</x:v>
      </x:c>
      <x:c r="E67" s="38"/>
      <x:c r="F67" s="38"/>
      <x:c r="G67" s="38"/>
      <x:c r="H67" s="75" t="b">
        <x:v>0</x:v>
      </x:c>
      <x:c r="I67" s="38" t="str">
        <x:v>candidate</x:v>
      </x:c>
      <x:c r="J67" s="38" t="str">
        <x:v>Falafel dish</x:v>
      </x:c>
      <x:c r="K67" s="38"/>
    </x:row>
    <x:row r="68">
      <x:c r="A68" s="38" t="str">
        <x:v>kabab-koobideh</x:v>
      </x:c>
      <x:c r="B68" s="38" t="str">
        <x:v>https://commons.wikimedia.org/w/index.php?search=Kabab+Koobideh&amp;title=Special:MediaSearch&amp;type=image</x:v>
      </x:c>
      <x:c r="C68" s="38"/>
      <x:c r="D68" s="38" t="str">
        <x:v>wikimedia-commons</x:v>
      </x:c>
      <x:c r="E68" s="38"/>
      <x:c r="F68" s="38"/>
      <x:c r="G68" s="38"/>
      <x:c r="H68" s="75" t="b">
        <x:v>0</x:v>
      </x:c>
      <x:c r="I68" s="38" t="str">
        <x:v>candidate</x:v>
      </x:c>
      <x:c r="J68" s="38" t="str">
        <x:v>Kabab Koobideh dish</x:v>
      </x:c>
      <x:c r="K68" s="38"/>
    </x:row>
    <x:row r="69">
      <x:c r="A69" s="38" t="str">
        <x:v>mujadara</x:v>
      </x:c>
      <x:c r="B69" s="38" t="str">
        <x:v>https://commons.wikimedia.org/w/index.php?search=Mujadara&amp;title=Special:MediaSearch&amp;type=image</x:v>
      </x:c>
      <x:c r="C69" s="38"/>
      <x:c r="D69" s="38" t="str">
        <x:v>wikimedia-commons</x:v>
      </x:c>
      <x:c r="E69" s="38"/>
      <x:c r="F69" s="38"/>
      <x:c r="G69" s="38"/>
      <x:c r="H69" s="75" t="b">
        <x:v>0</x:v>
      </x:c>
      <x:c r="I69" s="38" t="str">
        <x:v>candidate</x:v>
      </x:c>
      <x:c r="J69" s="38" t="str">
        <x:v>Mujadara dish</x:v>
      </x:c>
      <x:c r="K69" s="38"/>
    </x:row>
    <x:row r="70">
      <x:c r="A70" s="38" t="str">
        <x:v>bunny-chow</x:v>
      </x:c>
      <x:c r="B70" s="38" t="str">
        <x:v>https://commons.wikimedia.org/w/index.php?search=Bunny+Chow&amp;title=Special:MediaSearch&amp;type=image</x:v>
      </x:c>
      <x:c r="C70" s="38"/>
      <x:c r="D70" s="38" t="str">
        <x:v>wikimedia-commons</x:v>
      </x:c>
      <x:c r="E70" s="38"/>
      <x:c r="F70" s="38"/>
      <x:c r="G70" s="38"/>
      <x:c r="H70" s="75" t="b">
        <x:v>0</x:v>
      </x:c>
      <x:c r="I70" s="38" t="str">
        <x:v>candidate</x:v>
      </x:c>
      <x:c r="J70" s="38" t="str">
        <x:v>Bunny Chow dish</x:v>
      </x:c>
      <x:c r="K70" s="38"/>
    </x:row>
    <x:row r="71">
      <x:c r="A71" s="38" t="str">
        <x:v>bobotie</x:v>
      </x:c>
      <x:c r="B71" s="38" t="str">
        <x:v>https://commons.wikimedia.org/w/index.php?search=Bobotie&amp;title=Special:MediaSearch&amp;type=image</x:v>
      </x:c>
      <x:c r="C71" s="38"/>
      <x:c r="D71" s="38" t="str">
        <x:v>wikimedia-commons</x:v>
      </x:c>
      <x:c r="E71" s="38"/>
      <x:c r="F71" s="38"/>
      <x:c r="G71" s="38"/>
      <x:c r="H71" s="75" t="b">
        <x:v>0</x:v>
      </x:c>
      <x:c r="I71" s="38" t="str">
        <x:v>candidate</x:v>
      </x:c>
      <x:c r="J71" s="38" t="str">
        <x:v>Bobotie dish</x:v>
      </x:c>
      <x:c r="K71" s="38"/>
    </x:row>
    <x:row r="72">
      <x:c r="A72" s="38" t="str">
        <x:v>egusi-soup</x:v>
      </x:c>
      <x:c r="B72" s="38" t="str">
        <x:v>https://commons.wikimedia.org/w/index.php?search=Egusi+Soup&amp;title=Special:MediaSearch&amp;type=image</x:v>
      </x:c>
      <x:c r="C72" s="38"/>
      <x:c r="D72" s="38" t="str">
        <x:v>wikimedia-commons</x:v>
      </x:c>
      <x:c r="E72" s="38"/>
      <x:c r="F72" s="38"/>
      <x:c r="G72" s="38"/>
      <x:c r="H72" s="75" t="b">
        <x:v>0</x:v>
      </x:c>
      <x:c r="I72" s="38" t="str">
        <x:v>candidate</x:v>
      </x:c>
      <x:c r="J72" s="38" t="str">
        <x:v>Egusi Soup dish</x:v>
      </x:c>
      <x:c r="K72" s="38"/>
    </x:row>
    <x:row r="73">
      <x:c r="A73" s="38" t="str">
        <x:v>risotto</x:v>
      </x:c>
      <x:c r="B73" s="38" t="str">
        <x:v>https://commons.wikimedia.org/w/index.php?search=Risotto&amp;title=Special:MediaSearch&amp;type=image</x:v>
      </x:c>
      <x:c r="C73" s="38"/>
      <x:c r="D73" s="38" t="str">
        <x:v>wikimedia-commons</x:v>
      </x:c>
      <x:c r="E73" s="38"/>
      <x:c r="F73" s="38"/>
      <x:c r="G73" s="38"/>
      <x:c r="H73" s="75" t="b">
        <x:v>0</x:v>
      </x:c>
      <x:c r="I73" s="38" t="str">
        <x:v>candidate</x:v>
      </x:c>
      <x:c r="J73" s="38" t="str">
        <x:v>Risotto dish</x:v>
      </x:c>
      <x:c r="K73" s="38"/>
    </x:row>
    <x:row r="74">
      <x:c r="A74" s="38" t="str">
        <x:v>arancini</x:v>
      </x:c>
      <x:c r="B74" s="38" t="str">
        <x:v>https://commons.wikimedia.org/w/index.php?search=Arancini&amp;title=Special:MediaSearch&amp;type=image</x:v>
      </x:c>
      <x:c r="C74" s="38"/>
      <x:c r="D74" s="38" t="str">
        <x:v>wikimedia-commons</x:v>
      </x:c>
      <x:c r="E74" s="38"/>
      <x:c r="F74" s="38"/>
      <x:c r="G74" s="38"/>
      <x:c r="H74" s="75" t="b">
        <x:v>0</x:v>
      </x:c>
      <x:c r="I74" s="38" t="str">
        <x:v>candidate</x:v>
      </x:c>
      <x:c r="J74" s="38" t="str">
        <x:v>Arancini dish</x:v>
      </x:c>
      <x:c r="K74" s="38"/>
    </x:row>
    <x:row r="75">
      <x:c r="A75" s="38" t="str">
        <x:v>schnitzel</x:v>
      </x:c>
      <x:c r="B75" s="38" t="str">
        <x:v>https://commons.wikimedia.org/w/index.php?search=Schnitzel&amp;title=Special:MediaSearch&amp;type=image</x:v>
      </x:c>
      <x:c r="C75" s="38"/>
      <x:c r="D75" s="38" t="str">
        <x:v>wikimedia-commons</x:v>
      </x:c>
      <x:c r="E75" s="38"/>
      <x:c r="F75" s="38"/>
      <x:c r="G75" s="38"/>
      <x:c r="H75" s="75" t="b">
        <x:v>0</x:v>
      </x:c>
      <x:c r="I75" s="38" t="str">
        <x:v>candidate</x:v>
      </x:c>
      <x:c r="J75" s="38" t="str">
        <x:v>Schnitzel dish</x:v>
      </x:c>
      <x:c r="K75" s="38"/>
    </x:row>
    <x:row r="76">
      <x:c r="A76" s="38" t="str">
        <x:v>empanadas</x:v>
      </x:c>
      <x:c r="B76" s="38" t="str">
        <x:v>https://commons.wikimedia.org/w/index.php?search=Empanadas&amp;title=Special:MediaSearch&amp;type=image</x:v>
      </x:c>
      <x:c r="C76" s="38"/>
      <x:c r="D76" s="38" t="str">
        <x:v>wikimedia-commons</x:v>
      </x:c>
      <x:c r="E76" s="38"/>
      <x:c r="F76" s="38"/>
      <x:c r="G76" s="38"/>
      <x:c r="H76" s="75" t="b">
        <x:v>0</x:v>
      </x:c>
      <x:c r="I76" s="38" t="str">
        <x:v>candidate</x:v>
      </x:c>
      <x:c r="J76" s="38" t="str">
        <x:v>Empanadas dish</x:v>
      </x:c>
      <x:c r="K76" s="38"/>
    </x:row>
    <x:row r="77">
      <x:c r="A77" s="38" t="str">
        <x:v>feijoada</x:v>
      </x:c>
      <x:c r="B77" s="38" t="str">
        <x:v>https://commons.wikimedia.org/w/index.php?search=Feijoada&amp;title=Special:MediaSearch&amp;type=image</x:v>
      </x:c>
      <x:c r="C77" s="38"/>
      <x:c r="D77" s="38" t="str">
        <x:v>wikimedia-commons</x:v>
      </x:c>
      <x:c r="E77" s="38"/>
      <x:c r="F77" s="38"/>
      <x:c r="G77" s="38"/>
      <x:c r="H77" s="75" t="b">
        <x:v>0</x:v>
      </x:c>
      <x:c r="I77" s="38" t="str">
        <x:v>candidate</x:v>
      </x:c>
      <x:c r="J77" s="38" t="str">
        <x:v>Feijoada dish</x:v>
      </x:c>
      <x:c r="K77" s="38"/>
    </x:row>
    <x:row r="78">
      <x:c r="A78" s="38" t="str">
        <x:v>macaroni-and-cheese</x:v>
      </x:c>
      <x:c r="B78" s="38" t="str">
        <x:v>https://commons.wikimedia.org/w/index.php?search=Macaroni+and+Cheese&amp;title=Special:MediaSearch&amp;type=image</x:v>
      </x:c>
      <x:c r="C78" s="38"/>
      <x:c r="D78" s="38" t="str">
        <x:v>wikimedia-commons</x:v>
      </x:c>
      <x:c r="E78" s="38"/>
      <x:c r="F78" s="38"/>
      <x:c r="G78" s="38"/>
      <x:c r="H78" s="75" t="b">
        <x:v>0</x:v>
      </x:c>
      <x:c r="I78" s="38" t="str">
        <x:v>candidate</x:v>
      </x:c>
      <x:c r="J78" s="38" t="str">
        <x:v>Macaroni and Cheese dish</x:v>
      </x:c>
      <x:c r="K78" s="38"/>
    </x:row>
    <x:row r="79">
      <x:c r="A79" s="38" t="str">
        <x:v>pulled-pork-sandwich</x:v>
      </x:c>
      <x:c r="B79" s="38" t="str">
        <x:v>https://commons.wikimedia.org/w/index.php?search=Pulled+Pork+Sandwich&amp;title=Special:MediaSearch&amp;type=image</x:v>
      </x:c>
      <x:c r="C79" s="38"/>
      <x:c r="D79" s="38" t="str">
        <x:v>wikimedia-commons</x:v>
      </x:c>
      <x:c r="E79" s="38"/>
      <x:c r="F79" s="38"/>
      <x:c r="G79" s="38"/>
      <x:c r="H79" s="75" t="b">
        <x:v>0</x:v>
      </x:c>
      <x:c r="I79" s="38" t="str">
        <x:v>candidate</x:v>
      </x:c>
      <x:c r="J79" s="38" t="str">
        <x:v>Pulled Pork Sandwich dish</x:v>
      </x:c>
      <x:c r="K79" s="38"/>
    </x:row>
    <x:row r="80">
      <x:c r="A80" s="38" t="str">
        <x:v>dandan-noodles</x:v>
      </x:c>
      <x:c r="B80" s="38" t="str">
        <x:v>https://commons.wikimedia.org/w/index.php?search=Dandan+Noodles&amp;title=Special:MediaSearch&amp;type=image</x:v>
      </x:c>
      <x:c r="C80" s="38"/>
      <x:c r="D80" s="38" t="str">
        <x:v>wikimedia-commons</x:v>
      </x:c>
      <x:c r="E80" s="38"/>
      <x:c r="F80" s="38"/>
      <x:c r="G80" s="38"/>
      <x:c r="H80" s="75" t="b">
        <x:v>0</x:v>
      </x:c>
      <x:c r="I80" s="38" t="str">
        <x:v>candidate</x:v>
      </x:c>
      <x:c r="J80" s="38" t="str">
        <x:v>Dandan Noodles dish</x:v>
      </x:c>
      <x:c r="K80" s="38"/>
    </x:row>
    <x:row r="81">
      <x:c r="A81" s="38" t="str">
        <x:v>hot-and-sour-soup</x:v>
      </x:c>
      <x:c r="B81" s="38" t="str">
        <x:v>https://commons.wikimedia.org/w/index.php?search=Hot+and+Sour+Soup&amp;title=Special:MediaSearch&amp;type=image</x:v>
      </x:c>
      <x:c r="C81" s="38"/>
      <x:c r="D81" s="38" t="str">
        <x:v>wikimedia-commons</x:v>
      </x:c>
      <x:c r="E81" s="38"/>
      <x:c r="F81" s="38"/>
      <x:c r="G81" s="38"/>
      <x:c r="H81" s="75" t="b">
        <x:v>0</x:v>
      </x:c>
      <x:c r="I81" s="38" t="str">
        <x:v>candidate</x:v>
      </x:c>
      <x:c r="J81" s="38" t="str">
        <x:v>Hot and Sour Soup dish</x:v>
      </x:c>
      <x:c r="K81" s="38"/>
    </x:row>
    <x:row r="82">
      <x:c r="A82" s="38" t="str">
        <x:v>gimbap</x:v>
      </x:c>
      <x:c r="B82" s="38" t="str">
        <x:v>https://commons.wikimedia.org/w/index.php?search=Gimbap&amp;title=Special:MediaSearch&amp;type=image</x:v>
      </x:c>
      <x:c r="C82" s="38"/>
      <x:c r="D82" s="38" t="str">
        <x:v>wikimedia-commons</x:v>
      </x:c>
      <x:c r="E82" s="38"/>
      <x:c r="F82" s="38"/>
      <x:c r="G82" s="38"/>
      <x:c r="H82" s="75" t="b">
        <x:v>0</x:v>
      </x:c>
      <x:c r="I82" s="38" t="str">
        <x:v>candidate</x:v>
      </x:c>
      <x:c r="J82" s="38" t="str">
        <x:v>Gimbap dish</x:v>
      </x:c>
      <x:c r="K82" s="38"/>
    </x:row>
    <x:row r="83">
      <x:c r="A83" s="38" t="str">
        <x:v>nasi-lemak</x:v>
      </x:c>
      <x:c r="B83" s="38" t="str">
        <x:v>https://commons.wikimedia.org/w/index.php?search=Nasi+Lemak&amp;title=Special:MediaSearch&amp;type=image</x:v>
      </x:c>
      <x:c r="C83" s="38"/>
      <x:c r="D83" s="38" t="str">
        <x:v>wikimedia-commons</x:v>
      </x:c>
      <x:c r="E83" s="38"/>
      <x:c r="F83" s="38"/>
      <x:c r="G83" s="38"/>
      <x:c r="H83" s="75" t="b">
        <x:v>0</x:v>
      </x:c>
      <x:c r="I83" s="38" t="str">
        <x:v>candidate</x:v>
      </x:c>
      <x:c r="J83" s="38" t="str">
        <x:v>Nasi Lemak dish</x:v>
      </x:c>
      <x:c r="K83" s="38"/>
    </x:row>
    <x:row r="84">
      <x:c r="A84" s="38" t="str">
        <x:v>fried-lumpia</x:v>
      </x:c>
      <x:c r="B84" s="38" t="str">
        <x:v>https://commons.wikimedia.org/w/index.php?search=Fried+Lumpia&amp;title=Special:MediaSearch&amp;type=image</x:v>
      </x:c>
      <x:c r="C84" s="38"/>
      <x:c r="D84" s="38" t="str">
        <x:v>wikimedia-commons</x:v>
      </x:c>
      <x:c r="E84" s="38"/>
      <x:c r="F84" s="38"/>
      <x:c r="G84" s="38"/>
      <x:c r="H84" s="75" t="b">
        <x:v>0</x:v>
      </x:c>
      <x:c r="I84" s="38" t="str">
        <x:v>candidate</x:v>
      </x:c>
      <x:c r="J84" s="38" t="str">
        <x:v>Fried Lumpia dish</x:v>
      </x:c>
      <x:c r="K84" s="38"/>
    </x:row>
    <x:row r="85">
      <x:c r="A85" s="38" t="str">
        <x:v>ayam-bakar</x:v>
      </x:c>
      <x:c r="B85" s="38" t="str">
        <x:v>https://commons.wikimedia.org/w/index.php?search=Ayam+Bakar&amp;title=Special:MediaSearch&amp;type=image</x:v>
      </x:c>
      <x:c r="C85" s="38"/>
      <x:c r="D85" s="38" t="str">
        <x:v>wikimedia-commons</x:v>
      </x:c>
      <x:c r="E85" s="38"/>
      <x:c r="F85" s="38"/>
      <x:c r="G85" s="38"/>
      <x:c r="H85" s="75" t="b">
        <x:v>0</x:v>
      </x:c>
      <x:c r="I85" s="38" t="str">
        <x:v>candidate</x:v>
      </x:c>
      <x:c r="J85" s="38" t="str">
        <x:v>Ayam Bakar dish</x:v>
      </x:c>
      <x:c r="K85" s="38"/>
    </x:row>
    <x:row r="86">
      <x:c r="A86" s="38" t="str">
        <x:v>rendang</x:v>
      </x:c>
      <x:c r="B86" s="38" t="str">
        <x:v>https://commons.wikimedia.org/w/index.php?search=Rendang&amp;title=Special:MediaSearch&amp;type=image</x:v>
      </x:c>
      <x:c r="C86" s="38"/>
      <x:c r="D86" s="38" t="str">
        <x:v>wikimedia-commons</x:v>
      </x:c>
      <x:c r="E86" s="38"/>
      <x:c r="F86" s="38"/>
      <x:c r="G86" s="38"/>
      <x:c r="H86" s="75" t="b">
        <x:v>0</x:v>
      </x:c>
      <x:c r="I86" s="38" t="str">
        <x:v>candidate</x:v>
      </x:c>
      <x:c r="J86" s="38" t="str">
        <x:v>Rendang dish</x:v>
      </x:c>
      <x:c r="K86" s="38"/>
    </x:row>
    <x:row r="87">
      <x:c r="A87" s="38" t="str">
        <x:v>kottu-roti</x:v>
      </x:c>
      <x:c r="B87" s="38" t="str">
        <x:v>https://commons.wikimedia.org/w/index.php?search=Kottu+Roti&amp;title=Special:MediaSearch&amp;type=image</x:v>
      </x:c>
      <x:c r="C87" s="38"/>
      <x:c r="D87" s="38" t="str">
        <x:v>wikimedia-commons</x:v>
      </x:c>
      <x:c r="E87" s="38"/>
      <x:c r="F87" s="38"/>
      <x:c r="G87" s="38"/>
      <x:c r="H87" s="75" t="b">
        <x:v>0</x:v>
      </x:c>
      <x:c r="I87" s="38" t="str">
        <x:v>candidate</x:v>
      </x:c>
      <x:c r="J87" s="38" t="str">
        <x:v>Kottu Roti dish</x:v>
      </x:c>
      <x:c r="K87" s="38"/>
    </x:row>
    <x:row r="88">
      <x:c r="A88" s="38" t="str">
        <x:v>nihari</x:v>
      </x:c>
      <x:c r="B88" s="38" t="str">
        <x:v>https://commons.wikimedia.org/w/index.php?search=Nihari&amp;title=Special:MediaSearch&amp;type=image</x:v>
      </x:c>
      <x:c r="C88" s="38"/>
      <x:c r="D88" s="38" t="str">
        <x:v>wikimedia-commons</x:v>
      </x:c>
      <x:c r="E88" s="38"/>
      <x:c r="F88" s="38"/>
      <x:c r="G88" s="38"/>
      <x:c r="H88" s="75" t="b">
        <x:v>0</x:v>
      </x:c>
      <x:c r="I88" s="38" t="str">
        <x:v>candidate</x:v>
      </x:c>
      <x:c r="J88" s="38" t="str">
        <x:v>Nihari dish</x:v>
      </x:c>
      <x:c r="K88" s="38"/>
    </x:row>
    <x:row r="89">
      <x:c r="A89" s="38" t="str">
        <x:v>seekh-kebab</x:v>
      </x:c>
      <x:c r="B89" s="38" t="str">
        <x:v>https://commons.wikimedia.org/w/index.php?search=Seekh+Kebab&amp;title=Special:MediaSearch&amp;type=image</x:v>
      </x:c>
      <x:c r="C89" s="38"/>
      <x:c r="D89" s="38" t="str">
        <x:v>wikimedia-commons</x:v>
      </x:c>
      <x:c r="E89" s="38"/>
      <x:c r="F89" s="38"/>
      <x:c r="G89" s="38"/>
      <x:c r="H89" s="75" t="b">
        <x:v>0</x:v>
      </x:c>
      <x:c r="I89" s="38" t="str">
        <x:v>candidate</x:v>
      </x:c>
      <x:c r="J89" s="38" t="str">
        <x:v>Seekh Kebab dish</x:v>
      </x:c>
      <x:c r="K89" s="38"/>
    </x:row>
    <x:row r="90">
      <x:c r="A90" s="38" t="str">
        <x:v>thukpa</x:v>
      </x:c>
      <x:c r="B90" s="38" t="str">
        <x:v>https://commons.wikimedia.org/w/index.php?search=Thukpa&amp;title=Special:MediaSearch&amp;type=image</x:v>
      </x:c>
      <x:c r="C90" s="38"/>
      <x:c r="D90" s="38" t="str">
        <x:v>wikimedia-commons</x:v>
      </x:c>
      <x:c r="E90" s="38"/>
      <x:c r="F90" s="38"/>
      <x:c r="G90" s="38"/>
      <x:c r="H90" s="75" t="b">
        <x:v>0</x:v>
      </x:c>
      <x:c r="I90" s="38" t="str">
        <x:v>candidate</x:v>
      </x:c>
      <x:c r="J90" s="38" t="str">
        <x:v>Thukpa dish</x:v>
      </x:c>
      <x:c r="K90" s="38"/>
    </x:row>
    <x:row r="91">
      <x:c r="A91" s="38" t="str">
        <x:v>kibbeh</x:v>
      </x:c>
      <x:c r="B91" s="38" t="str">
        <x:v>https://commons.wikimedia.org/w/index.php?search=Kibbeh&amp;title=Special:MediaSearch&amp;type=image</x:v>
      </x:c>
      <x:c r="C91" s="38"/>
      <x:c r="D91" s="38" t="str">
        <x:v>wikimedia-commons</x:v>
      </x:c>
      <x:c r="E91" s="38"/>
      <x:c r="F91" s="38"/>
      <x:c r="G91" s="38"/>
      <x:c r="H91" s="75" t="b">
        <x:v>0</x:v>
      </x:c>
      <x:c r="I91" s="38" t="str">
        <x:v>candidate</x:v>
      </x:c>
      <x:c r="J91" s="38" t="str">
        <x:v>Kibbeh dish</x:v>
      </x:c>
      <x:c r="K91" s="38"/>
    </x:row>
    <x:row r="92">
      <x:c r="A92" s="38" t="str">
        <x:v>reshteh-polow</x:v>
      </x:c>
      <x:c r="B92" s="38" t="str">
        <x:v>https://commons.wikimedia.org/w/index.php?search=Reshteh+Polow&amp;title=Special:MediaSearch&amp;type=image</x:v>
      </x:c>
      <x:c r="C92" s="38"/>
      <x:c r="D92" s="38" t="str">
        <x:v>wikimedia-commons</x:v>
      </x:c>
      <x:c r="E92" s="38"/>
      <x:c r="F92" s="38"/>
      <x:c r="G92" s="38"/>
      <x:c r="H92" s="75" t="b">
        <x:v>0</x:v>
      </x:c>
      <x:c r="I92" s="38" t="str">
        <x:v>candidate</x:v>
      </x:c>
      <x:c r="J92" s="38" t="str">
        <x:v>Reshteh Polow dish</x:v>
      </x:c>
      <x:c r="K92" s="38"/>
    </x:row>
    <x:row r="93">
      <x:c r="A93" s="38" t="str">
        <x:v>fesenjan</x:v>
      </x:c>
      <x:c r="B93" s="38" t="str">
        <x:v>https://commons.wikimedia.org/w/index.php?search=Fesenjan&amp;title=Special:MediaSearch&amp;type=image</x:v>
      </x:c>
      <x:c r="C93" s="38"/>
      <x:c r="D93" s="38" t="str">
        <x:v>wikimedia-commons</x:v>
      </x:c>
      <x:c r="E93" s="38"/>
      <x:c r="F93" s="38"/>
      <x:c r="G93" s="38"/>
      <x:c r="H93" s="75" t="b">
        <x:v>0</x:v>
      </x:c>
      <x:c r="I93" s="38" t="str">
        <x:v>candidate</x:v>
      </x:c>
      <x:c r="J93" s="38" t="str">
        <x:v>Fesenjan dish</x:v>
      </x:c>
      <x:c r="K93" s="38"/>
    </x:row>
    <x:row r="94">
      <x:c r="A94" s="38" t="str">
        <x:v>akara</x:v>
      </x:c>
      <x:c r="B94" s="38" t="str">
        <x:v>https://commons.wikimedia.org/w/index.php?search=Akara&amp;title=Special:MediaSearch&amp;type=image</x:v>
      </x:c>
      <x:c r="C94" s="38"/>
      <x:c r="D94" s="38" t="str">
        <x:v>wikimedia-commons</x:v>
      </x:c>
      <x:c r="E94" s="38"/>
      <x:c r="F94" s="38"/>
      <x:c r="G94" s="38"/>
      <x:c r="H94" s="75" t="b">
        <x:v>0</x:v>
      </x:c>
      <x:c r="I94" s="38" t="str">
        <x:v>candidate</x:v>
      </x:c>
      <x:c r="J94" s="38" t="str">
        <x:v>Akara dish</x:v>
      </x:c>
      <x:c r="K94" s="38"/>
    </x:row>
    <x:row r="95">
      <x:c r="A95" s="38" t="str">
        <x:v>waakye</x:v>
      </x:c>
      <x:c r="B95" s="38" t="str">
        <x:v>https://commons.wikimedia.org/w/index.php?search=Waakye&amp;title=Special:MediaSearch&amp;type=image</x:v>
      </x:c>
      <x:c r="C95" s="38"/>
      <x:c r="D95" s="38" t="str">
        <x:v>wikimedia-commons</x:v>
      </x:c>
      <x:c r="E95" s="38"/>
      <x:c r="F95" s="38"/>
      <x:c r="G95" s="38"/>
      <x:c r="H95" s="75" t="b">
        <x:v>0</x:v>
      </x:c>
      <x:c r="I95" s="38" t="str">
        <x:v>candidate</x:v>
      </x:c>
      <x:c r="J95" s="38" t="str">
        <x:v>Waakye dish</x:v>
      </x:c>
      <x:c r="K95" s="38"/>
    </x:row>
    <x:row r="96">
      <x:c r="A96" s="38" t="str">
        <x:v>maafe</x:v>
      </x:c>
      <x:c r="B96" s="38" t="str">
        <x:v>https://commons.wikimedia.org/w/index.php?search=Maafe&amp;title=Special:MediaSearch&amp;type=image</x:v>
      </x:c>
      <x:c r="C96" s="38"/>
      <x:c r="D96" s="38" t="str">
        <x:v>wikimedia-commons</x:v>
      </x:c>
      <x:c r="E96" s="38"/>
      <x:c r="F96" s="38"/>
      <x:c r="G96" s="38"/>
      <x:c r="H96" s="75" t="b">
        <x:v>0</x:v>
      </x:c>
      <x:c r="I96" s="38" t="str">
        <x:v>candidate</x:v>
      </x:c>
      <x:c r="J96" s="38" t="str">
        <x:v>Maafe dish</x:v>
      </x:c>
      <x:c r="K96" s="38"/>
    </x:row>
    <x:row r="97">
      <x:c r="A97" s="38" t="str">
        <x:v>cacio-e-pepe</x:v>
      </x:c>
      <x:c r="B97" s="38" t="str">
        <x:v>https://commons.wikimedia.org/w/index.php?search=Cacio+e+Pepe&amp;title=Special:MediaSearch&amp;type=image</x:v>
      </x:c>
      <x:c r="C97" s="38"/>
      <x:c r="D97" s="38" t="str">
        <x:v>wikimedia-commons</x:v>
      </x:c>
      <x:c r="E97" s="38"/>
      <x:c r="F97" s="38"/>
      <x:c r="G97" s="38"/>
      <x:c r="H97" s="75" t="b">
        <x:v>0</x:v>
      </x:c>
      <x:c r="I97" s="38" t="str">
        <x:v>candidate</x:v>
      </x:c>
      <x:c r="J97" s="38" t="str">
        <x:v>Cacio e Pepe dish</x:v>
      </x:c>
      <x:c r="K97" s="38"/>
    </x:row>
    <x:row r="98">
      <x:c r="A98" s="38" t="str">
        <x:v>spaetzle</x:v>
      </x:c>
      <x:c r="B98" s="38" t="str">
        <x:v>https://commons.wikimedia.org/w/index.php?search=Sp%C3%A4tzle&amp;title=Special:MediaSearch&amp;type=image</x:v>
      </x:c>
      <x:c r="C98" s="38"/>
      <x:c r="D98" s="38" t="str">
        <x:v>wikimedia-commons</x:v>
      </x:c>
      <x:c r="E98" s="38"/>
      <x:c r="F98" s="38"/>
      <x:c r="G98" s="38"/>
      <x:c r="H98" s="75" t="b">
        <x:v>0</x:v>
      </x:c>
      <x:c r="I98" s="38" t="str">
        <x:v>candidate</x:v>
      </x:c>
      <x:c r="J98" s="38" t="str">
        <x:v>Spätzle dish</x:v>
      </x:c>
      <x:c r="K98" s="38"/>
    </x:row>
    <x:row r="99">
      <x:c r="A99" s="38" t="str">
        <x:v>tortellini-in-brodo</x:v>
      </x:c>
      <x:c r="B99" s="38" t="str">
        <x:v>https://commons.wikimedia.org/w/index.php?search=Tortellini+in+Brodo&amp;title=Special:MediaSearch&amp;type=image</x:v>
      </x:c>
      <x:c r="C99" s="38"/>
      <x:c r="D99" s="38" t="str">
        <x:v>wikimedia-commons</x:v>
      </x:c>
      <x:c r="E99" s="38"/>
      <x:c r="F99" s="38"/>
      <x:c r="G99" s="38"/>
      <x:c r="H99" s="75" t="b">
        <x:v>0</x:v>
      </x:c>
      <x:c r="I99" s="38" t="str">
        <x:v>candidate</x:v>
      </x:c>
      <x:c r="J99" s="38" t="str">
        <x:v>Tortellini in Brodo dish</x:v>
      </x:c>
      <x:c r="K99" s="38"/>
    </x:row>
    <x:row r="100">
      <x:c r="A100" s="38" t="str">
        <x:v>tallarines-verdes</x:v>
      </x:c>
      <x:c r="B100" s="38" t="str">
        <x:v>https://commons.wikimedia.org/w/index.php?search=Tallarines+Verdes&amp;title=Special:MediaSearch&amp;type=image</x:v>
      </x:c>
      <x:c r="C100" s="38"/>
      <x:c r="D100" s="38" t="str">
        <x:v>wikimedia-commons</x:v>
      </x:c>
      <x:c r="E100" s="38"/>
      <x:c r="F100" s="38"/>
      <x:c r="G100" s="38"/>
      <x:c r="H100" s="75" t="b">
        <x:v>0</x:v>
      </x:c>
      <x:c r="I100" s="38" t="str">
        <x:v>candidate</x:v>
      </x:c>
      <x:c r="J100" s="38" t="str">
        <x:v>Tallarines Verdes dish</x:v>
      </x:c>
      <x:c r="K100" s="38"/>
    </x:row>
    <x:row r="101">
      <x:c r="A101" s="38" t="str">
        <x:v>patacones</x:v>
      </x:c>
      <x:c r="B101" s="38" t="str">
        <x:v>https://commons.wikimedia.org/w/index.php?search=Patacones&amp;title=Special:MediaSearch&amp;type=image</x:v>
      </x:c>
      <x:c r="C101" s="38"/>
      <x:c r="D101" s="38" t="str">
        <x:v>wikimedia-commons</x:v>
      </x:c>
      <x:c r="E101" s="38"/>
      <x:c r="F101" s="38"/>
      <x:c r="G101" s="38"/>
      <x:c r="H101" s="75" t="b">
        <x:v>0</x:v>
      </x:c>
      <x:c r="I101" s="38" t="str">
        <x:v>candidate</x:v>
      </x:c>
      <x:c r="J101" s="38" t="str">
        <x:v>Patacones dish</x:v>
      </x:c>
      <x:c r="K101" s="38"/>
    </x:row>
    <x:row r="102">
      <x:c r="A102" s="38" t="str">
        <x:v>lomo-saltado</x:v>
      </x:c>
      <x:c r="B102" s="38" t="str">
        <x:v>https://commons.wikimedia.org/w/index.php?search=Lomo+Saltado&amp;title=Special:MediaSearch&amp;type=image</x:v>
      </x:c>
      <x:c r="C102" s="38"/>
      <x:c r="D102" s="38" t="str">
        <x:v>wikimedia-commons</x:v>
      </x:c>
      <x:c r="E102" s="38"/>
      <x:c r="F102" s="38"/>
      <x:c r="G102" s="38"/>
      <x:c r="H102" s="75" t="b">
        <x:v>0</x:v>
      </x:c>
      <x:c r="I102" s="38" t="str">
        <x:v>candidate</x:v>
      </x:c>
      <x:c r="J102" s="38" t="str">
        <x:v>Lomo Saltado dish</x:v>
      </x:c>
      <x:c r="K102" s="38"/>
    </x:row>
    <x:row r="103">
      <x:c r="A103" s="38" t="str">
        <x:v>new-england-clam-chowder</x:v>
      </x:c>
      <x:c r="B103" s="38" t="str">
        <x:v>https://commons.wikimedia.org/w/index.php?search=New+England+Clam+Chowder&amp;title=Special:MediaSearch&amp;type=image</x:v>
      </x:c>
      <x:c r="C103" s="38"/>
      <x:c r="D103" s="38" t="str">
        <x:v>wikimedia-commons</x:v>
      </x:c>
      <x:c r="E103" s="38"/>
      <x:c r="F103" s="38"/>
      <x:c r="G103" s="38"/>
      <x:c r="H103" s="75" t="b">
        <x:v>0</x:v>
      </x:c>
      <x:c r="I103" s="38" t="str">
        <x:v>candidate</x:v>
      </x:c>
      <x:c r="J103" s="38" t="str">
        <x:v>New England Clam Chowder dish</x:v>
      </x:c>
      <x:c r="K103" s="38"/>
    </x:row>
    <x:row r="104">
      <x:c r="A104" s="38" t="str">
        <x:v>buffalo-wings</x:v>
      </x:c>
      <x:c r="B104" s="38" t="str">
        <x:v>https://commons.wikimedia.org/w/index.php?search=Buffalo+Wings&amp;title=Special:MediaSearch&amp;type=image</x:v>
      </x:c>
      <x:c r="C104" s="38"/>
      <x:c r="D104" s="38" t="str">
        <x:v>wikimedia-commons</x:v>
      </x:c>
      <x:c r="E104" s="38"/>
      <x:c r="F104" s="38"/>
      <x:c r="G104" s="38"/>
      <x:c r="H104" s="75" t="b">
        <x:v>0</x:v>
      </x:c>
      <x:c r="I104" s="38" t="str">
        <x:v>candidate</x:v>
      </x:c>
      <x:c r="J104" s="38" t="str">
        <x:v>Buffalo Wings dish</x:v>
      </x:c>
      <x:c r="K104" s="38"/>
    </x:row>
    <x:row r="105">
      <x:c r="A105" s="38" t="str">
        <x:v>zhajiangmian</x:v>
      </x:c>
      <x:c r="B105" s="38" t="str">
        <x:v>https://commons.wikimedia.org/w/index.php?search=Zhajiangmian&amp;title=Special:MediaSearch&amp;type=image</x:v>
      </x:c>
      <x:c r="C105" s="38"/>
      <x:c r="D105" s="38" t="str">
        <x:v>wikimedia-commons</x:v>
      </x:c>
      <x:c r="E105" s="38"/>
      <x:c r="F105" s="38"/>
      <x:c r="G105" s="38"/>
      <x:c r="H105" s="75" t="b">
        <x:v>0</x:v>
      </x:c>
      <x:c r="I105" s="38" t="str">
        <x:v>candidate</x:v>
      </x:c>
      <x:c r="J105" s="38" t="str">
        <x:v>Zhajiangmian dish</x:v>
      </x:c>
      <x:c r="K105" s="38"/>
    </x:row>
    <x:row r="106">
      <x:c r="A106" s="38" t="str">
        <x:v>omurice</x:v>
      </x:c>
      <x:c r="B106" s="38" t="str">
        <x:v>https://commons.wikimedia.org/w/index.php?search=Omurice&amp;title=Special:MediaSearch&amp;type=image</x:v>
      </x:c>
      <x:c r="C106" s="38"/>
      <x:c r="D106" s="38" t="str">
        <x:v>wikimedia-commons</x:v>
      </x:c>
      <x:c r="E106" s="38"/>
      <x:c r="F106" s="38"/>
      <x:c r="G106" s="38"/>
      <x:c r="H106" s="75" t="b">
        <x:v>0</x:v>
      </x:c>
      <x:c r="I106" s="38" t="str">
        <x:v>candidate</x:v>
      </x:c>
      <x:c r="J106" s="38" t="str">
        <x:v>Omurice dish</x:v>
      </x:c>
      <x:c r="K106" s="38"/>
    </x:row>
    <x:row r="107">
      <x:c r="A107" s="38" t="str">
        <x:v>sukiyaki</x:v>
      </x:c>
      <x:c r="B107" s="38" t="str">
        <x:v>https://commons.wikimedia.org/w/index.php?search=Sukiyaki&amp;title=Special:MediaSearch&amp;type=image</x:v>
      </x:c>
      <x:c r="C107" s="38"/>
      <x:c r="D107" s="38" t="str">
        <x:v>wikimedia-commons</x:v>
      </x:c>
      <x:c r="E107" s="38"/>
      <x:c r="F107" s="38"/>
      <x:c r="G107" s="38"/>
      <x:c r="H107" s="75" t="b">
        <x:v>0</x:v>
      </x:c>
      <x:c r="I107" s="38" t="str">
        <x:v>candidate</x:v>
      </x:c>
      <x:c r="J107" s="38" t="str">
        <x:v>Sukiyaki dish</x:v>
      </x:c>
      <x:c r="K107" s="38"/>
    </x:row>
    <x:row r="108">
      <x:c r="A108" s="38" t="str">
        <x:v>hainanese-chicken-rice</x:v>
      </x:c>
      <x:c r="B108" s="38" t="str">
        <x:v>https://commons.wikimedia.org/w/index.php?search=Hainanese+Chicken+Rice&amp;title=Special:MediaSearch&amp;type=image</x:v>
      </x:c>
      <x:c r="C108" s="38"/>
      <x:c r="D108" s="38" t="str">
        <x:v>wikimedia-commons</x:v>
      </x:c>
      <x:c r="E108" s="38"/>
      <x:c r="F108" s="38"/>
      <x:c r="G108" s="38"/>
      <x:c r="H108" s="75" t="b">
        <x:v>0</x:v>
      </x:c>
      <x:c r="I108" s="38" t="str">
        <x:v>candidate</x:v>
      </x:c>
      <x:c r="J108" s="38" t="str">
        <x:v>Hainanese Chicken Rice dish</x:v>
      </x:c>
      <x:c r="K108" s="38"/>
    </x:row>
    <x:row r="109">
      <x:c r="A109" s="38" t="str">
        <x:v>mohinga</x:v>
      </x:c>
      <x:c r="B109" s="38" t="str">
        <x:v>https://commons.wikimedia.org/w/index.php?search=Mohinga&amp;title=Special:MediaSearch&amp;type=image</x:v>
      </x:c>
      <x:c r="C109" s="38"/>
      <x:c r="D109" s="38" t="str">
        <x:v>wikimedia-commons</x:v>
      </x:c>
      <x:c r="E109" s="38"/>
      <x:c r="F109" s="38"/>
      <x:c r="G109" s="38"/>
      <x:c r="H109" s="75" t="b">
        <x:v>0</x:v>
      </x:c>
      <x:c r="I109" s="38" t="str">
        <x:v>candidate</x:v>
      </x:c>
      <x:c r="J109" s="38" t="str">
        <x:v>Mohinga dish</x:v>
      </x:c>
      <x:c r="K109" s="38"/>
    </x:row>
    <x:row r="110">
      <x:c r="A110" s="38" t="str">
        <x:v>pulao</x:v>
      </x:c>
      <x:c r="B110" s="38" t="str">
        <x:v>https://commons.wikimedia.org/w/index.php?search=Pulao&amp;title=Special:MediaSearch&amp;type=image</x:v>
      </x:c>
      <x:c r="C110" s="38"/>
      <x:c r="D110" s="38" t="str">
        <x:v>wikimedia-commons</x:v>
      </x:c>
      <x:c r="E110" s="38"/>
      <x:c r="F110" s="38"/>
      <x:c r="G110" s="38"/>
      <x:c r="H110" s="75" t="b">
        <x:v>0</x:v>
      </x:c>
      <x:c r="I110" s="38" t="str">
        <x:v>candidate</x:v>
      </x:c>
      <x:c r="J110" s="38" t="str">
        <x:v>Pulao dish</x:v>
      </x:c>
      <x:c r="K110" s="38"/>
    </x:row>
    <x:row r="111">
      <x:c r="A111" s="38" t="str">
        <x:v>momo</x:v>
      </x:c>
      <x:c r="B111" s="38" t="str">
        <x:v>https://commons.wikimedia.org/w/index.php?search=Momo&amp;title=Special:MediaSearch&amp;type=image</x:v>
      </x:c>
      <x:c r="C111" s="38"/>
      <x:c r="D111" s="38" t="str">
        <x:v>wikimedia-commons</x:v>
      </x:c>
      <x:c r="E111" s="38"/>
      <x:c r="F111" s="38"/>
      <x:c r="G111" s="38"/>
      <x:c r="H111" s="75" t="b">
        <x:v>0</x:v>
      </x:c>
      <x:c r="I111" s="38" t="str">
        <x:v>candidate</x:v>
      </x:c>
      <x:c r="J111" s="38" t="str">
        <x:v>Momo dish</x:v>
      </x:c>
      <x:c r="K111" s="38"/>
    </x:row>
    <x:row r="112">
      <x:c r="A112" s="38" t="str">
        <x:v>rasam</x:v>
      </x:c>
      <x:c r="B112" s="38" t="str">
        <x:v>https://commons.wikimedia.org/w/index.php?search=Rasam&amp;title=Special:MediaSearch&amp;type=image</x:v>
      </x:c>
      <x:c r="C112" s="38"/>
      <x:c r="D112" s="38" t="str">
        <x:v>wikimedia-commons</x:v>
      </x:c>
      <x:c r="E112" s="38"/>
      <x:c r="F112" s="38"/>
      <x:c r="G112" s="38"/>
      <x:c r="H112" s="75" t="b">
        <x:v>0</x:v>
      </x:c>
      <x:c r="I112" s="38" t="str">
        <x:v>candidate</x:v>
      </x:c>
      <x:c r="J112" s="38" t="str">
        <x:v>Rasam dish</x:v>
      </x:c>
      <x:c r="K112" s="38"/>
    </x:row>
    <x:row r="113">
      <x:c r="A113" s="38" t="str">
        <x:v>shorbat-adas</x:v>
      </x:c>
      <x:c r="B113" s="38" t="str">
        <x:v>https://commons.wikimedia.org/w/index.php?search=Shorbat+Adas&amp;title=Special:MediaSearch&amp;type=image</x:v>
      </x:c>
      <x:c r="C113" s="38"/>
      <x:c r="D113" s="38" t="str">
        <x:v>wikimedia-commons</x:v>
      </x:c>
      <x:c r="E113" s="38"/>
      <x:c r="F113" s="38"/>
      <x:c r="G113" s="38"/>
      <x:c r="H113" s="75" t="b">
        <x:v>0</x:v>
      </x:c>
      <x:c r="I113" s="38" t="str">
        <x:v>candidate</x:v>
      </x:c>
      <x:c r="J113" s="38" t="str">
        <x:v>Shorbat Adas dish</x:v>
      </x:c>
      <x:c r="K113" s="38"/>
    </x:row>
    <x:row r="114">
      <x:c r="A114" s="38" t="str">
        <x:v>maqluba</x:v>
      </x:c>
      <x:c r="B114" s="38" t="str">
        <x:v>https://commons.wikimedia.org/w/index.php?search=Maqluba&amp;title=Special:MediaSearch&amp;type=image</x:v>
      </x:c>
      <x:c r="C114" s="38"/>
      <x:c r="D114" s="38" t="str">
        <x:v>wikimedia-commons</x:v>
      </x:c>
      <x:c r="E114" s="38"/>
      <x:c r="F114" s="38"/>
      <x:c r="G114" s="38"/>
      <x:c r="H114" s="75" t="b">
        <x:v>0</x:v>
      </x:c>
      <x:c r="I114" s="38" t="str">
        <x:v>candidate</x:v>
      </x:c>
      <x:c r="J114" s="38" t="str">
        <x:v>Maqluba dish</x:v>
      </x:c>
      <x:c r="K114" s="38"/>
    </x:row>
    <x:row r="115">
      <x:c r="A115" s="38" t="str">
        <x:v>manakish</x:v>
      </x:c>
      <x:c r="B115" s="38" t="str">
        <x:v>https://commons.wikimedia.org/w/index.php?search=Manakish&amp;title=Special:MediaSearch&amp;type=image</x:v>
      </x:c>
      <x:c r="C115" s="38"/>
      <x:c r="D115" s="38" t="str">
        <x:v>wikimedia-commons</x:v>
      </x:c>
      <x:c r="E115" s="38"/>
      <x:c r="F115" s="38"/>
      <x:c r="G115" s="38"/>
      <x:c r="H115" s="75" t="b">
        <x:v>0</x:v>
      </x:c>
      <x:c r="I115" s="38" t="str">
        <x:v>candidate</x:v>
      </x:c>
      <x:c r="J115" s="38" t="str">
        <x:v>Manakish dish</x:v>
      </x:c>
      <x:c r="K115" s="38"/>
    </x:row>
    <x:row r="116">
      <x:c r="A116" s="38" t="str">
        <x:v>rechta</x:v>
      </x:c>
      <x:c r="B116" s="38" t="str">
        <x:v>https://commons.wikimedia.org/w/index.php?search=Rechta&amp;title=Special:MediaSearch&amp;type=image</x:v>
      </x:c>
      <x:c r="C116" s="38"/>
      <x:c r="D116" s="38" t="str">
        <x:v>wikimedia-commons</x:v>
      </x:c>
      <x:c r="E116" s="38"/>
      <x:c r="F116" s="38"/>
      <x:c r="G116" s="38"/>
      <x:c r="H116" s="75" t="b">
        <x:v>0</x:v>
      </x:c>
      <x:c r="I116" s="38" t="str">
        <x:v>candidate</x:v>
      </x:c>
      <x:c r="J116" s="38" t="str">
        <x:v>Rechta dish</x:v>
      </x:c>
      <x:c r="K116" s="38"/>
    </x:row>
    <x:row r="117">
      <x:c r="A117" s="38" t="str">
        <x:v>yassa</x:v>
      </x:c>
      <x:c r="B117" s="38" t="str">
        <x:v>https://commons.wikimedia.org/w/index.php?search=Yassa&amp;title=Special:MediaSearch&amp;type=image</x:v>
      </x:c>
      <x:c r="C117" s="38"/>
      <x:c r="D117" s="38" t="str">
        <x:v>wikimedia-commons</x:v>
      </x:c>
      <x:c r="E117" s="38"/>
      <x:c r="F117" s="38"/>
      <x:c r="G117" s="38"/>
      <x:c r="H117" s="75" t="b">
        <x:v>0</x:v>
      </x:c>
      <x:c r="I117" s="38" t="str">
        <x:v>candidate</x:v>
      </x:c>
      <x:c r="J117" s="38" t="str">
        <x:v>Yassa dish</x:v>
      </x:c>
      <x:c r="K117" s="38"/>
    </x:row>
    <x:row r="118">
      <x:c r="A118" s="38" t="str">
        <x:v>bissara</x:v>
      </x:c>
      <x:c r="B118" s="38" t="str">
        <x:v>https://commons.wikimedia.org/w/index.php?search=Bissara&amp;title=Special:MediaSearch&amp;type=image</x:v>
      </x:c>
      <x:c r="C118" s="38"/>
      <x:c r="D118" s="38" t="str">
        <x:v>wikimedia-commons</x:v>
      </x:c>
      <x:c r="E118" s="38"/>
      <x:c r="F118" s="38"/>
      <x:c r="G118" s="38"/>
      <x:c r="H118" s="75" t="b">
        <x:v>0</x:v>
      </x:c>
      <x:c r="I118" s="38" t="str">
        <x:v>candidate</x:v>
      </x:c>
      <x:c r="J118" s="38" t="str">
        <x:v>Bissara dish</x:v>
      </x:c>
      <x:c r="K118" s="38"/>
    </x:row>
    <x:row r="119">
      <x:c r="A119" s="38" t="str">
        <x:v>shisa-nyama</x:v>
      </x:c>
      <x:c r="B119" s="38" t="str">
        <x:v>https://commons.wikimedia.org/w/index.php?search=Shisa+Nyama&amp;title=Special:MediaSearch&amp;type=image</x:v>
      </x:c>
      <x:c r="C119" s="38"/>
      <x:c r="D119" s="38" t="str">
        <x:v>wikimedia-commons</x:v>
      </x:c>
      <x:c r="E119" s="38"/>
      <x:c r="F119" s="38"/>
      <x:c r="G119" s="38"/>
      <x:c r="H119" s="75" t="b">
        <x:v>0</x:v>
      </x:c>
      <x:c r="I119" s="38" t="str">
        <x:v>candidate</x:v>
      </x:c>
      <x:c r="J119" s="38" t="str">
        <x:v>Shisa Nyama dish</x:v>
      </x:c>
      <x:c r="K119" s="38"/>
    </x:row>
    <x:row r="120">
      <x:c r="A120" s="38" t="str">
        <x:v>fideua</x:v>
      </x:c>
      <x:c r="B120" s="38" t="str">
        <x:v>https://commons.wikimedia.org/w/index.php?search=Fideu%C3%A0&amp;title=Special:MediaSearch&amp;type=image</x:v>
      </x:c>
      <x:c r="C120" s="38"/>
      <x:c r="D120" s="38" t="str">
        <x:v>wikimedia-commons</x:v>
      </x:c>
      <x:c r="E120" s="38"/>
      <x:c r="F120" s="38"/>
      <x:c r="G120" s="38"/>
      <x:c r="H120" s="75" t="b">
        <x:v>0</x:v>
      </x:c>
      <x:c r="I120" s="38" t="str">
        <x:v>candidate</x:v>
      </x:c>
      <x:c r="J120" s="38" t="str">
        <x:v>Fideuà dish</x:v>
      </x:c>
      <x:c r="K120" s="38"/>
    </x:row>
    <x:row r="121">
      <x:c r="A121" s="38" t="str">
        <x:v>borscht</x:v>
      </x:c>
      <x:c r="B121" s="38" t="str">
        <x:v>https://commons.wikimedia.org/w/index.php?search=Borscht&amp;title=Special:MediaSearch&amp;type=image</x:v>
      </x:c>
      <x:c r="C121" s="38"/>
      <x:c r="D121" s="38" t="str">
        <x:v>wikimedia-commons</x:v>
      </x:c>
      <x:c r="E121" s="38"/>
      <x:c r="F121" s="38"/>
      <x:c r="G121" s="38"/>
      <x:c r="H121" s="75" t="b">
        <x:v>0</x:v>
      </x:c>
      <x:c r="I121" s="38" t="str">
        <x:v>candidate</x:v>
      </x:c>
      <x:c r="J121" s="38" t="str">
        <x:v>Borscht dish</x:v>
      </x:c>
      <x:c r="K121" s="38"/>
    </x:row>
    <x:row r="122">
      <x:c r="A122" s="38" t="str">
        <x:v>pirozhki</x:v>
      </x:c>
      <x:c r="B122" s="38" t="str">
        <x:v>https://commons.wikimedia.org/w/index.php?search=Pirozhki&amp;title=Special:MediaSearch&amp;type=image</x:v>
      </x:c>
      <x:c r="C122" s="38"/>
      <x:c r="D122" s="38" t="str">
        <x:v>wikimedia-commons</x:v>
      </x:c>
      <x:c r="E122" s="38"/>
      <x:c r="F122" s="38"/>
      <x:c r="G122" s="38"/>
      <x:c r="H122" s="75" t="b">
        <x:v>0</x:v>
      </x:c>
      <x:c r="I122" s="38" t="str">
        <x:v>candidate</x:v>
      </x:c>
      <x:c r="J122" s="38" t="str">
        <x:v>Pirozhki dish</x:v>
      </x:c>
      <x:c r="K122" s="38"/>
    </x:row>
    <x:row r="123">
      <x:c r="A123" s="38" t="str">
        <x:v>arroz-chaufa</x:v>
      </x:c>
      <x:c r="B123" s="38" t="str">
        <x:v>https://commons.wikimedia.org/w/index.php?search=Arroz+Chaufa&amp;title=Special:MediaSearch&amp;type=image</x:v>
      </x:c>
      <x:c r="C123" s="38"/>
      <x:c r="D123" s="38" t="str">
        <x:v>wikimedia-commons</x:v>
      </x:c>
      <x:c r="E123" s="38"/>
      <x:c r="F123" s="38"/>
      <x:c r="G123" s="38"/>
      <x:c r="H123" s="75" t="b">
        <x:v>0</x:v>
      </x:c>
      <x:c r="I123" s="38" t="str">
        <x:v>candidate</x:v>
      </x:c>
      <x:c r="J123" s="38" t="str">
        <x:v>Arroz Chaufa dish</x:v>
      </x:c>
      <x:c r="K123" s="38"/>
    </x:row>
    <x:row r="124">
      <x:c r="A124" s="38" t="str">
        <x:v>pupusa</x:v>
      </x:c>
      <x:c r="B124" s="38" t="str">
        <x:v>https://commons.wikimedia.org/w/index.php?search=Pupusa&amp;title=Special:MediaSearch&amp;type=image</x:v>
      </x:c>
      <x:c r="C124" s="38"/>
      <x:c r="D124" s="38" t="str">
        <x:v>wikimedia-commons</x:v>
      </x:c>
      <x:c r="E124" s="38"/>
      <x:c r="F124" s="38"/>
      <x:c r="G124" s="38"/>
      <x:c r="H124" s="75" t="b">
        <x:v>0</x:v>
      </x:c>
      <x:c r="I124" s="38" t="str">
        <x:v>candidate</x:v>
      </x:c>
      <x:c r="J124" s="38" t="str">
        <x:v>Pupusa dish</x:v>
      </x:c>
      <x:c r="K124" s="38"/>
    </x:row>
    <x:row r="125">
      <x:c r="A125" s="38" t="str">
        <x:v>moqueca</x:v>
      </x:c>
      <x:c r="B125" s="38" t="str">
        <x:v>https://commons.wikimedia.org/w/index.php?search=Moqueca&amp;title=Special:MediaSearch&amp;type=image</x:v>
      </x:c>
      <x:c r="C125" s="38"/>
      <x:c r="D125" s="38" t="str">
        <x:v>wikimedia-commons</x:v>
      </x:c>
      <x:c r="E125" s="38"/>
      <x:c r="F125" s="38"/>
      <x:c r="G125" s="38"/>
      <x:c r="H125" s="75" t="b">
        <x:v>0</x:v>
      </x:c>
      <x:c r="I125" s="38" t="str">
        <x:v>candidate</x:v>
      </x:c>
      <x:c r="J125" s="38" t="str">
        <x:v>Moqueca dish</x:v>
      </x:c>
      <x:c r="K125" s="38"/>
    </x:row>
    <x:row r="126">
      <x:c r="A126" s="38" t="str">
        <x:v>churrasco</x:v>
      </x:c>
      <x:c r="B126" s="38" t="str">
        <x:v>https://commons.wikimedia.org/w/index.php?search=Churrasco&amp;title=Special:MediaSearch&amp;type=image</x:v>
      </x:c>
      <x:c r="C126" s="38"/>
      <x:c r="D126" s="38" t="str">
        <x:v>wikimedia-commons</x:v>
      </x:c>
      <x:c r="E126" s="38"/>
      <x:c r="F126" s="38"/>
      <x:c r="G126" s="38"/>
      <x:c r="H126" s="75" t="b">
        <x:v>0</x:v>
      </x:c>
      <x:c r="I126" s="38" t="str">
        <x:v>candidate</x:v>
      </x:c>
      <x:c r="J126" s="38" t="str">
        <x:v>Churrasco dish</x:v>
      </x:c>
      <x:c r="K126" s="38"/>
    </x:row>
    <x:row r="127">
      <x:c r="A127" s="38" t="str">
        <x:v>philly-cheesesteak</x:v>
      </x:c>
      <x:c r="B127" s="38" t="str">
        <x:v>https://commons.wikimedia.org/w/index.php?search=Philly+Cheesesteak&amp;title=Special:MediaSearch&amp;type=image</x:v>
      </x:c>
      <x:c r="C127" s="38"/>
      <x:c r="D127" s="38" t="str">
        <x:v>wikimedia-commons</x:v>
      </x:c>
      <x:c r="E127" s="38"/>
      <x:c r="F127" s="38"/>
      <x:c r="G127" s="38"/>
      <x:c r="H127" s="75" t="b">
        <x:v>0</x:v>
      </x:c>
      <x:c r="I127" s="38" t="str">
        <x:v>candidate</x:v>
      </x:c>
      <x:c r="J127" s="38" t="str">
        <x:v>Philly Cheesesteak dish</x:v>
      </x:c>
      <x:c r="K127" s="38"/>
    </x:row>
    <x:row r="128">
      <x:c r="A128" s="38" t="str">
        <x:v>chili-con-carne</x:v>
      </x:c>
      <x:c r="B128" s="38" t="str">
        <x:v>https://commons.wikimedia.org/w/index.php?search=Chili+con+Carne&amp;title=Special:MediaSearch&amp;type=image</x:v>
      </x:c>
      <x:c r="C128" s="38"/>
      <x:c r="D128" s="38" t="str">
        <x:v>wikimedia-commons</x:v>
      </x:c>
      <x:c r="E128" s="38"/>
      <x:c r="F128" s="38"/>
      <x:c r="G128" s="38"/>
      <x:c r="H128" s="75" t="b">
        <x:v>0</x:v>
      </x:c>
      <x:c r="I128" s="38" t="str">
        <x:v>candidate</x:v>
      </x:c>
      <x:c r="J128" s="38" t="str">
        <x:v>Chili con Carne dish</x:v>
      </x:c>
      <x:c r="K128" s="38"/>
    </x:row>
    <x:row r="129">
      <x:c r="A129" s="38" t="str">
        <x:v>baked-ziti</x:v>
      </x:c>
      <x:c r="B129" s="38" t="str">
        <x:v>https://commons.wikimedia.org/w/index.php?search=Baked+Ziti&amp;title=Special:MediaSearch&amp;type=image</x:v>
      </x:c>
      <x:c r="C129" s="38"/>
      <x:c r="D129" s="38" t="str">
        <x:v>wikimedia-commons</x:v>
      </x:c>
      <x:c r="E129" s="38"/>
      <x:c r="F129" s="38"/>
      <x:c r="G129" s="38"/>
      <x:c r="H129" s="75" t="b">
        <x:v>0</x:v>
      </x:c>
      <x:c r="I129" s="38" t="str">
        <x:v>candidate</x:v>
      </x:c>
      <x:c r="J129" s="38" t="str">
        <x:v>Baked Ziti dish</x:v>
      </x:c>
      <x:c r="K129" s="38"/>
    </x:row>
    <x:row r="130">
      <x:c r="A130" s="38" t="str">
        <x:v>mapo-tofu</x:v>
      </x:c>
      <x:c r="B130" s="38" t="str">
        <x:v>https://commons.wikimedia.org/w/index.php?search=Mapo+Tofu&amp;title=Special:MediaSearch&amp;type=image</x:v>
      </x:c>
      <x:c r="C130" s="38"/>
      <x:c r="D130" s="38" t="str">
        <x:v>wikimedia-commons</x:v>
      </x:c>
      <x:c r="E130" s="38"/>
      <x:c r="F130" s="38"/>
      <x:c r="G130" s="38"/>
      <x:c r="H130" s="75" t="b">
        <x:v>0</x:v>
      </x:c>
      <x:c r="I130" s="38" t="str">
        <x:v>candidate</x:v>
      </x:c>
      <x:c r="J130" s="38" t="str">
        <x:v>Mapo Tofu dish</x:v>
      </x:c>
      <x:c r="K130" s="38"/>
    </x:row>
    <x:row r="131">
      <x:c r="A131" s="38" t="str">
        <x:v>japchae</x:v>
      </x:c>
      <x:c r="B131" s="38" t="str">
        <x:v>https://commons.wikimedia.org/w/index.php?search=Japchae&amp;title=Special:MediaSearch&amp;type=image</x:v>
      </x:c>
      <x:c r="C131" s="38"/>
      <x:c r="D131" s="38" t="str">
        <x:v>wikimedia-commons</x:v>
      </x:c>
      <x:c r="E131" s="38"/>
      <x:c r="F131" s="38"/>
      <x:c r="G131" s="38"/>
      <x:c r="H131" s="75" t="b">
        <x:v>0</x:v>
      </x:c>
      <x:c r="I131" s="38" t="str">
        <x:v>candidate</x:v>
      </x:c>
      <x:c r="J131" s="38" t="str">
        <x:v>Japchae dish</x:v>
      </x:c>
      <x:c r="K131" s="38"/>
    </x:row>
    <x:row r="132">
      <x:c r="A132" s="38" t="str">
        <x:v>onigiri</x:v>
      </x:c>
      <x:c r="B132" s="38" t="str">
        <x:v>https://commons.wikimedia.org/w/index.php?search=Onigiri&amp;title=Special:MediaSearch&amp;type=image</x:v>
      </x:c>
      <x:c r="C132" s="38"/>
      <x:c r="D132" s="38" t="str">
        <x:v>wikimedia-commons</x:v>
      </x:c>
      <x:c r="E132" s="38"/>
      <x:c r="F132" s="38"/>
      <x:c r="G132" s="38"/>
      <x:c r="H132" s="75" t="b">
        <x:v>0</x:v>
      </x:c>
      <x:c r="I132" s="38" t="str">
        <x:v>candidate</x:v>
      </x:c>
      <x:c r="J132" s="38" t="str">
        <x:v>Onigiri dish</x:v>
      </x:c>
      <x:c r="K132" s="38"/>
    </x:row>
    <x:row r="133">
      <x:c r="A133" s="38" t="str">
        <x:v>goi-cuon</x:v>
      </x:c>
      <x:c r="B133" s="38" t="str">
        <x:v>https://commons.wikimedia.org/w/index.php?search=G%E1%BB%8Fi+Cu%E1%BB%91n&amp;title=Special:MediaSearch&amp;type=image</x:v>
      </x:c>
      <x:c r="C133" s="38"/>
      <x:c r="D133" s="38" t="str">
        <x:v>wikimedia-commons</x:v>
      </x:c>
      <x:c r="E133" s="38"/>
      <x:c r="F133" s="38"/>
      <x:c r="G133" s="38"/>
      <x:c r="H133" s="75" t="b">
        <x:v>0</x:v>
      </x:c>
      <x:c r="I133" s="38" t="str">
        <x:v>candidate</x:v>
      </x:c>
      <x:c r="J133" s="38" t="str">
        <x:v>Gỏi Cuốn dish</x:v>
      </x:c>
      <x:c r="K133" s="38"/>
    </x:row>
    <x:row r="134">
      <x:c r="A134" s="38" t="str">
        <x:v>banh-xeo</x:v>
      </x:c>
      <x:c r="B134" s="38" t="str">
        <x:v>https://commons.wikimedia.org/w/index.php?search=B%C3%A1nh+X%C3%A8o&amp;title=Special:MediaSearch&amp;type=image</x:v>
      </x:c>
      <x:c r="C134" s="38"/>
      <x:c r="D134" s="38" t="str">
        <x:v>wikimedia-commons</x:v>
      </x:c>
      <x:c r="E134" s="38"/>
      <x:c r="F134" s="38"/>
      <x:c r="G134" s="38"/>
      <x:c r="H134" s="75" t="b">
        <x:v>0</x:v>
      </x:c>
      <x:c r="I134" s="38" t="str">
        <x:v>candidate</x:v>
      </x:c>
      <x:c r="J134" s="38" t="str">
        <x:v>Bánh Xèo dish</x:v>
      </x:c>
      <x:c r="K134" s="38"/>
    </x:row>
    <x:row r="135">
      <x:c r="A135" s="38" t="str">
        <x:v>ikan-bakar</x:v>
      </x:c>
      <x:c r="B135" s="38" t="str">
        <x:v>https://commons.wikimedia.org/w/index.php?search=Ikan+Bakar&amp;title=Special:MediaSearch&amp;type=image</x:v>
      </x:c>
      <x:c r="C135" s="38"/>
      <x:c r="D135" s="38" t="str">
        <x:v>wikimedia-commons</x:v>
      </x:c>
      <x:c r="E135" s="38"/>
      <x:c r="F135" s="38"/>
      <x:c r="G135" s="38"/>
      <x:c r="H135" s="75" t="b">
        <x:v>0</x:v>
      </x:c>
      <x:c r="I135" s="38" t="str">
        <x:v>candidate</x:v>
      </x:c>
      <x:c r="J135" s="38" t="str">
        <x:v>Ikan Bakar dish</x:v>
      </x:c>
      <x:c r="K135" s="38"/>
    </x:row>
    <x:row r="136">
      <x:c r="A136" s="38" t="str">
        <x:v>khichdi</x:v>
      </x:c>
      <x:c r="B136" s="38" t="str">
        <x:v>https://commons.wikimedia.org/w/index.php?search=Khichdi&amp;title=Special:MediaSearch&amp;type=image</x:v>
      </x:c>
      <x:c r="C136" s="38"/>
      <x:c r="D136" s="38" t="str">
        <x:v>wikimedia-commons</x:v>
      </x:c>
      <x:c r="E136" s="38"/>
      <x:c r="F136" s="38"/>
      <x:c r="G136" s="38"/>
      <x:c r="H136" s="75" t="b">
        <x:v>0</x:v>
      </x:c>
      <x:c r="I136" s="38" t="str">
        <x:v>candidate</x:v>
      </x:c>
      <x:c r="J136" s="38" t="str">
        <x:v>Khichdi dish</x:v>
      </x:c>
      <x:c r="K136" s="38"/>
    </x:row>
    <x:row r="137">
      <x:c r="A137" s="38" t="str">
        <x:v>kathi-roll</x:v>
      </x:c>
      <x:c r="B137" s="38" t="str">
        <x:v>https://commons.wikimedia.org/w/index.php?search=Kathi+Roll&amp;title=Special:MediaSearch&amp;type=image</x:v>
      </x:c>
      <x:c r="C137" s="38"/>
      <x:c r="D137" s="38" t="str">
        <x:v>wikimedia-commons</x:v>
      </x:c>
      <x:c r="E137" s="38"/>
      <x:c r="F137" s="38"/>
      <x:c r="G137" s="38"/>
      <x:c r="H137" s="75" t="b">
        <x:v>0</x:v>
      </x:c>
      <x:c r="I137" s="38" t="str">
        <x:v>candidate</x:v>
      </x:c>
      <x:c r="J137" s="38" t="str">
        <x:v>Kathi Roll dish</x:v>
      </x:c>
      <x:c r="K137" s="38"/>
    </x:row>
    <x:row r="138">
      <x:c r="A138" s="38" t="str">
        <x:v>korma</x:v>
      </x:c>
      <x:c r="B138" s="38" t="str">
        <x:v>https://commons.wikimedia.org/w/index.php?search=Korma&amp;title=Special:MediaSearch&amp;type=image</x:v>
      </x:c>
      <x:c r="C138" s="38"/>
      <x:c r="D138" s="38" t="str">
        <x:v>wikimedia-commons</x:v>
      </x:c>
      <x:c r="E138" s="38"/>
      <x:c r="F138" s="38"/>
      <x:c r="G138" s="38"/>
      <x:c r="H138" s="75" t="b">
        <x:v>0</x:v>
      </x:c>
      <x:c r="I138" s="38" t="str">
        <x:v>candidate</x:v>
      </x:c>
      <x:c r="J138" s="38" t="str">
        <x:v>Korma dish</x:v>
      </x:c>
      <x:c r="K138" s="38"/>
    </x:row>
    <x:row r="139">
      <x:c r="A139" s="38" t="str">
        <x:v>musakhan</x:v>
      </x:c>
      <x:c r="B139" s="38" t="str">
        <x:v>https://commons.wikimedia.org/w/index.php?search=Musakhan&amp;title=Special:MediaSearch&amp;type=image</x:v>
      </x:c>
      <x:c r="C139" s="38"/>
      <x:c r="D139" s="38" t="str">
        <x:v>wikimedia-commons</x:v>
      </x:c>
      <x:c r="E139" s="38"/>
      <x:c r="F139" s="38"/>
      <x:c r="G139" s="38"/>
      <x:c r="H139" s="75" t="b">
        <x:v>0</x:v>
      </x:c>
      <x:c r="I139" s="38" t="str">
        <x:v>candidate</x:v>
      </x:c>
      <x:c r="J139" s="38" t="str">
        <x:v>Musakhan dish</x:v>
      </x:c>
      <x:c r="K139" s="38"/>
    </x:row>
    <x:row r="140">
      <x:c r="A140" s="38" t="str">
        <x:v>harees</x:v>
      </x:c>
      <x:c r="B140" s="38" t="str">
        <x:v>https://commons.wikimedia.org/w/index.php?search=Harees&amp;title=Special:MediaSearch&amp;type=image</x:v>
      </x:c>
      <x:c r="C140" s="38"/>
      <x:c r="D140" s="38" t="str">
        <x:v>wikimedia-commons</x:v>
      </x:c>
      <x:c r="E140" s="38"/>
      <x:c r="F140" s="38"/>
      <x:c r="G140" s="38"/>
      <x:c r="H140" s="75" t="b">
        <x:v>0</x:v>
      </x:c>
      <x:c r="I140" s="38" t="str">
        <x:v>candidate</x:v>
      </x:c>
      <x:c r="J140" s="38" t="str">
        <x:v>Harees dish</x:v>
      </x:c>
      <x:c r="K140" s="38"/>
    </x:row>
    <x:row r="141">
      <x:c r="A141" s="38" t="str">
        <x:v>lahmacun</x:v>
      </x:c>
      <x:c r="B141" s="38" t="str">
        <x:v>https://commons.wikimedia.org/w/index.php?search=Lahmacun&amp;title=Special:MediaSearch&amp;type=image</x:v>
      </x:c>
      <x:c r="C141" s="38"/>
      <x:c r="D141" s="38" t="str">
        <x:v>wikimedia-commons</x:v>
      </x:c>
      <x:c r="E141" s="38"/>
      <x:c r="F141" s="38"/>
      <x:c r="G141" s="38"/>
      <x:c r="H141" s="75" t="b">
        <x:v>0</x:v>
      </x:c>
      <x:c r="I141" s="38" t="str">
        <x:v>candidate</x:v>
      </x:c>
      <x:c r="J141" s="38" t="str">
        <x:v>Lahmacun dish</x:v>
      </x:c>
      <x:c r="K141" s="38"/>
    </x:row>
    <x:row r="142">
      <x:c r="A142" s="38" t="str">
        <x:v>ful-medames</x:v>
      </x:c>
      <x:c r="B142" s="38" t="str">
        <x:v>https://commons.wikimedia.org/w/index.php?search=Ful+Medames&amp;title=Special:MediaSearch&amp;type=image</x:v>
      </x:c>
      <x:c r="C142" s="38"/>
      <x:c r="D142" s="38" t="str">
        <x:v>wikimedia-commons</x:v>
      </x:c>
      <x:c r="E142" s="38"/>
      <x:c r="F142" s="38"/>
      <x:c r="G142" s="38"/>
      <x:c r="H142" s="75" t="b">
        <x:v>0</x:v>
      </x:c>
      <x:c r="I142" s="38" t="str">
        <x:v>candidate</x:v>
      </x:c>
      <x:c r="J142" s="38" t="str">
        <x:v>Ful Medames dish</x:v>
      </x:c>
      <x:c r="K142" s="38"/>
    </x:row>
    <x:row r="143">
      <x:c r="A143" s="38" t="str">
        <x:v>nyama-choma</x:v>
      </x:c>
      <x:c r="B143" s="38" t="str">
        <x:v>https://commons.wikimedia.org/w/index.php?search=Nyama+Choma&amp;title=Special:MediaSearch&amp;type=image</x:v>
      </x:c>
      <x:c r="C143" s="38"/>
      <x:c r="D143" s="38" t="str">
        <x:v>wikimedia-commons</x:v>
      </x:c>
      <x:c r="E143" s="38"/>
      <x:c r="F143" s="38"/>
      <x:c r="G143" s="38"/>
      <x:c r="H143" s="75" t="b">
        <x:v>0</x:v>
      </x:c>
      <x:c r="I143" s="38" t="str">
        <x:v>candidate</x:v>
      </x:c>
      <x:c r="J143" s="38" t="str">
        <x:v>Nyama Choma dish</x:v>
      </x:c>
      <x:c r="K143" s="38"/>
    </x:row>
    <x:row r="144">
      <x:c r="A144" s="38" t="str">
        <x:v>rolex</x:v>
      </x:c>
      <x:c r="B144" s="38" t="str">
        <x:v>https://commons.wikimedia.org/w/index.php?search=Rolex&amp;title=Special:MediaSearch&amp;type=image</x:v>
      </x:c>
      <x:c r="C144" s="38"/>
      <x:c r="D144" s="38" t="str">
        <x:v>wikimedia-commons</x:v>
      </x:c>
      <x:c r="E144" s="38"/>
      <x:c r="F144" s="38"/>
      <x:c r="G144" s="38"/>
      <x:c r="H144" s="75" t="b">
        <x:v>0</x:v>
      </x:c>
      <x:c r="I144" s="38" t="str">
        <x:v>candidate</x:v>
      </x:c>
      <x:c r="J144" s="38" t="str">
        <x:v>Rolex dish</x:v>
      </x:c>
      <x:c r="K144" s="38"/>
    </x:row>
    <x:row r="145">
      <x:c r="A145" s="38" t="str">
        <x:v>couscous</x:v>
      </x:c>
      <x:c r="B145" s="38" t="str">
        <x:v>https://commons.wikimedia.org/w/index.php?search=Couscous&amp;title=Special:MediaSearch&amp;type=image</x:v>
      </x:c>
      <x:c r="C145" s="38"/>
      <x:c r="D145" s="38" t="str">
        <x:v>wikimedia-commons</x:v>
      </x:c>
      <x:c r="E145" s="38"/>
      <x:c r="F145" s="38"/>
      <x:c r="G145" s="38"/>
      <x:c r="H145" s="75" t="b">
        <x:v>0</x:v>
      </x:c>
      <x:c r="I145" s="38" t="str">
        <x:v>candidate</x:v>
      </x:c>
      <x:c r="J145" s="38" t="str">
        <x:v>Couscous dish</x:v>
      </x:c>
      <x:c r="K145" s="38"/>
    </x:row>
    <x:row r="146">
      <x:c r="A146" s="38" t="str">
        <x:v>fish-and-chips</x:v>
      </x:c>
      <x:c r="B146" s="38" t="str">
        <x:v>https://commons.wikimedia.org/w/index.php?search=Fish+and+Chips&amp;title=Special:MediaSearch&amp;type=image</x:v>
      </x:c>
      <x:c r="C146" s="38"/>
      <x:c r="D146" s="38" t="str">
        <x:v>wikimedia-commons</x:v>
      </x:c>
      <x:c r="E146" s="38"/>
      <x:c r="F146" s="38"/>
      <x:c r="G146" s="38"/>
      <x:c r="H146" s="75" t="b">
        <x:v>0</x:v>
      </x:c>
      <x:c r="I146" s="38" t="str">
        <x:v>candidate</x:v>
      </x:c>
      <x:c r="J146" s="38" t="str">
        <x:v>Fish and Chips dish</x:v>
      </x:c>
      <x:c r="K146" s="38"/>
    </x:row>
    <x:row r="147">
      <x:c r="A147" s="38" t="str">
        <x:v>moussaka</x:v>
      </x:c>
      <x:c r="B147" s="38" t="str">
        <x:v>https://commons.wikimedia.org/w/index.php?search=Moussaka&amp;title=Special:MediaSearch&amp;type=image</x:v>
      </x:c>
      <x:c r="C147" s="38"/>
      <x:c r="D147" s="38" t="str">
        <x:v>wikimedia-commons</x:v>
      </x:c>
      <x:c r="E147" s="38"/>
      <x:c r="F147" s="38"/>
      <x:c r="G147" s="38"/>
      <x:c r="H147" s="75" t="b">
        <x:v>0</x:v>
      </x:c>
      <x:c r="I147" s="38" t="str">
        <x:v>candidate</x:v>
      </x:c>
      <x:c r="J147" s="38" t="str">
        <x:v>Moussaka dish</x:v>
      </x:c>
      <x:c r="K147" s="38"/>
    </x:row>
    <x:row r="148">
      <x:c r="A148" s="38" t="str">
        <x:v>croque-monsieur</x:v>
      </x:c>
      <x:c r="B148" s="38" t="str">
        <x:v>https://commons.wikimedia.org/w/index.php?search=Croque+Monsieur&amp;title=Special:MediaSearch&amp;type=image</x:v>
      </x:c>
      <x:c r="C148" s="38"/>
      <x:c r="D148" s="38" t="str">
        <x:v>wikimedia-commons</x:v>
      </x:c>
      <x:c r="E148" s="38"/>
      <x:c r="F148" s="38"/>
      <x:c r="G148" s="38"/>
      <x:c r="H148" s="75" t="b">
        <x:v>0</x:v>
      </x:c>
      <x:c r="I148" s="38" t="str">
        <x:v>candidate</x:v>
      </x:c>
      <x:c r="J148" s="38" t="str">
        <x:v>Croque Monsieur dish</x:v>
      </x:c>
      <x:c r="K148" s="38"/>
    </x:row>
    <x:row r="149">
      <x:c r="A149" s="38" t="str">
        <x:v>aji-de-gallina</x:v>
      </x:c>
      <x:c r="B149" s="38" t="str">
        <x:v>https://commons.wikimedia.org/w/index.php?search=Aj%C3%AD+de+Gallina&amp;title=Special:MediaSearch&amp;type=image</x:v>
      </x:c>
      <x:c r="C149" s="38"/>
      <x:c r="D149" s="38" t="str">
        <x:v>wikimedia-commons</x:v>
      </x:c>
      <x:c r="E149" s="38"/>
      <x:c r="F149" s="38"/>
      <x:c r="G149" s="38"/>
      <x:c r="H149" s="75" t="b">
        <x:v>0</x:v>
      </x:c>
      <x:c r="I149" s="38" t="str">
        <x:v>candidate</x:v>
      </x:c>
      <x:c r="J149" s="38" t="str">
        <x:v>Ají de Gallina dish</x:v>
      </x:c>
      <x:c r="K149" s="38"/>
    </x:row>
    <x:row r="150">
      <x:c r="A150" s="38" t="str">
        <x:v>sopa-de-fideo</x:v>
      </x:c>
      <x:c r="B150" s="38" t="str">
        <x:v>https://commons.wikimedia.org/w/index.php?search=Sopa+de+Fideo&amp;title=Special:MediaSearch&amp;type=image</x:v>
      </x:c>
      <x:c r="C150" s="38"/>
      <x:c r="D150" s="38" t="str">
        <x:v>wikimedia-commons</x:v>
      </x:c>
      <x:c r="E150" s="38"/>
      <x:c r="F150" s="38"/>
      <x:c r="G150" s="38"/>
      <x:c r="H150" s="75" t="b">
        <x:v>0</x:v>
      </x:c>
      <x:c r="I150" s="38" t="str">
        <x:v>candidate</x:v>
      </x:c>
      <x:c r="J150" s="38" t="str">
        <x:v>Sopa de Fideo dish</x:v>
      </x:c>
      <x:c r="K150" s="38"/>
    </x:row>
    <x:row r="151">
      <x:c r="A151" s="38" t="str">
        <x:v>coxinha</x:v>
      </x:c>
      <x:c r="B151" s="38" t="str">
        <x:v>https://commons.wikimedia.org/w/index.php?search=Coxinha&amp;title=Special:MediaSearch&amp;type=image</x:v>
      </x:c>
      <x:c r="C151" s="38"/>
      <x:c r="D151" s="38" t="str">
        <x:v>wikimedia-commons</x:v>
      </x:c>
      <x:c r="E151" s="38"/>
      <x:c r="F151" s="38"/>
      <x:c r="G151" s="38"/>
      <x:c r="H151" s="75" t="b">
        <x:v>0</x:v>
      </x:c>
      <x:c r="I151" s="38" t="str">
        <x:v>candidate</x:v>
      </x:c>
      <x:c r="J151" s="38" t="str">
        <x:v>Coxinha dish</x:v>
      </x:c>
      <x:c r="K151" s="38"/>
    </x:row>
    <x:row r="152">
      <x:c r="A152" s="38" t="str">
        <x:v>nashville-hot-chicken</x:v>
      </x:c>
      <x:c r="B152" s="38" t="str">
        <x:v>https://commons.wikimedia.org/w/index.php?search=Nashville+Hot+Chicken&amp;title=Special:MediaSearch&amp;type=image</x:v>
      </x:c>
      <x:c r="C152" s="38"/>
      <x:c r="D152" s="38" t="str">
        <x:v>wikimedia-commons</x:v>
      </x:c>
      <x:c r="E152" s="38"/>
      <x:c r="F152" s="38"/>
      <x:c r="G152" s="38"/>
      <x:c r="H152" s="75" t="b">
        <x:v>0</x:v>
      </x:c>
      <x:c r="I152" s="38" t="str">
        <x:v>candidate</x:v>
      </x:c>
      <x:c r="J152" s="38" t="str">
        <x:v>Nashville Hot Chicken dish</x:v>
      </x:c>
      <x:c r="K152" s="38"/>
    </x:row>
    <x:row r="153">
      <x:c r="A153" s="38" t="str">
        <x:v>reuben-sandwich</x:v>
      </x:c>
      <x:c r="B153" s="38" t="str">
        <x:v>https://commons.wikimedia.org/w/index.php?search=Reuben+Sandwich&amp;title=Special:MediaSearch&amp;type=image</x:v>
      </x:c>
      <x:c r="C153" s="38"/>
      <x:c r="D153" s="38" t="str">
        <x:v>wikimedia-commons</x:v>
      </x:c>
      <x:c r="E153" s="38"/>
      <x:c r="F153" s="38"/>
      <x:c r="G153" s="38"/>
      <x:c r="H153" s="75" t="b">
        <x:v>0</x:v>
      </x:c>
      <x:c r="I153" s="38" t="str">
        <x:v>candidate</x:v>
      </x:c>
      <x:c r="J153" s="38" t="str">
        <x:v>Reuben Sandwich dish</x:v>
      </x:c>
      <x:c r="K153" s="38"/>
    </x:row>
    <x:row r="154">
      <x:c r="A154" s="38" t="str">
        <x:v>loco-moco</x:v>
      </x:c>
      <x:c r="B154" s="38" t="str">
        <x:v>https://commons.wikimedia.org/w/index.php?search=Loco+Moco&amp;title=Special:MediaSearch&amp;type=image</x:v>
      </x:c>
      <x:c r="C154" s="38"/>
      <x:c r="D154" s="38" t="str">
        <x:v>wikimedia-commons</x:v>
      </x:c>
      <x:c r="E154" s="38"/>
      <x:c r="F154" s="38"/>
      <x:c r="G154" s="38"/>
      <x:c r="H154" s="75" t="b">
        <x:v>0</x:v>
      </x:c>
      <x:c r="I154" s="38" t="str">
        <x:v>candidate</x:v>
      </x:c>
      <x:c r="J154" s="38" t="str">
        <x:v>Loco Moco dish</x:v>
      </x:c>
      <x:c r="K154" s="38"/>
    </x:row>
    <x:row r="155">
      <x:c r="A155" s="38" t="str">
        <x:v>oyakodon</x:v>
      </x:c>
      <x:c r="B155" s="38" t="str">
        <x:v>https://commons.wikimedia.org/w/index.php?search=Oyakodon&amp;title=Special:MediaSearch&amp;type=image</x:v>
      </x:c>
      <x:c r="C155" s="38"/>
      <x:c r="D155" s="38" t="str">
        <x:v>wikimedia-commons</x:v>
      </x:c>
      <x:c r="E155" s="38"/>
      <x:c r="F155" s="38"/>
      <x:c r="G155" s="38"/>
      <x:c r="H155" s="75" t="b">
        <x:v>0</x:v>
      </x:c>
      <x:c r="I155" s="38" t="str">
        <x:v>candidate</x:v>
      </x:c>
      <x:c r="J155" s="38" t="str">
        <x:v>Oyakodon dish</x:v>
      </x:c>
      <x:c r="K155" s="38"/>
    </x:row>
    <x:row r="156">
      <x:c r="A156" s="38" t="str">
        <x:v>doenjang-jjigae</x:v>
      </x:c>
      <x:c r="B156" s="38" t="str">
        <x:v>https://commons.wikimedia.org/w/index.php?search=Doenjang-jjigae&amp;title=Special:MediaSearch&amp;type=image</x:v>
      </x:c>
      <x:c r="C156" s="38"/>
      <x:c r="D156" s="38" t="str">
        <x:v>wikimedia-commons</x:v>
      </x:c>
      <x:c r="E156" s="38"/>
      <x:c r="F156" s="38"/>
      <x:c r="G156" s="38"/>
      <x:c r="H156" s="75" t="b">
        <x:v>0</x:v>
      </x:c>
      <x:c r="I156" s="38" t="str">
        <x:v>candidate</x:v>
      </x:c>
      <x:c r="J156" s="38" t="str">
        <x:v>Doenjang-jjigae dish</x:v>
      </x:c>
      <x:c r="K156" s="38"/>
    </x:row>
    <x:row r="157">
      <x:c r="A157" s="38" t="str">
        <x:v>zongzi</x:v>
      </x:c>
      <x:c r="B157" s="38" t="str">
        <x:v>https://commons.wikimedia.org/w/index.php?search=Zongzi&amp;title=Special:MediaSearch&amp;type=image</x:v>
      </x:c>
      <x:c r="C157" s="38"/>
      <x:c r="D157" s="38" t="str">
        <x:v>wikimedia-commons</x:v>
      </x:c>
      <x:c r="E157" s="38"/>
      <x:c r="F157" s="38"/>
      <x:c r="G157" s="38"/>
      <x:c r="H157" s="75" t="b">
        <x:v>0</x:v>
      </x:c>
      <x:c r="I157" s="38" t="str">
        <x:v>candidate</x:v>
      </x:c>
      <x:c r="J157" s="38" t="str">
        <x:v>Zongzi dish</x:v>
      </x:c>
      <x:c r="K157" s="38"/>
    </x:row>
    <x:row r="158">
      <x:c r="A158" s="38" t="str">
        <x:v>bai-sach-chrouk</x:v>
      </x:c>
      <x:c r="B158" s="38" t="str">
        <x:v>https://commons.wikimedia.org/w/index.php?search=Bai+Sach+Chrouk&amp;title=Special:MediaSearch&amp;type=image</x:v>
      </x:c>
      <x:c r="C158" s="38"/>
      <x:c r="D158" s="38" t="str">
        <x:v>wikimedia-commons</x:v>
      </x:c>
      <x:c r="E158" s="38"/>
      <x:c r="F158" s="38"/>
      <x:c r="G158" s="38"/>
      <x:c r="H158" s="75" t="b">
        <x:v>0</x:v>
      </x:c>
      <x:c r="I158" s="38" t="str">
        <x:v>candidate</x:v>
      </x:c>
      <x:c r="J158" s="38" t="str">
        <x:v>Bai Sach Chrouk dish</x:v>
      </x:c>
      <x:c r="K158" s="38"/>
    </x:row>
    <x:row r="159">
      <x:c r="A159" s="38" t="str">
        <x:v>kuy-teav</x:v>
      </x:c>
      <x:c r="B159" s="38" t="str">
        <x:v>https://commons.wikimedia.org/w/index.php?search=Kuy+Teav&amp;title=Special:MediaSearch&amp;type=image</x:v>
      </x:c>
      <x:c r="C159" s="38"/>
      <x:c r="D159" s="38" t="str">
        <x:v>wikimedia-commons</x:v>
      </x:c>
      <x:c r="E159" s="38"/>
      <x:c r="F159" s="38"/>
      <x:c r="G159" s="38"/>
      <x:c r="H159" s="75" t="b">
        <x:v>0</x:v>
      </x:c>
      <x:c r="I159" s="38" t="str">
        <x:v>candidate</x:v>
      </x:c>
      <x:c r="J159" s="38" t="str">
        <x:v>Kuy Teav dish</x:v>
      </x:c>
      <x:c r="K159" s="38"/>
    </x:row>
    <x:row r="160">
      <x:c r="A160" s="38" t="str">
        <x:v>fish-amok</x:v>
      </x:c>
      <x:c r="B160" s="38" t="str">
        <x:v>https://commons.wikimedia.org/w/index.php?search=Fish+Amok&amp;title=Special:MediaSearch&amp;type=image</x:v>
      </x:c>
      <x:c r="C160" s="38"/>
      <x:c r="D160" s="38" t="str">
        <x:v>wikimedia-commons</x:v>
      </x:c>
      <x:c r="E160" s="38"/>
      <x:c r="F160" s="38"/>
      <x:c r="G160" s="38"/>
      <x:c r="H160" s="75" t="b">
        <x:v>0</x:v>
      </x:c>
      <x:c r="I160" s="38" t="str">
        <x:v>candidate</x:v>
      </x:c>
      <x:c r="J160" s="38" t="str">
        <x:v>Fish Amok dish</x:v>
      </x:c>
      <x:c r="K160" s="38"/>
    </x:row>
    <x:row r="161">
      <x:c r="A161" s="38" t="str">
        <x:v>butter-chicken</x:v>
      </x:c>
      <x:c r="B161" s="38" t="str">
        <x:v>https://commons.wikimedia.org/w/index.php?search=Butter+Chicken&amp;title=Special:MediaSearch&amp;type=image</x:v>
      </x:c>
      <x:c r="C161" s="38"/>
      <x:c r="D161" s="38" t="str">
        <x:v>wikimedia-commons</x:v>
      </x:c>
      <x:c r="E161" s="38"/>
      <x:c r="F161" s="38"/>
      <x:c r="G161" s="38"/>
      <x:c r="H161" s="75" t="b">
        <x:v>0</x:v>
      </x:c>
      <x:c r="I161" s="38" t="str">
        <x:v>candidate</x:v>
      </x:c>
      <x:c r="J161" s="38" t="str">
        <x:v>Butter Chicken dish</x:v>
      </x:c>
      <x:c r="K161" s="38"/>
    </x:row>
    <x:row r="162">
      <x:c r="A162" s="38" t="str">
        <x:v>poha</x:v>
      </x:c>
      <x:c r="B162" s="38" t="str">
        <x:v>https://commons.wikimedia.org/w/index.php?search=Poha&amp;title=Special:MediaSearch&amp;type=image</x:v>
      </x:c>
      <x:c r="C162" s="38"/>
      <x:c r="D162" s="38" t="str">
        <x:v>wikimedia-commons</x:v>
      </x:c>
      <x:c r="E162" s="38"/>
      <x:c r="F162" s="38"/>
      <x:c r="G162" s="38"/>
      <x:c r="H162" s="75" t="b">
        <x:v>0</x:v>
      </x:c>
      <x:c r="I162" s="38" t="str">
        <x:v>candidate</x:v>
      </x:c>
      <x:c r="J162" s="38" t="str">
        <x:v>Poha dish</x:v>
      </x:c>
      <x:c r="K162" s="38"/>
    </x:row>
    <x:row r="163">
      <x:c r="A163" s="38" t="str">
        <x:v>dal-dhokli</x:v>
      </x:c>
      <x:c r="B163" s="38" t="str">
        <x:v>https://commons.wikimedia.org/w/index.php?search=Dal+Dhokli&amp;title=Special:MediaSearch&amp;type=image</x:v>
      </x:c>
      <x:c r="C163" s="38"/>
      <x:c r="D163" s="38" t="str">
        <x:v>wikimedia-commons</x:v>
      </x:c>
      <x:c r="E163" s="38"/>
      <x:c r="F163" s="38"/>
      <x:c r="G163" s="38"/>
      <x:c r="H163" s="75" t="b">
        <x:v>0</x:v>
      </x:c>
      <x:c r="I163" s="38" t="str">
        <x:v>candidate</x:v>
      </x:c>
      <x:c r="J163" s="38" t="str">
        <x:v>Dal Dhokli dish</x:v>
      </x:c>
      <x:c r="K163" s="38"/>
    </x:row>
    <x:row r="164">
      <x:c r="A164" s="38" t="str">
        <x:v>manti</x:v>
      </x:c>
      <x:c r="B164" s="38" t="str">
        <x:v>https://commons.wikimedia.org/w/index.php?search=Manti&amp;title=Special:MediaSearch&amp;type=image</x:v>
      </x:c>
      <x:c r="C164" s="38"/>
      <x:c r="D164" s="38" t="str">
        <x:v>wikimedia-commons</x:v>
      </x:c>
      <x:c r="E164" s="38"/>
      <x:c r="F164" s="38"/>
      <x:c r="G164" s="38"/>
      <x:c r="H164" s="75" t="b">
        <x:v>0</x:v>
      </x:c>
      <x:c r="I164" s="38" t="str">
        <x:v>candidate</x:v>
      </x:c>
      <x:c r="J164" s="38" t="str">
        <x:v>Manti dish</x:v>
      </x:c>
      <x:c r="K164" s="38"/>
    </x:row>
    <x:row r="165">
      <x:c r="A165" s="38" t="str">
        <x:v>adana-kebab</x:v>
      </x:c>
      <x:c r="B165" s="38" t="str">
        <x:v>https://commons.wikimedia.org/w/index.php?search=Adana+Kebab&amp;title=Special:MediaSearch&amp;type=image</x:v>
      </x:c>
      <x:c r="C165" s="38"/>
      <x:c r="D165" s="38" t="str">
        <x:v>wikimedia-commons</x:v>
      </x:c>
      <x:c r="E165" s="38"/>
      <x:c r="F165" s="38"/>
      <x:c r="G165" s="38"/>
      <x:c r="H165" s="75" t="b">
        <x:v>0</x:v>
      </x:c>
      <x:c r="I165" s="38" t="str">
        <x:v>candidate</x:v>
      </x:c>
      <x:c r="J165" s="38" t="str">
        <x:v>Adana Kebab dish</x:v>
      </x:c>
      <x:c r="K165" s="38"/>
    </x:row>
    <x:row r="166">
      <x:c r="A166" s="38" t="str">
        <x:v>freekeh-pilaf</x:v>
      </x:c>
      <x:c r="B166" s="38" t="str">
        <x:v>https://commons.wikimedia.org/w/index.php?search=Freekeh+Pilaf&amp;title=Special:MediaSearch&amp;type=image</x:v>
      </x:c>
      <x:c r="C166" s="38"/>
      <x:c r="D166" s="38" t="str">
        <x:v>wikimedia-commons</x:v>
      </x:c>
      <x:c r="E166" s="38"/>
      <x:c r="F166" s="38"/>
      <x:c r="G166" s="38"/>
      <x:c r="H166" s="75" t="b">
        <x:v>0</x:v>
      </x:c>
      <x:c r="I166" s="38" t="str">
        <x:v>candidate</x:v>
      </x:c>
      <x:c r="J166" s="38" t="str">
        <x:v>Freekeh Pilaf dish</x:v>
      </x:c>
      <x:c r="K166" s="38"/>
    </x:row>
    <x:row r="167">
      <x:c r="A167" s="38" t="str">
        <x:v>sfiha</x:v>
      </x:c>
      <x:c r="B167" s="38" t="str">
        <x:v>https://commons.wikimedia.org/w/index.php?search=Sfiha&amp;title=Special:MediaSearch&amp;type=image</x:v>
      </x:c>
      <x:c r="C167" s="38"/>
      <x:c r="D167" s="38" t="str">
        <x:v>wikimedia-commons</x:v>
      </x:c>
      <x:c r="E167" s="38"/>
      <x:c r="F167" s="38"/>
      <x:c r="G167" s="38"/>
      <x:c r="H167" s="75" t="b">
        <x:v>0</x:v>
      </x:c>
      <x:c r="I167" s="38" t="str">
        <x:v>candidate</x:v>
      </x:c>
      <x:c r="J167" s="38" t="str">
        <x:v>Sfiha dish</x:v>
      </x:c>
      <x:c r="K167" s="38"/>
    </x:row>
    <x:row r="168">
      <x:c r="A168" s="38" t="str">
        <x:v>baasto-iyo-suugo</x:v>
      </x:c>
      <x:c r="B168" s="38" t="str">
        <x:v>https://commons.wikimedia.org/w/index.php?search=Baasto+iyo+Suugo&amp;title=Special:MediaSearch&amp;type=image</x:v>
      </x:c>
      <x:c r="C168" s="38"/>
      <x:c r="D168" s="38" t="str">
        <x:v>wikimedia-commons</x:v>
      </x:c>
      <x:c r="E168" s="38"/>
      <x:c r="F168" s="38"/>
      <x:c r="G168" s="38"/>
      <x:c r="H168" s="75" t="b">
        <x:v>0</x:v>
      </x:c>
      <x:c r="I168" s="38" t="str">
        <x:v>candidate</x:v>
      </x:c>
      <x:c r="J168" s="38" t="str">
        <x:v>Baasto iyo Suugo dish</x:v>
      </x:c>
      <x:c r="K168" s="38"/>
    </x:row>
    <x:row r="169">
      <x:c r="A169" s="38" t="str">
        <x:v>pastilla</x:v>
      </x:c>
      <x:c r="B169" s="38" t="str">
        <x:v>https://commons.wikimedia.org/w/index.php?search=Pastilla&amp;title=Special:MediaSearch&amp;type=image</x:v>
      </x:c>
      <x:c r="C169" s="38"/>
      <x:c r="D169" s="38" t="str">
        <x:v>wikimedia-commons</x:v>
      </x:c>
      <x:c r="E169" s="38"/>
      <x:c r="F169" s="38"/>
      <x:c r="G169" s="38"/>
      <x:c r="H169" s="75" t="b">
        <x:v>0</x:v>
      </x:c>
      <x:c r="I169" s="38" t="str">
        <x:v>candidate</x:v>
      </x:c>
      <x:c r="J169" s="38" t="str">
        <x:v>Pastilla dish</x:v>
      </x:c>
      <x:c r="K169" s="38"/>
    </x:row>
    <x:row r="170">
      <x:c r="A170" s="38" t="str">
        <x:v>moi-moi</x:v>
      </x:c>
      <x:c r="B170" s="38" t="str">
        <x:v>https://commons.wikimedia.org/w/index.php?search=Moi+Moi&amp;title=Special:MediaSearch&amp;type=image</x:v>
      </x:c>
      <x:c r="C170" s="38"/>
      <x:c r="D170" s="38" t="str">
        <x:v>wikimedia-commons</x:v>
      </x:c>
      <x:c r="E170" s="38"/>
      <x:c r="F170" s="38"/>
      <x:c r="G170" s="38"/>
      <x:c r="H170" s="75" t="b">
        <x:v>0</x:v>
      </x:c>
      <x:c r="I170" s="38" t="str">
        <x:v>candidate</x:v>
      </x:c>
      <x:c r="J170" s="38" t="str">
        <x:v>Moi Moi dish</x:v>
      </x:c>
      <x:c r="K170" s="38"/>
    </x:row>
    <x:row r="171">
      <x:c r="A171" s="38" t="str">
        <x:v>attieke-fish</x:v>
      </x:c>
      <x:c r="B171" s="38" t="str">
        <x:v>https://commons.wikimedia.org/w/index.php?search=Atti%C3%A9k%C3%A9+with+Grilled+Fish&amp;title=Special:MediaSearch&amp;type=image</x:v>
      </x:c>
      <x:c r="C171" s="38"/>
      <x:c r="D171" s="38" t="str">
        <x:v>wikimedia-commons</x:v>
      </x:c>
      <x:c r="E171" s="38"/>
      <x:c r="F171" s="38"/>
      <x:c r="G171" s="38"/>
      <x:c r="H171" s="75" t="b">
        <x:v>0</x:v>
      </x:c>
      <x:c r="I171" s="38" t="str">
        <x:v>candidate</x:v>
      </x:c>
      <x:c r="J171" s="38" t="str">
        <x:v>Attiéké with Grilled Fish dish</x:v>
      </x:c>
      <x:c r="K171" s="38"/>
    </x:row>
    <x:row r="172">
      <x:c r="A172" s="38" t="str">
        <x:v>arroz-de-marisco</x:v>
      </x:c>
      <x:c r="B172" s="38" t="str">
        <x:v>https://commons.wikimedia.org/w/index.php?search=Arroz+de+Marisco&amp;title=Special:MediaSearch&amp;type=image</x:v>
      </x:c>
      <x:c r="C172" s="38"/>
      <x:c r="D172" s="38" t="str">
        <x:v>wikimedia-commons</x:v>
      </x:c>
      <x:c r="E172" s="38"/>
      <x:c r="F172" s="38"/>
      <x:c r="G172" s="38"/>
      <x:c r="H172" s="75" t="b">
        <x:v>0</x:v>
      </x:c>
      <x:c r="I172" s="38" t="str">
        <x:v>candidate</x:v>
      </x:c>
      <x:c r="J172" s="38" t="str">
        <x:v>Arroz de Marisco dish</x:v>
      </x:c>
      <x:c r="K172" s="38"/>
    </x:row>
    <x:row r="173">
      <x:c r="A173" s="38" t="str">
        <x:v>arroz-negro</x:v>
      </x:c>
      <x:c r="B173" s="38" t="str">
        <x:v>https://commons.wikimedia.org/w/index.php?search=Arroz+Negro&amp;title=Special:MediaSearch&amp;type=image</x:v>
      </x:c>
      <x:c r="C173" s="38"/>
      <x:c r="D173" s="38" t="str">
        <x:v>wikimedia-commons</x:v>
      </x:c>
      <x:c r="E173" s="38"/>
      <x:c r="F173" s="38"/>
      <x:c r="G173" s="38"/>
      <x:c r="H173" s="75" t="b">
        <x:v>0</x:v>
      </x:c>
      <x:c r="I173" s="38" t="str">
        <x:v>candidate</x:v>
      </x:c>
      <x:c r="J173" s="38" t="str">
        <x:v>Arroz Negro dish</x:v>
      </x:c>
      <x:c r="K173" s="38"/>
    </x:row>
    <x:row r="174">
      <x:c r="A174" s="38" t="str">
        <x:v>cevapi</x:v>
      </x:c>
      <x:c r="B174" s="38" t="str">
        <x:v>https://commons.wikimedia.org/w/index.php?search=%C4%86evapi&amp;title=Special:MediaSearch&amp;type=image</x:v>
      </x:c>
      <x:c r="C174" s="38"/>
      <x:c r="D174" s="38" t="str">
        <x:v>wikimedia-commons</x:v>
      </x:c>
      <x:c r="E174" s="38"/>
      <x:c r="F174" s="38"/>
      <x:c r="G174" s="38"/>
      <x:c r="H174" s="75" t="b">
        <x:v>0</x:v>
      </x:c>
      <x:c r="I174" s="38" t="str">
        <x:v>candidate</x:v>
      </x:c>
      <x:c r="J174" s="38" t="str">
        <x:v>Ćevapi dish</x:v>
      </x:c>
      <x:c r="K174" s="38"/>
    </x:row>
    <x:row r="175">
      <x:c r="A175" s="38" t="str">
        <x:v>arroz-con-gandules</x:v>
      </x:c>
      <x:c r="B175" s="38" t="str">
        <x:v>https://commons.wikimedia.org/w/index.php?search=Arroz+con+Gandules&amp;title=Special:MediaSearch&amp;type=image</x:v>
      </x:c>
      <x:c r="C175" s="38"/>
      <x:c r="D175" s="38" t="str">
        <x:v>wikimedia-commons</x:v>
      </x:c>
      <x:c r="E175" s="38"/>
      <x:c r="F175" s="38"/>
      <x:c r="G175" s="38"/>
      <x:c r="H175" s="75" t="b">
        <x:v>0</x:v>
      </x:c>
      <x:c r="I175" s="38" t="str">
        <x:v>candidate</x:v>
      </x:c>
      <x:c r="J175" s="38" t="str">
        <x:v>Arroz con Gandules dish</x:v>
      </x:c>
      <x:c r="K175" s="38"/>
    </x:row>
    <x:row r="176">
      <x:c r="A176" s="38" t="str">
        <x:v>chivito</x:v>
      </x:c>
      <x:c r="B176" s="38" t="str">
        <x:v>https://commons.wikimedia.org/w/index.php?search=Chivito&amp;title=Special:MediaSearch&amp;type=image</x:v>
      </x:c>
      <x:c r="C176" s="38"/>
      <x:c r="D176" s="38" t="str">
        <x:v>wikimedia-commons</x:v>
      </x:c>
      <x:c r="E176" s="38"/>
      <x:c r="F176" s="38"/>
      <x:c r="G176" s="38"/>
      <x:c r="H176" s="75" t="b">
        <x:v>0</x:v>
      </x:c>
      <x:c r="I176" s="38" t="str">
        <x:v>candidate</x:v>
      </x:c>
      <x:c r="J176" s="38" t="str">
        <x:v>Chivito dish</x:v>
      </x:c>
      <x:c r="K176" s="38"/>
    </x:row>
    <x:row r="177">
      <x:c r="A177" s="38" t="str">
        <x:v>jerk-chicken</x:v>
      </x:c>
      <x:c r="B177" s="38" t="str">
        <x:v>https://commons.wikimedia.org/w/index.php?search=Jerk+Chicken&amp;title=Special:MediaSearch&amp;type=image</x:v>
      </x:c>
      <x:c r="C177" s="38"/>
      <x:c r="D177" s="38" t="str">
        <x:v>wikimedia-commons</x:v>
      </x:c>
      <x:c r="E177" s="38"/>
      <x:c r="F177" s="38"/>
      <x:c r="G177" s="38"/>
      <x:c r="H177" s="75" t="b">
        <x:v>0</x:v>
      </x:c>
      <x:c r="I177" s="38" t="str">
        <x:v>candidate</x:v>
      </x:c>
      <x:c r="J177" s="38" t="str">
        <x:v>Jerk Chicken dish</x:v>
      </x:c>
      <x:c r="K177" s="38"/>
    </x:row>
    <x:row r="178">
      <x:c r="A178" s="38" t="str">
        <x:v>montreal-smoked-meat-sandwich</x:v>
      </x:c>
      <x:c r="B178" s="38" t="str">
        <x:v>https://commons.wikimedia.org/w/index.php?search=Montreal+Smoked+Meat+Sandwich&amp;title=Special:MediaSearch&amp;type=image</x:v>
      </x:c>
      <x:c r="C178" s="38"/>
      <x:c r="D178" s="38" t="str">
        <x:v>wikimedia-commons</x:v>
      </x:c>
      <x:c r="E178" s="38"/>
      <x:c r="F178" s="38"/>
      <x:c r="G178" s="38"/>
      <x:c r="H178" s="75" t="b">
        <x:v>0</x:v>
      </x:c>
      <x:c r="I178" s="38" t="str">
        <x:v>candidate</x:v>
      </x:c>
      <x:c r="J178" s="38" t="str">
        <x:v>Montreal Smoked Meat Sandwich dish</x:v>
      </x:c>
      <x:c r="K178" s="38"/>
    </x:row>
    <x:row r="179">
      <x:c r="A179" s="38" t="str">
        <x:v>chicken-and-waffles</x:v>
      </x:c>
      <x:c r="B179" s="38" t="str">
        <x:v>https://commons.wikimedia.org/w/index.php?search=Chicken+and+Waffles&amp;title=Special:MediaSearch&amp;type=image</x:v>
      </x:c>
      <x:c r="C179" s="38"/>
      <x:c r="D179" s="38" t="str">
        <x:v>wikimedia-commons</x:v>
      </x:c>
      <x:c r="E179" s="38"/>
      <x:c r="F179" s="38"/>
      <x:c r="G179" s="38"/>
      <x:c r="H179" s="75" t="b">
        <x:v>0</x:v>
      </x:c>
      <x:c r="I179" s="38" t="str">
        <x:v>candidate</x:v>
      </x:c>
      <x:c r="J179" s="38" t="str">
        <x:v>Chicken and Waffles dish</x:v>
      </x:c>
      <x:c r="K179" s="38"/>
    </x:row>
    <x:row r="180">
      <x:c r="A180" s="38" t="str">
        <x:v>katsudon</x:v>
      </x:c>
      <x:c r="B180" s="38" t="str">
        <x:v>https://commons.wikimedia.org/w/index.php?search=Katsudon&amp;title=Special:MediaSearch&amp;type=image</x:v>
      </x:c>
      <x:c r="C180" s="38"/>
      <x:c r="D180" s="38" t="str">
        <x:v>wikimedia-commons</x:v>
      </x:c>
      <x:c r="E180" s="38"/>
      <x:c r="F180" s="38"/>
      <x:c r="G180" s="38"/>
      <x:c r="H180" s="75" t="b">
        <x:v>0</x:v>
      </x:c>
      <x:c r="I180" s="38" t="str">
        <x:v>candidate</x:v>
      </x:c>
      <x:c r="J180" s="38" t="str">
        <x:v>Katsudon dish</x:v>
      </x:c>
      <x:c r="K180" s="38"/>
    </x:row>
    <x:row r="181">
      <x:c r="A181" s="38" t="str">
        <x:v>jjajangmyeon</x:v>
      </x:c>
      <x:c r="B181" s="38" t="str">
        <x:v>https://commons.wikimedia.org/w/index.php?search=Jjajangmyeon&amp;title=Special:MediaSearch&amp;type=image</x:v>
      </x:c>
      <x:c r="C181" s="38"/>
      <x:c r="D181" s="38" t="str">
        <x:v>wikimedia-commons</x:v>
      </x:c>
      <x:c r="E181" s="38"/>
      <x:c r="F181" s="38"/>
      <x:c r="G181" s="38"/>
      <x:c r="H181" s="75" t="b">
        <x:v>0</x:v>
      </x:c>
      <x:c r="I181" s="38" t="str">
        <x:v>candidate</x:v>
      </x:c>
      <x:c r="J181" s="38" t="str">
        <x:v>Jjajangmyeon dish</x:v>
      </x:c>
      <x:c r="K181" s="38"/>
    </x:row>
    <x:row r="182">
      <x:c r="A182" s="38" t="str">
        <x:v>wonton-soup</x:v>
      </x:c>
      <x:c r="B182" s="38" t="str">
        <x:v>https://commons.wikimedia.org/w/index.php?search=Wonton+Soup&amp;title=Special:MediaSearch&amp;type=image</x:v>
      </x:c>
      <x:c r="C182" s="38"/>
      <x:c r="D182" s="38" t="str">
        <x:v>wikimedia-commons</x:v>
      </x:c>
      <x:c r="E182" s="38"/>
      <x:c r="F182" s="38"/>
      <x:c r="G182" s="38"/>
      <x:c r="H182" s="75" t="b">
        <x:v>0</x:v>
      </x:c>
      <x:c r="I182" s="38" t="str">
        <x:v>candidate</x:v>
      </x:c>
      <x:c r="J182" s="38" t="str">
        <x:v>Wonton Soup dish</x:v>
      </x:c>
      <x:c r="K182" s="38"/>
    </x:row>
    <x:row r="183">
      <x:c r="A183" s="38" t="str">
        <x:v>lemon-rice</x:v>
      </x:c>
      <x:c r="B183" s="38" t="str">
        <x:v>https://commons.wikimedia.org/w/index.php?search=Lemon+Rice&amp;title=Special:MediaSearch&amp;type=image</x:v>
      </x:c>
      <x:c r="C183" s="38"/>
      <x:c r="D183" s="38" t="str">
        <x:v>wikimedia-commons</x:v>
      </x:c>
      <x:c r="E183" s="38"/>
      <x:c r="F183" s="38"/>
      <x:c r="G183" s="38"/>
      <x:c r="H183" s="75" t="b">
        <x:v>0</x:v>
      </x:c>
      <x:c r="I183" s="38" t="str">
        <x:v>candidate</x:v>
      </x:c>
      <x:c r="J183" s="38" t="str">
        <x:v>Lemon Rice dish</x:v>
      </x:c>
      <x:c r="K183" s="38"/>
    </x:row>
    <x:row r="184">
      <x:c r="A184" s="38" t="str">
        <x:v>paya</x:v>
      </x:c>
      <x:c r="B184" s="38" t="str">
        <x:v>https://commons.wikimedia.org/w/index.php?search=Paya&amp;title=Special:MediaSearch&amp;type=image</x:v>
      </x:c>
      <x:c r="C184" s="38"/>
      <x:c r="D184" s="38" t="str">
        <x:v>wikimedia-commons</x:v>
      </x:c>
      <x:c r="E184" s="38"/>
      <x:c r="F184" s="38"/>
      <x:c r="G184" s="38"/>
      <x:c r="H184" s="75" t="b">
        <x:v>0</x:v>
      </x:c>
      <x:c r="I184" s="38" t="str">
        <x:v>candidate</x:v>
      </x:c>
      <x:c r="J184" s="38" t="str">
        <x:v>Paya dish</x:v>
      </x:c>
      <x:c r="K184" s="38"/>
    </x:row>
    <x:row r="185">
      <x:c r="A185" s="38" t="str">
        <x:v>chicken-chettinad</x:v>
      </x:c>
      <x:c r="B185" s="38" t="str">
        <x:v>https://commons.wikimedia.org/w/index.php?search=Chicken+Chettinad&amp;title=Special:MediaSearch&amp;type=image</x:v>
      </x:c>
      <x:c r="C185" s="38"/>
      <x:c r="D185" s="38" t="str">
        <x:v>wikimedia-commons</x:v>
      </x:c>
      <x:c r="E185" s="38"/>
      <x:c r="F185" s="38"/>
      <x:c r="G185" s="38"/>
      <x:c r="H185" s="75" t="b">
        <x:v>0</x:v>
      </x:c>
      <x:c r="I185" s="38" t="str">
        <x:v>candidate</x:v>
      </x:c>
      <x:c r="J185" s="38" t="str">
        <x:v>Chicken Chettinad dish</x:v>
      </x:c>
      <x:c r="K185" s="38"/>
    </x:row>
    <x:row r="186">
      <x:c r="A186" s="38" t="str">
        <x:v>mandi</x:v>
      </x:c>
      <x:c r="B186" s="38" t="str">
        <x:v>https://commons.wikimedia.org/w/index.php?search=Mandi&amp;title=Special:MediaSearch&amp;type=image</x:v>
      </x:c>
      <x:c r="C186" s="38"/>
      <x:c r="D186" s="38" t="str">
        <x:v>wikimedia-commons</x:v>
      </x:c>
      <x:c r="E186" s="38"/>
      <x:c r="F186" s="38"/>
      <x:c r="G186" s="38"/>
      <x:c r="H186" s="75" t="b">
        <x:v>0</x:v>
      </x:c>
      <x:c r="I186" s="38" t="str">
        <x:v>candidate</x:v>
      </x:c>
      <x:c r="J186" s="38" t="str">
        <x:v>Mandi dish</x:v>
      </x:c>
      <x:c r="K186" s="38"/>
    </x:row>
    <x:row r="187">
      <x:c r="A187" s="38" t="str">
        <x:v>shish-barak</x:v>
      </x:c>
      <x:c r="B187" s="38" t="str">
        <x:v>https://commons.wikimedia.org/w/index.php?search=Shish+Barak&amp;title=Special:MediaSearch&amp;type=image</x:v>
      </x:c>
      <x:c r="C187" s="38"/>
      <x:c r="D187" s="38" t="str">
        <x:v>wikimedia-commons</x:v>
      </x:c>
      <x:c r="E187" s="38"/>
      <x:c r="F187" s="38"/>
      <x:c r="G187" s="38"/>
      <x:c r="H187" s="75" t="b">
        <x:v>0</x:v>
      </x:c>
      <x:c r="I187" s="38" t="str">
        <x:v>candidate</x:v>
      </x:c>
      <x:c r="J187" s="38" t="str">
        <x:v>Shish Barak dish</x:v>
      </x:c>
      <x:c r="K187" s="38"/>
    </x:row>
    <x:row r="188">
      <x:c r="A188" s="38" t="str">
        <x:v>maftoul</x:v>
      </x:c>
      <x:c r="B188" s="38" t="str">
        <x:v>https://commons.wikimedia.org/w/index.php?search=Maftoul&amp;title=Special:MediaSearch&amp;type=image</x:v>
      </x:c>
      <x:c r="C188" s="38"/>
      <x:c r="D188" s="38" t="str">
        <x:v>wikimedia-commons</x:v>
      </x:c>
      <x:c r="E188" s="38"/>
      <x:c r="F188" s="38"/>
      <x:c r="G188" s="38"/>
      <x:c r="H188" s="75" t="b">
        <x:v>0</x:v>
      </x:c>
      <x:c r="I188" s="38" t="str">
        <x:v>candidate</x:v>
      </x:c>
      <x:c r="J188" s="38" t="str">
        <x:v>Maftoul dish</x:v>
      </x:c>
      <x:c r="K188" s="38"/>
    </x:row>
    <x:row r="189">
      <x:c r="A189" s="38" t="str">
        <x:v>sambousek</x:v>
      </x:c>
      <x:c r="B189" s="38" t="str">
        <x:v>https://commons.wikimedia.org/w/index.php?search=Sambousek&amp;title=Special:MediaSearch&amp;type=image</x:v>
      </x:c>
      <x:c r="C189" s="38"/>
      <x:c r="D189" s="38" t="str">
        <x:v>wikimedia-commons</x:v>
      </x:c>
      <x:c r="E189" s="38"/>
      <x:c r="F189" s="38"/>
      <x:c r="G189" s="38"/>
      <x:c r="H189" s="75" t="b">
        <x:v>0</x:v>
      </x:c>
      <x:c r="I189" s="38" t="str">
        <x:v>candidate</x:v>
      </x:c>
      <x:c r="J189" s="38" t="str">
        <x:v>Sambousek dish</x:v>
      </x:c>
      <x:c r="K189" s="38"/>
    </x:row>
    <x:row r="190">
      <x:c r="A190" s="38" t="str">
        <x:v>pepper-soup</x:v>
      </x:c>
      <x:c r="B190" s="38" t="str">
        <x:v>https://commons.wikimedia.org/w/index.php?search=Pepper+Soup&amp;title=Special:MediaSearch&amp;type=image</x:v>
      </x:c>
      <x:c r="C190" s="38"/>
      <x:c r="D190" s="38" t="str">
        <x:v>wikimedia-commons</x:v>
      </x:c>
      <x:c r="E190" s="38"/>
      <x:c r="F190" s="38"/>
      <x:c r="G190" s="38"/>
      <x:c r="H190" s="75" t="b">
        <x:v>0</x:v>
      </x:c>
      <x:c r="I190" s="38" t="str">
        <x:v>candidate</x:v>
      </x:c>
      <x:c r="J190" s="38" t="str">
        <x:v>Pepper Soup dish</x:v>
      </x:c>
      <x:c r="K190" s="38"/>
    </x:row>
    <x:row r="191">
      <x:c r="A191" s="38" t="str">
        <x:v>kitfo</x:v>
      </x:c>
      <x:c r="B191" s="38" t="str">
        <x:v>https://commons.wikimedia.org/w/index.php?search=Kitfo&amp;title=Special:MediaSearch&amp;type=image</x:v>
      </x:c>
      <x:c r="C191" s="38"/>
      <x:c r="D191" s="38" t="str">
        <x:v>wikimedia-commons</x:v>
      </x:c>
      <x:c r="E191" s="38"/>
      <x:c r="F191" s="38"/>
      <x:c r="G191" s="38"/>
      <x:c r="H191" s="75" t="b">
        <x:v>0</x:v>
      </x:c>
      <x:c r="I191" s="38" t="str">
        <x:v>candidate</x:v>
      </x:c>
      <x:c r="J191" s="38" t="str">
        <x:v>Kitfo dish</x:v>
      </x:c>
      <x:c r="K191" s="38"/>
    </x:row>
    <x:row r="192">
      <x:c r="A192" s="38" t="str">
        <x:v>tagliatelle-al-ragu</x:v>
      </x:c>
      <x:c r="B192" s="38" t="str">
        <x:v>https://commons.wikimedia.org/w/index.php?search=Tagliatelle+al+Rag%C3%B9&amp;title=Special:MediaSearch&amp;type=image</x:v>
      </x:c>
      <x:c r="C192" s="38"/>
      <x:c r="D192" s="38" t="str">
        <x:v>wikimedia-commons</x:v>
      </x:c>
      <x:c r="E192" s="38"/>
      <x:c r="F192" s="38"/>
      <x:c r="G192" s="38"/>
      <x:c r="H192" s="75" t="b">
        <x:v>0</x:v>
      </x:c>
      <x:c r="I192" s="38" t="str">
        <x:v>candidate</x:v>
      </x:c>
      <x:c r="J192" s="38" t="str">
        <x:v>Tagliatelle al Ragù dish</x:v>
      </x:c>
      <x:c r="K192" s="38"/>
    </x:row>
    <x:row r="193">
      <x:c r="A193" s="38" t="str">
        <x:v>minestrone</x:v>
      </x:c>
      <x:c r="B193" s="38" t="str">
        <x:v>https://commons.wikimedia.org/w/index.php?search=Minestrone&amp;title=Special:MediaSearch&amp;type=image</x:v>
      </x:c>
      <x:c r="C193" s="38"/>
      <x:c r="D193" s="38" t="str">
        <x:v>wikimedia-commons</x:v>
      </x:c>
      <x:c r="E193" s="38"/>
      <x:c r="F193" s="38"/>
      <x:c r="G193" s="38"/>
      <x:c r="H193" s="75" t="b">
        <x:v>0</x:v>
      </x:c>
      <x:c r="I193" s="38" t="str">
        <x:v>candidate</x:v>
      </x:c>
      <x:c r="J193" s="38" t="str">
        <x:v>Minestrone dish</x:v>
      </x:c>
      <x:c r="K193" s="38"/>
    </x:row>
    <x:row r="194">
      <x:c r="A194" s="38" t="str">
        <x:v>shepherds-pie</x:v>
      </x:c>
      <x:c r="B194" s="38" t="str">
        <x:v>https://commons.wikimedia.org/w/index.php?search=Shepherd%27s+Pie&amp;title=Special:MediaSearch&amp;type=image</x:v>
      </x:c>
      <x:c r="C194" s="38"/>
      <x:c r="D194" s="38" t="str">
        <x:v>wikimedia-commons</x:v>
      </x:c>
      <x:c r="E194" s="38"/>
      <x:c r="F194" s="38"/>
      <x:c r="G194" s="38"/>
      <x:c r="H194" s="75" t="b">
        <x:v>0</x:v>
      </x:c>
      <x:c r="I194" s="38" t="str">
        <x:v>candidate</x:v>
      </x:c>
      <x:c r="J194" s="38" t="str">
        <x:v>Shepherd's Pie dish</x:v>
      </x:c>
      <x:c r="K194" s="38"/>
    </x:row>
    <x:row r="195">
      <x:c r="A195" s="38" t="str">
        <x:v>arroz-con-coco</x:v>
      </x:c>
      <x:c r="B195" s="38" t="str">
        <x:v>https://commons.wikimedia.org/w/index.php?search=Arroz+con+Coco&amp;title=Special:MediaSearch&amp;type=image</x:v>
      </x:c>
      <x:c r="C195" s="38"/>
      <x:c r="D195" s="38" t="str">
        <x:v>wikimedia-commons</x:v>
      </x:c>
      <x:c r="E195" s="38"/>
      <x:c r="F195" s="38"/>
      <x:c r="G195" s="38"/>
      <x:c r="H195" s="75" t="b">
        <x:v>0</x:v>
      </x:c>
      <x:c r="I195" s="38" t="str">
        <x:v>candidate</x:v>
      </x:c>
      <x:c r="J195" s="38" t="str">
        <x:v>Arroz con Coco dish</x:v>
      </x:c>
      <x:c r="K195" s="38"/>
    </x:row>
    <x:row r="196">
      <x:c r="A196" s="38" t="str">
        <x:v>pozole</x:v>
      </x:c>
      <x:c r="B196" s="38" t="str">
        <x:v>https://commons.wikimedia.org/w/index.php?search=Pozole&amp;title=Special:MediaSearch&amp;type=image</x:v>
      </x:c>
      <x:c r="C196" s="38"/>
      <x:c r="D196" s="38" t="str">
        <x:v>wikimedia-commons</x:v>
      </x:c>
      <x:c r="E196" s="38"/>
      <x:c r="F196" s="38"/>
      <x:c r="G196" s="38"/>
      <x:c r="H196" s="75" t="b">
        <x:v>0</x:v>
      </x:c>
      <x:c r="I196" s="38" t="str">
        <x:v>candidate</x:v>
      </x:c>
      <x:c r="J196" s="38" t="str">
        <x:v>Pozole dish</x:v>
      </x:c>
      <x:c r="K196" s="38"/>
    </x:row>
    <x:row r="197">
      <x:c r="A197" s="38" t="str">
        <x:v>locro</x:v>
      </x:c>
      <x:c r="B197" s="38" t="str">
        <x:v>https://commons.wikimedia.org/w/index.php?search=Locro&amp;title=Special:MediaSearch&amp;type=image</x:v>
      </x:c>
      <x:c r="C197" s="38"/>
      <x:c r="D197" s="38" t="str">
        <x:v>wikimedia-commons</x:v>
      </x:c>
      <x:c r="E197" s="38"/>
      <x:c r="F197" s="38"/>
      <x:c r="G197" s="38"/>
      <x:c r="H197" s="75" t="b">
        <x:v>0</x:v>
      </x:c>
      <x:c r="I197" s="38" t="str">
        <x:v>candidate</x:v>
      </x:c>
      <x:c r="J197" s="38" t="str">
        <x:v>Locro dish</x:v>
      </x:c>
      <x:c r="K197" s="38"/>
    </x:row>
    <x:row r="198">
      <x:c r="A198" s="38" t="str">
        <x:v>mofongo</x:v>
      </x:c>
      <x:c r="B198" s="38" t="str">
        <x:v>https://commons.wikimedia.org/w/index.php?search=Mofongo&amp;title=Special:MediaSearch&amp;type=image</x:v>
      </x:c>
      <x:c r="C198" s="38"/>
      <x:c r="D198" s="38" t="str">
        <x:v>wikimedia-commons</x:v>
      </x:c>
      <x:c r="E198" s="38"/>
      <x:c r="F198" s="38"/>
      <x:c r="G198" s="38"/>
      <x:c r="H198" s="75" t="b">
        <x:v>0</x:v>
      </x:c>
      <x:c r="I198" s="38" t="str">
        <x:v>candidate</x:v>
      </x:c>
      <x:c r="J198" s="38" t="str">
        <x:v>Mofongo dish</x:v>
      </x:c>
      <x:c r="K198" s="38"/>
    </x:row>
    <x:row r="199">
      <x:c r="A199" s="38" t="str">
        <x:v>red-beans-and-rice</x:v>
      </x:c>
      <x:c r="B199" s="38" t="str">
        <x:v>https://commons.wikimedia.org/w/index.php?search=Red+Beans+and+Rice&amp;title=Special:MediaSearch&amp;type=image</x:v>
      </x:c>
      <x:c r="C199" s="38"/>
      <x:c r="D199" s="38" t="str">
        <x:v>wikimedia-commons</x:v>
      </x:c>
      <x:c r="E199" s="38"/>
      <x:c r="F199" s="38"/>
      <x:c r="G199" s="38"/>
      <x:c r="H199" s="75" t="b">
        <x:v>0</x:v>
      </x:c>
      <x:c r="I199" s="38" t="str">
        <x:v>candidate</x:v>
      </x:c>
      <x:c r="J199" s="38" t="str">
        <x:v>Red Beans and Rice dish</x:v>
      </x:c>
      <x:c r="K199" s="38"/>
    </x:row>
    <x:row r="200">
      <x:c r="A200" s="38" t="str">
        <x:v>crawfish-etouffee</x:v>
      </x:c>
      <x:c r="B200" s="38" t="str">
        <x:v>https://commons.wikimedia.org/w/index.php?search=Crawfish+%C3%89touff%C3%A9e&amp;title=Special:MediaSearch&amp;type=image</x:v>
      </x:c>
      <x:c r="C200" s="38"/>
      <x:c r="D200" s="38" t="str">
        <x:v>wikimedia-commons</x:v>
      </x:c>
      <x:c r="E200" s="38"/>
      <x:c r="F200" s="38"/>
      <x:c r="G200" s="38"/>
      <x:c r="H200" s="75" t="b">
        <x:v>0</x:v>
      </x:c>
      <x:c r="I200" s="38" t="str">
        <x:v>candidate</x:v>
      </x:c>
      <x:c r="J200" s="38" t="str">
        <x:v>Crawfish Étouffée dish</x:v>
      </x:c>
      <x:c r="K200" s="38"/>
    </x:row>
    <x:row r="201">
      <x:c r="A201" s="38" t="str">
        <x:v>saimin</x:v>
      </x:c>
      <x:c r="B201" s="38" t="str">
        <x:v>https://commons.wikimedia.org/w/index.php?search=Saimin&amp;title=Special:MediaSearch&amp;type=image</x:v>
      </x:c>
      <x:c r="C201" s="38"/>
      <x:c r="D201" s="38" t="str">
        <x:v>wikimedia-commons</x:v>
      </x:c>
      <x:c r="E201" s="38"/>
      <x:c r="F201" s="38"/>
      <x:c r="G201" s="38"/>
      <x:c r="H201" s="75" t="b">
        <x:v>0</x:v>
      </x:c>
      <x:c r="I201" s="38" t="str">
        <x:v>candidate</x:v>
      </x:c>
      <x:c r="J201" s="38" t="str">
        <x:v>Saimin dish</x:v>
      </x:c>
      <x:c r="K201" s="38"/>
    </x:row>
    <x:row r="202">
      <x:c r="A202" s="38" t="str">
        <x:v>cincinnati-chili</x:v>
      </x:c>
      <x:c r="B202" s="38" t="str">
        <x:v>https://commons.wikimedia.org/w/index.php?search=Cincinnati+Chili&amp;title=Special:MediaSearch&amp;type=image</x:v>
      </x:c>
      <x:c r="C202" s="38"/>
      <x:c r="D202" s="38" t="str">
        <x:v>wikimedia-commons</x:v>
      </x:c>
      <x:c r="E202" s="38"/>
      <x:c r="F202" s="38"/>
      <x:c r="G202" s="38"/>
      <x:c r="H202" s="75" t="b">
        <x:v>0</x:v>
      </x:c>
      <x:c r="I202" s="38" t="str">
        <x:v>candidate</x:v>
      </x:c>
      <x:c r="J202" s="38" t="str">
        <x:v>Cincinnati Chili dish</x:v>
      </x:c>
      <x:c r="K202" s="38"/>
    </x:row>
    <x:row r="203">
      <x:c r="A203" s="38" t="str">
        <x:v>canadian-split-pea-soup</x:v>
      </x:c>
      <x:c r="B203" s="38" t="str">
        <x:v>https://commons.wikimedia.org/w/index.php?search=Canadian+Split+Pea+Soup&amp;title=Special:MediaSearch&amp;type=image</x:v>
      </x:c>
      <x:c r="C203" s="38"/>
      <x:c r="D203" s="38" t="str">
        <x:v>wikimedia-commons</x:v>
      </x:c>
      <x:c r="E203" s="38"/>
      <x:c r="F203" s="38"/>
      <x:c r="G203" s="38"/>
      <x:c r="H203" s="75" t="b">
        <x:v>0</x:v>
      </x:c>
      <x:c r="I203" s="38" t="str">
        <x:v>candidate</x:v>
      </x:c>
      <x:c r="J203" s="38" t="str">
        <x:v>Canadian Split Pea Soup dish</x:v>
      </x:c>
      <x:c r="K203" s="38"/>
    </x:row>
    <x:row r="204">
      <x:c r="A204" s="38" t="str">
        <x:v>matzo-ball-soup</x:v>
      </x:c>
      <x:c r="B204" s="38" t="str">
        <x:v>https://commons.wikimedia.org/w/index.php?search=Matzo+Ball+Soup&amp;title=Special:MediaSearch&amp;type=image</x:v>
      </x:c>
      <x:c r="C204" s="38"/>
      <x:c r="D204" s="38" t="str">
        <x:v>wikimedia-commons</x:v>
      </x:c>
      <x:c r="E204" s="38"/>
      <x:c r="F204" s="38"/>
      <x:c r="G204" s="38"/>
      <x:c r="H204" s="75" t="b">
        <x:v>0</x:v>
      </x:c>
      <x:c r="I204" s="38" t="str">
        <x:v>candidate</x:v>
      </x:c>
      <x:c r="J204" s="38" t="str">
        <x:v>Matzo Ball Soup dish</x:v>
      </x:c>
      <x:c r="K204" s="38"/>
    </x:row>
    <x:row r="205">
      <x:c r="A205" s="38" t="str">
        <x:v>fresh-lumpia</x:v>
      </x:c>
      <x:c r="B205" s="38" t="str">
        <x:v>https://commons.wikimedia.org/w/index.php?search=Fresh+Lumpia&amp;title=Special:MediaSearch&amp;type=image</x:v>
      </x:c>
      <x:c r="C205" s="38"/>
      <x:c r="D205" s="38" t="str">
        <x:v>wikimedia-commons</x:v>
      </x:c>
      <x:c r="E205" s="38"/>
      <x:c r="F205" s="38"/>
      <x:c r="G205" s="38"/>
      <x:c r="H205" s="75" t="b">
        <x:v>0</x:v>
      </x:c>
      <x:c r="I205" s="38" t="str">
        <x:v>candidate</x:v>
      </x:c>
      <x:c r="J205" s="38" t="str">
        <x:v>Fresh Lumpia dish</x:v>
      </x:c>
      <x:c r="K205" s="38"/>
    </x:row>
    <x:row r="206">
      <x:c r="A206" s="38"/>
      <x:c r="B206" s="38"/>
      <x:c r="C206" s="38"/>
      <x:c r="D206" s="38"/>
      <x:c r="E206" s="38"/>
      <x:c r="F206" s="38"/>
      <x:c r="G206" s="38"/>
      <x:c r="H206" s="38"/>
      <x:c r="I206" s="38"/>
      <x:c r="J206" s="38"/>
      <x:c r="K206" s="38"/>
    </x:row>
    <x:row r="207">
      <x:c r="A207" s="38"/>
      <x:c r="B207" s="38"/>
      <x:c r="C207" s="38"/>
      <x:c r="D207" s="38"/>
      <x:c r="E207" s="38"/>
      <x:c r="F207" s="38"/>
      <x:c r="G207" s="38"/>
      <x:c r="H207" s="38"/>
      <x:c r="I207" s="38"/>
      <x:c r="J207" s="38"/>
      <x:c r="K207" s="38"/>
    </x:row>
    <x:row r="208">
      <x:c r="A208" s="38"/>
      <x:c r="B208" s="38"/>
      <x:c r="C208" s="38"/>
      <x:c r="D208" s="38"/>
      <x:c r="E208" s="38"/>
      <x:c r="F208" s="38"/>
      <x:c r="G208" s="38"/>
      <x:c r="H208" s="38"/>
      <x:c r="I208" s="38"/>
      <x:c r="J208" s="38"/>
      <x:c r="K208" s="38"/>
    </x:row>
    <x:row r="209">
      <x:c r="A209" s="38"/>
      <x:c r="B209" s="38"/>
      <x:c r="C209" s="38"/>
      <x:c r="D209" s="38"/>
      <x:c r="E209" s="38"/>
      <x:c r="F209" s="38"/>
      <x:c r="G209" s="38"/>
      <x:c r="H209" s="38"/>
      <x:c r="I209" s="38"/>
      <x:c r="J209" s="38"/>
      <x:c r="K209" s="38"/>
    </x:row>
    <x:row r="210">
      <x:c r="A210" s="38"/>
      <x:c r="B210" s="38"/>
      <x:c r="C210" s="38"/>
      <x:c r="D210" s="38"/>
      <x:c r="E210" s="38"/>
      <x:c r="F210" s="38"/>
      <x:c r="G210" s="38"/>
      <x:c r="H210" s="38"/>
      <x:c r="I210" s="38"/>
      <x:c r="J210" s="38"/>
      <x:c r="K210" s="38"/>
    </x:row>
    <x:row r="211">
      <x:c r="A211" s="38"/>
      <x:c r="B211" s="38"/>
      <x:c r="C211" s="38"/>
      <x:c r="D211" s="38"/>
      <x:c r="E211" s="38"/>
      <x:c r="F211" s="38"/>
      <x:c r="G211" s="38"/>
      <x:c r="H211" s="38"/>
      <x:c r="I211" s="38"/>
      <x:c r="J211" s="38"/>
      <x:c r="K211" s="38"/>
    </x:row>
    <x:row r="212">
      <x:c r="A212" s="38"/>
      <x:c r="B212" s="38"/>
      <x:c r="C212" s="38"/>
      <x:c r="D212" s="38"/>
      <x:c r="E212" s="38"/>
      <x:c r="F212" s="38"/>
      <x:c r="G212" s="38"/>
      <x:c r="H212" s="38"/>
      <x:c r="I212" s="38"/>
      <x:c r="J212" s="38"/>
      <x:c r="K212" s="38"/>
    </x:row>
    <x:row r="213">
      <x:c r="A213" s="38"/>
      <x:c r="B213" s="38"/>
      <x:c r="C213" s="38"/>
      <x:c r="D213" s="38"/>
      <x:c r="E213" s="38"/>
      <x:c r="F213" s="38"/>
      <x:c r="G213" s="38"/>
      <x:c r="H213" s="38"/>
      <x:c r="I213" s="38"/>
      <x:c r="J213" s="38"/>
      <x:c r="K213" s="38"/>
    </x:row>
    <x:row r="214">
      <x:c r="A214" s="38"/>
      <x:c r="B214" s="38"/>
      <x:c r="C214" s="38"/>
      <x:c r="D214" s="38"/>
      <x:c r="E214" s="38"/>
      <x:c r="F214" s="38"/>
      <x:c r="G214" s="38"/>
      <x:c r="H214" s="38"/>
      <x:c r="I214" s="38"/>
      <x:c r="J214" s="38"/>
      <x:c r="K214" s="38"/>
    </x:row>
    <x:row r="215">
      <x:c r="A215" s="38"/>
      <x:c r="B215" s="38"/>
      <x:c r="C215" s="38"/>
      <x:c r="D215" s="38"/>
      <x:c r="E215" s="38"/>
      <x:c r="F215" s="38"/>
      <x:c r="G215" s="38"/>
      <x:c r="H215" s="38"/>
      <x:c r="I215" s="38"/>
      <x:c r="J215" s="38"/>
      <x:c r="K215" s="38"/>
    </x:row>
    <x:row r="216">
      <x:c r="A216" s="38"/>
      <x:c r="B216" s="38"/>
      <x:c r="C216" s="38"/>
      <x:c r="D216" s="38"/>
      <x:c r="E216" s="38"/>
      <x:c r="F216" s="38"/>
      <x:c r="G216" s="38"/>
      <x:c r="H216" s="38"/>
      <x:c r="I216" s="38"/>
      <x:c r="J216" s="38"/>
      <x:c r="K216" s="38"/>
    </x:row>
    <x:row r="217">
      <x:c r="A217" s="38"/>
      <x:c r="B217" s="38"/>
      <x:c r="C217" s="38"/>
      <x:c r="D217" s="38"/>
      <x:c r="E217" s="38"/>
      <x:c r="F217" s="38"/>
      <x:c r="G217" s="38"/>
      <x:c r="H217" s="38"/>
      <x:c r="I217" s="38"/>
      <x:c r="J217" s="38"/>
      <x:c r="K217" s="38"/>
    </x:row>
    <x:row r="218">
      <x:c r="A218" s="38"/>
      <x:c r="B218" s="38"/>
      <x:c r="C218" s="38"/>
      <x:c r="D218" s="38"/>
      <x:c r="E218" s="38"/>
      <x:c r="F218" s="38"/>
      <x:c r="G218" s="38"/>
      <x:c r="H218" s="38"/>
      <x:c r="I218" s="38"/>
      <x:c r="J218" s="38"/>
      <x:c r="K218" s="38"/>
    </x:row>
    <x:row r="219">
      <x:c r="A219" s="38"/>
      <x:c r="B219" s="38"/>
      <x:c r="C219" s="38"/>
      <x:c r="D219" s="38"/>
      <x:c r="E219" s="38"/>
      <x:c r="F219" s="38"/>
      <x:c r="G219" s="38"/>
      <x:c r="H219" s="38"/>
      <x:c r="I219" s="38"/>
      <x:c r="J219" s="38"/>
      <x:c r="K219" s="38"/>
    </x:row>
    <x:row r="220">
      <x:c r="A220" s="38"/>
      <x:c r="B220" s="38"/>
      <x:c r="C220" s="38"/>
      <x:c r="D220" s="38"/>
      <x:c r="E220" s="38"/>
      <x:c r="F220" s="38"/>
      <x:c r="G220" s="38"/>
      <x:c r="H220" s="38"/>
      <x:c r="I220" s="38"/>
      <x:c r="J220" s="38"/>
      <x:c r="K220" s="38"/>
    </x:row>
    <x:row r="221">
      <x:c r="A221" s="38"/>
      <x:c r="B221" s="38"/>
      <x:c r="C221" s="38"/>
      <x:c r="D221" s="38"/>
      <x:c r="E221" s="38"/>
      <x:c r="F221" s="38"/>
      <x:c r="G221" s="38"/>
      <x:c r="H221" s="38"/>
      <x:c r="I221" s="38"/>
      <x:c r="J221" s="38"/>
      <x:c r="K221" s="38"/>
    </x:row>
    <x:row r="222">
      <x:c r="A222" s="38"/>
      <x:c r="B222" s="38"/>
      <x:c r="C222" s="38"/>
      <x:c r="D222" s="38"/>
      <x:c r="E222" s="38"/>
      <x:c r="F222" s="38"/>
      <x:c r="G222" s="38"/>
      <x:c r="H222" s="38"/>
      <x:c r="I222" s="38"/>
      <x:c r="J222" s="38"/>
      <x:c r="K222" s="38"/>
    </x:row>
    <x:row r="223">
      <x:c r="A223" s="38"/>
      <x:c r="B223" s="38"/>
      <x:c r="C223" s="38"/>
      <x:c r="D223" s="38"/>
      <x:c r="E223" s="38"/>
      <x:c r="F223" s="38"/>
      <x:c r="G223" s="38"/>
      <x:c r="H223" s="38"/>
      <x:c r="I223" s="38"/>
      <x:c r="J223" s="38"/>
      <x:c r="K223" s="38"/>
    </x:row>
    <x:row r="224">
      <x:c r="A224" s="38"/>
      <x:c r="B224" s="38"/>
      <x:c r="C224" s="38"/>
      <x:c r="D224" s="38"/>
      <x:c r="E224" s="38"/>
      <x:c r="F224" s="38"/>
      <x:c r="G224" s="38"/>
      <x:c r="H224" s="38"/>
      <x:c r="I224" s="38"/>
      <x:c r="J224" s="38"/>
      <x:c r="K224" s="38"/>
    </x:row>
    <x:row r="225">
      <x:c r="A225" s="38"/>
      <x:c r="B225" s="38"/>
      <x:c r="C225" s="38"/>
      <x:c r="D225" s="38"/>
      <x:c r="E225" s="38"/>
      <x:c r="F225" s="38"/>
      <x:c r="G225" s="38"/>
      <x:c r="H225" s="38"/>
      <x:c r="I225" s="38"/>
      <x:c r="J225" s="38"/>
      <x:c r="K225" s="38"/>
    </x:row>
    <x:row r="226">
      <x:c r="A226" s="38"/>
      <x:c r="B226" s="38"/>
      <x:c r="C226" s="38"/>
      <x:c r="D226" s="38"/>
      <x:c r="E226" s="38"/>
      <x:c r="F226" s="38"/>
      <x:c r="G226" s="38"/>
      <x:c r="H226" s="38"/>
      <x:c r="I226" s="38"/>
      <x:c r="J226" s="38"/>
      <x:c r="K226" s="38"/>
    </x:row>
    <x:row r="227">
      <x:c r="A227" s="38"/>
      <x:c r="B227" s="38"/>
      <x:c r="C227" s="38"/>
      <x:c r="D227" s="38"/>
      <x:c r="E227" s="38"/>
      <x:c r="F227" s="38"/>
      <x:c r="G227" s="38"/>
      <x:c r="H227" s="38"/>
      <x:c r="I227" s="38"/>
      <x:c r="J227" s="38"/>
      <x:c r="K227" s="38"/>
    </x:row>
    <x:row r="228">
      <x:c r="A228" s="38"/>
      <x:c r="B228" s="38"/>
      <x:c r="C228" s="38"/>
      <x:c r="D228" s="38"/>
      <x:c r="E228" s="38"/>
      <x:c r="F228" s="38"/>
      <x:c r="G228" s="38"/>
      <x:c r="H228" s="38"/>
      <x:c r="I228" s="38"/>
      <x:c r="J228" s="38"/>
      <x:c r="K228" s="38"/>
    </x:row>
    <x:row r="229">
      <x:c r="A229" s="38"/>
      <x:c r="B229" s="38"/>
      <x:c r="C229" s="38"/>
      <x:c r="D229" s="38"/>
      <x:c r="E229" s="38"/>
      <x:c r="F229" s="38"/>
      <x:c r="G229" s="38"/>
      <x:c r="H229" s="38"/>
      <x:c r="I229" s="38"/>
      <x:c r="J229" s="38"/>
      <x:c r="K229" s="38"/>
    </x:row>
    <x:row r="230">
      <x:c r="A230" s="38"/>
      <x:c r="B230" s="38"/>
      <x:c r="C230" s="38"/>
      <x:c r="D230" s="38"/>
      <x:c r="E230" s="38"/>
      <x:c r="F230" s="38"/>
      <x:c r="G230" s="38"/>
      <x:c r="H230" s="38"/>
      <x:c r="I230" s="38"/>
      <x:c r="J230" s="38"/>
      <x:c r="K230" s="38"/>
    </x:row>
    <x:row r="231">
      <x:c r="A231" s="38"/>
      <x:c r="B231" s="38"/>
      <x:c r="C231" s="38"/>
      <x:c r="D231" s="38"/>
      <x:c r="E231" s="38"/>
      <x:c r="F231" s="38"/>
      <x:c r="G231" s="38"/>
      <x:c r="H231" s="38"/>
      <x:c r="I231" s="38"/>
      <x:c r="J231" s="38"/>
      <x:c r="K231" s="38"/>
    </x:row>
    <x:row r="232">
      <x:c r="A232" s="38"/>
      <x:c r="B232" s="38"/>
      <x:c r="C232" s="38"/>
      <x:c r="D232" s="38"/>
      <x:c r="E232" s="38"/>
      <x:c r="F232" s="38"/>
      <x:c r="G232" s="38"/>
      <x:c r="H232" s="38"/>
      <x:c r="I232" s="38"/>
      <x:c r="J232" s="38"/>
      <x:c r="K232" s="38"/>
    </x:row>
    <x:row r="233">
      <x:c r="A233" s="38"/>
      <x:c r="B233" s="38"/>
      <x:c r="C233" s="38"/>
      <x:c r="D233" s="38"/>
      <x:c r="E233" s="38"/>
      <x:c r="F233" s="38"/>
      <x:c r="G233" s="38"/>
      <x:c r="H233" s="38"/>
      <x:c r="I233" s="38"/>
      <x:c r="J233" s="38"/>
      <x:c r="K233" s="38"/>
    </x:row>
    <x:row r="234">
      <x:c r="A234" s="38"/>
      <x:c r="B234" s="38"/>
      <x:c r="C234" s="38"/>
      <x:c r="D234" s="38"/>
      <x:c r="E234" s="38"/>
      <x:c r="F234" s="38"/>
      <x:c r="G234" s="38"/>
      <x:c r="H234" s="38"/>
      <x:c r="I234" s="38"/>
      <x:c r="J234" s="38"/>
      <x:c r="K234" s="38"/>
    </x:row>
    <x:row r="235">
      <x:c r="A235" s="38"/>
      <x:c r="B235" s="38"/>
      <x:c r="C235" s="38"/>
      <x:c r="D235" s="38"/>
      <x:c r="E235" s="38"/>
      <x:c r="F235" s="38"/>
      <x:c r="G235" s="38"/>
      <x:c r="H235" s="38"/>
      <x:c r="I235" s="38"/>
      <x:c r="J235" s="38"/>
      <x:c r="K235" s="38"/>
    </x:row>
    <x:row r="236">
      <x:c r="A236" s="38"/>
      <x:c r="B236" s="38"/>
      <x:c r="C236" s="38"/>
      <x:c r="D236" s="38"/>
      <x:c r="E236" s="38"/>
      <x:c r="F236" s="38"/>
      <x:c r="G236" s="38"/>
      <x:c r="H236" s="38"/>
      <x:c r="I236" s="38"/>
      <x:c r="J236" s="38"/>
      <x:c r="K236" s="38"/>
    </x:row>
    <x:row r="237">
      <x:c r="A237" s="38"/>
      <x:c r="B237" s="38"/>
      <x:c r="C237" s="38"/>
      <x:c r="D237" s="38"/>
      <x:c r="E237" s="38"/>
      <x:c r="F237" s="38"/>
      <x:c r="G237" s="38"/>
      <x:c r="H237" s="38"/>
      <x:c r="I237" s="38"/>
      <x:c r="J237" s="38"/>
      <x:c r="K237" s="38"/>
    </x:row>
    <x:row r="238">
      <x:c r="A238" s="38"/>
      <x:c r="B238" s="38"/>
      <x:c r="C238" s="38"/>
      <x:c r="D238" s="38"/>
      <x:c r="E238" s="38"/>
      <x:c r="F238" s="38"/>
      <x:c r="G238" s="38"/>
      <x:c r="H238" s="38"/>
      <x:c r="I238" s="38"/>
      <x:c r="J238" s="38"/>
      <x:c r="K238" s="38"/>
    </x:row>
    <x:row r="239">
      <x:c r="A239" s="38"/>
      <x:c r="B239" s="38"/>
      <x:c r="C239" s="38"/>
      <x:c r="D239" s="38"/>
      <x:c r="E239" s="38"/>
      <x:c r="F239" s="38"/>
      <x:c r="G239" s="38"/>
      <x:c r="H239" s="38"/>
      <x:c r="I239" s="38"/>
      <x:c r="J239" s="38"/>
      <x:c r="K239" s="38"/>
    </x:row>
    <x:row r="240">
      <x:c r="A240" s="38"/>
      <x:c r="B240" s="38"/>
      <x:c r="C240" s="38"/>
      <x:c r="D240" s="38"/>
      <x:c r="E240" s="38"/>
      <x:c r="F240" s="38"/>
      <x:c r="G240" s="38"/>
      <x:c r="H240" s="38"/>
      <x:c r="I240" s="38"/>
      <x:c r="J240" s="38"/>
      <x:c r="K240" s="38"/>
    </x:row>
    <x:row r="241">
      <x:c r="A241" s="38"/>
      <x:c r="B241" s="38"/>
      <x:c r="C241" s="38"/>
      <x:c r="D241" s="38"/>
      <x:c r="E241" s="38"/>
      <x:c r="F241" s="38"/>
      <x:c r="G241" s="38"/>
      <x:c r="H241" s="38"/>
      <x:c r="I241" s="38"/>
      <x:c r="J241" s="38"/>
      <x:c r="K241" s="38"/>
    </x:row>
    <x:row r="242">
      <x:c r="A242" s="38"/>
      <x:c r="B242" s="38"/>
      <x:c r="C242" s="38"/>
      <x:c r="D242" s="38"/>
      <x:c r="E242" s="38"/>
      <x:c r="F242" s="38"/>
      <x:c r="G242" s="38"/>
      <x:c r="H242" s="38"/>
      <x:c r="I242" s="38"/>
      <x:c r="J242" s="38"/>
      <x:c r="K242" s="38"/>
    </x:row>
    <x:row r="243">
      <x:c r="A243" s="38"/>
      <x:c r="B243" s="38"/>
      <x:c r="C243" s="38"/>
      <x:c r="D243" s="38"/>
      <x:c r="E243" s="38"/>
      <x:c r="F243" s="38"/>
      <x:c r="G243" s="38"/>
      <x:c r="H243" s="38"/>
      <x:c r="I243" s="38"/>
      <x:c r="J243" s="38"/>
      <x:c r="K243" s="38"/>
    </x:row>
    <x:row r="244">
      <x:c r="A244" s="38"/>
      <x:c r="B244" s="38"/>
      <x:c r="C244" s="38"/>
      <x:c r="D244" s="38"/>
      <x:c r="E244" s="38"/>
      <x:c r="F244" s="38"/>
      <x:c r="G244" s="38"/>
      <x:c r="H244" s="38"/>
      <x:c r="I244" s="38"/>
      <x:c r="J244" s="38"/>
      <x:c r="K244" s="38"/>
    </x:row>
    <x:row r="245">
      <x:c r="A245" s="38"/>
      <x:c r="B245" s="38"/>
      <x:c r="C245" s="38"/>
      <x:c r="D245" s="38"/>
      <x:c r="E245" s="38"/>
      <x:c r="F245" s="38"/>
      <x:c r="G245" s="38"/>
      <x:c r="H245" s="38"/>
      <x:c r="I245" s="38"/>
      <x:c r="J245" s="38"/>
      <x:c r="K245" s="38"/>
    </x:row>
    <x:row r="246">
      <x:c r="A246" s="38"/>
      <x:c r="B246" s="38"/>
      <x:c r="C246" s="38"/>
      <x:c r="D246" s="38"/>
      <x:c r="E246" s="38"/>
      <x:c r="F246" s="38"/>
      <x:c r="G246" s="38"/>
      <x:c r="H246" s="38"/>
      <x:c r="I246" s="38"/>
      <x:c r="J246" s="38"/>
      <x:c r="K246" s="38"/>
    </x:row>
    <x:row r="247">
      <x:c r="A247" s="38"/>
      <x:c r="B247" s="38"/>
      <x:c r="C247" s="38"/>
      <x:c r="D247" s="38"/>
      <x:c r="E247" s="38"/>
      <x:c r="F247" s="38"/>
      <x:c r="G247" s="38"/>
      <x:c r="H247" s="38"/>
      <x:c r="I247" s="38"/>
      <x:c r="J247" s="38"/>
      <x:c r="K247" s="38"/>
    </x:row>
    <x:row r="248">
      <x:c r="A248" s="38"/>
      <x:c r="B248" s="38"/>
      <x:c r="C248" s="38"/>
      <x:c r="D248" s="38"/>
      <x:c r="E248" s="38"/>
      <x:c r="F248" s="38"/>
      <x:c r="G248" s="38"/>
      <x:c r="H248" s="38"/>
      <x:c r="I248" s="38"/>
      <x:c r="J248" s="38"/>
      <x:c r="K248" s="38"/>
    </x:row>
    <x:row r="249">
      <x:c r="A249" s="38"/>
      <x:c r="B249" s="38"/>
      <x:c r="C249" s="38"/>
      <x:c r="D249" s="38"/>
      <x:c r="E249" s="38"/>
      <x:c r="F249" s="38"/>
      <x:c r="G249" s="38"/>
      <x:c r="H249" s="38"/>
      <x:c r="I249" s="38"/>
      <x:c r="J249" s="38"/>
      <x:c r="K249" s="38"/>
    </x:row>
    <x:row r="250">
      <x:c r="A250" s="38"/>
      <x:c r="B250" s="38"/>
      <x:c r="C250" s="38"/>
      <x:c r="D250" s="38"/>
      <x:c r="E250" s="38"/>
      <x:c r="F250" s="38"/>
      <x:c r="G250" s="38"/>
      <x:c r="H250" s="38"/>
      <x:c r="I250" s="38"/>
      <x:c r="J250" s="38"/>
      <x:c r="K250" s="38"/>
    </x:row>
    <x:row r="251">
      <x:c r="A251" s="38"/>
      <x:c r="B251" s="38"/>
      <x:c r="C251" s="38"/>
      <x:c r="D251" s="38"/>
      <x:c r="E251" s="38"/>
      <x:c r="F251" s="38"/>
      <x:c r="G251" s="38"/>
      <x:c r="H251" s="38"/>
      <x:c r="I251" s="38"/>
      <x:c r="J251" s="38"/>
      <x:c r="K251" s="38"/>
    </x:row>
    <x:row r="252">
      <x:c r="A252" s="38"/>
      <x:c r="B252" s="38"/>
      <x:c r="C252" s="38"/>
      <x:c r="D252" s="38"/>
      <x:c r="E252" s="38"/>
      <x:c r="F252" s="38"/>
      <x:c r="G252" s="38"/>
      <x:c r="H252" s="38"/>
      <x:c r="I252" s="38"/>
      <x:c r="J252" s="38"/>
      <x:c r="K252" s="38"/>
    </x:row>
    <x:row r="253">
      <x:c r="A253" s="38"/>
      <x:c r="B253" s="38"/>
      <x:c r="C253" s="38"/>
      <x:c r="D253" s="38"/>
      <x:c r="E253" s="38"/>
      <x:c r="F253" s="38"/>
      <x:c r="G253" s="38"/>
      <x:c r="H253" s="38"/>
      <x:c r="I253" s="38"/>
      <x:c r="J253" s="38"/>
      <x:c r="K253" s="38"/>
    </x:row>
    <x:row r="254">
      <x:c r="A254" s="38"/>
      <x:c r="B254" s="38"/>
      <x:c r="C254" s="38"/>
      <x:c r="D254" s="38"/>
      <x:c r="E254" s="38"/>
      <x:c r="F254" s="38"/>
      <x:c r="G254" s="38"/>
      <x:c r="H254" s="38"/>
      <x:c r="I254" s="38"/>
      <x:c r="J254" s="38"/>
      <x:c r="K254" s="38"/>
    </x:row>
    <x:row r="255">
      <x:c r="A255" s="38"/>
      <x:c r="B255" s="38"/>
      <x:c r="C255" s="38"/>
      <x:c r="D255" s="38"/>
      <x:c r="E255" s="38"/>
      <x:c r="F255" s="38"/>
      <x:c r="G255" s="38"/>
      <x:c r="H255" s="38"/>
      <x:c r="I255" s="38"/>
      <x:c r="J255" s="38"/>
      <x:c r="K255" s="38"/>
    </x:row>
    <x:row r="256">
      <x:c r="A256" s="38"/>
      <x:c r="B256" s="38"/>
      <x:c r="C256" s="38"/>
      <x:c r="D256" s="38"/>
      <x:c r="E256" s="38"/>
      <x:c r="F256" s="38"/>
      <x:c r="G256" s="38"/>
      <x:c r="H256" s="38"/>
      <x:c r="I256" s="38"/>
      <x:c r="J256" s="38"/>
      <x:c r="K256" s="38"/>
    </x:row>
    <x:row r="257">
      <x:c r="A257" s="38"/>
      <x:c r="B257" s="38"/>
      <x:c r="C257" s="38"/>
      <x:c r="D257" s="38"/>
      <x:c r="E257" s="38"/>
      <x:c r="F257" s="38"/>
      <x:c r="G257" s="38"/>
      <x:c r="H257" s="38"/>
      <x:c r="I257" s="38"/>
      <x:c r="J257" s="38"/>
      <x:c r="K257" s="38"/>
    </x:row>
    <x:row r="258">
      <x:c r="A258" s="38"/>
      <x:c r="B258" s="38"/>
      <x:c r="C258" s="38"/>
      <x:c r="D258" s="38"/>
      <x:c r="E258" s="38"/>
      <x:c r="F258" s="38"/>
      <x:c r="G258" s="38"/>
      <x:c r="H258" s="38"/>
      <x:c r="I258" s="38"/>
      <x:c r="J258" s="38"/>
      <x:c r="K258" s="38"/>
    </x:row>
    <x:row r="259">
      <x:c r="A259" s="38"/>
      <x:c r="B259" s="38"/>
      <x:c r="C259" s="38"/>
      <x:c r="D259" s="38"/>
      <x:c r="E259" s="38"/>
      <x:c r="F259" s="38"/>
      <x:c r="G259" s="38"/>
      <x:c r="H259" s="38"/>
      <x:c r="I259" s="38"/>
      <x:c r="J259" s="38"/>
      <x:c r="K259" s="38"/>
    </x:row>
    <x:row r="260">
      <x:c r="A260" s="38"/>
      <x:c r="B260" s="38"/>
      <x:c r="C260" s="38"/>
      <x:c r="D260" s="38"/>
      <x:c r="E260" s="38"/>
      <x:c r="F260" s="38"/>
      <x:c r="G260" s="38"/>
      <x:c r="H260" s="38"/>
      <x:c r="I260" s="38"/>
      <x:c r="J260" s="38"/>
      <x:c r="K260" s="38"/>
    </x:row>
    <x:row r="261">
      <x:c r="A261" s="38"/>
      <x:c r="B261" s="38"/>
      <x:c r="C261" s="38"/>
      <x:c r="D261" s="38"/>
      <x:c r="E261" s="38"/>
      <x:c r="F261" s="38"/>
      <x:c r="G261" s="38"/>
      <x:c r="H261" s="38"/>
      <x:c r="I261" s="38"/>
      <x:c r="J261" s="38"/>
      <x:c r="K261" s="38"/>
    </x:row>
    <x:row r="262">
      <x:c r="A262" s="38"/>
      <x:c r="B262" s="38"/>
      <x:c r="C262" s="38"/>
      <x:c r="D262" s="38"/>
      <x:c r="E262" s="38"/>
      <x:c r="F262" s="38"/>
      <x:c r="G262" s="38"/>
      <x:c r="H262" s="38"/>
      <x:c r="I262" s="38"/>
      <x:c r="J262" s="38"/>
      <x:c r="K262" s="38"/>
    </x:row>
    <x:row r="263">
      <x:c r="A263" s="38"/>
      <x:c r="B263" s="38"/>
      <x:c r="C263" s="38"/>
      <x:c r="D263" s="38"/>
      <x:c r="E263" s="38"/>
      <x:c r="F263" s="38"/>
      <x:c r="G263" s="38"/>
      <x:c r="H263" s="38"/>
      <x:c r="I263" s="38"/>
      <x:c r="J263" s="38"/>
      <x:c r="K263" s="38"/>
    </x:row>
    <x:row r="264">
      <x:c r="A264" s="38"/>
      <x:c r="B264" s="38"/>
      <x:c r="C264" s="38"/>
      <x:c r="D264" s="38"/>
      <x:c r="E264" s="38"/>
      <x:c r="F264" s="38"/>
      <x:c r="G264" s="38"/>
      <x:c r="H264" s="38"/>
      <x:c r="I264" s="38"/>
      <x:c r="J264" s="38"/>
      <x:c r="K264" s="38"/>
    </x:row>
    <x:row r="265">
      <x:c r="A265" s="38"/>
      <x:c r="B265" s="38"/>
      <x:c r="C265" s="38"/>
      <x:c r="D265" s="38"/>
      <x:c r="E265" s="38"/>
      <x:c r="F265" s="38"/>
      <x:c r="G265" s="38"/>
      <x:c r="H265" s="38"/>
      <x:c r="I265" s="38"/>
      <x:c r="J265" s="38"/>
      <x:c r="K265" s="38"/>
    </x:row>
    <x:row r="266">
      <x:c r="A266" s="38"/>
      <x:c r="B266" s="38"/>
      <x:c r="C266" s="38"/>
      <x:c r="D266" s="38"/>
      <x:c r="E266" s="38"/>
      <x:c r="F266" s="38"/>
      <x:c r="G266" s="38"/>
      <x:c r="H266" s="38"/>
      <x:c r="I266" s="38"/>
      <x:c r="J266" s="38"/>
      <x:c r="K266" s="38"/>
    </x:row>
    <x:row r="267">
      <x:c r="A267" s="38"/>
      <x:c r="B267" s="38"/>
      <x:c r="C267" s="38"/>
      <x:c r="D267" s="38"/>
      <x:c r="E267" s="38"/>
      <x:c r="F267" s="38"/>
      <x:c r="G267" s="38"/>
      <x:c r="H267" s="38"/>
      <x:c r="I267" s="38"/>
      <x:c r="J267" s="38"/>
      <x:c r="K267" s="38"/>
    </x:row>
    <x:row r="268">
      <x:c r="A268" s="38"/>
      <x:c r="B268" s="38"/>
      <x:c r="C268" s="38"/>
      <x:c r="D268" s="38"/>
      <x:c r="E268" s="38"/>
      <x:c r="F268" s="38"/>
      <x:c r="G268" s="38"/>
      <x:c r="H268" s="38"/>
      <x:c r="I268" s="38"/>
      <x:c r="J268" s="38"/>
      <x:c r="K268" s="38"/>
    </x:row>
    <x:row r="269">
      <x:c r="A269" s="38"/>
      <x:c r="B269" s="38"/>
      <x:c r="C269" s="38"/>
      <x:c r="D269" s="38"/>
      <x:c r="E269" s="38"/>
      <x:c r="F269" s="38"/>
      <x:c r="G269" s="38"/>
      <x:c r="H269" s="38"/>
      <x:c r="I269" s="38"/>
      <x:c r="J269" s="38"/>
      <x:c r="K269" s="38"/>
    </x:row>
    <x:row r="270">
      <x:c r="A270" s="38"/>
      <x:c r="B270" s="38"/>
      <x:c r="C270" s="38"/>
      <x:c r="D270" s="38"/>
      <x:c r="E270" s="38"/>
      <x:c r="F270" s="38"/>
      <x:c r="G270" s="38"/>
      <x:c r="H270" s="38"/>
      <x:c r="I270" s="38"/>
      <x:c r="J270" s="38"/>
      <x:c r="K270" s="38"/>
    </x:row>
    <x:row r="271">
      <x:c r="A271" s="38"/>
      <x:c r="B271" s="38"/>
      <x:c r="C271" s="38"/>
      <x:c r="D271" s="38"/>
      <x:c r="E271" s="38"/>
      <x:c r="F271" s="38"/>
      <x:c r="G271" s="38"/>
      <x:c r="H271" s="38"/>
      <x:c r="I271" s="38"/>
      <x:c r="J271" s="38"/>
      <x:c r="K271" s="38"/>
    </x:row>
    <x:row r="272">
      <x:c r="A272" s="38"/>
      <x:c r="B272" s="38"/>
      <x:c r="C272" s="38"/>
      <x:c r="D272" s="38"/>
      <x:c r="E272" s="38"/>
      <x:c r="F272" s="38"/>
      <x:c r="G272" s="38"/>
      <x:c r="H272" s="38"/>
      <x:c r="I272" s="38"/>
      <x:c r="J272" s="38"/>
      <x:c r="K272" s="38"/>
    </x:row>
    <x:row r="273">
      <x:c r="A273" s="38"/>
      <x:c r="B273" s="38"/>
      <x:c r="C273" s="38"/>
      <x:c r="D273" s="38"/>
      <x:c r="E273" s="38"/>
      <x:c r="F273" s="38"/>
      <x:c r="G273" s="38"/>
      <x:c r="H273" s="38"/>
      <x:c r="I273" s="38"/>
      <x:c r="J273" s="38"/>
      <x:c r="K273" s="38"/>
    </x:row>
    <x:row r="274">
      <x:c r="A274" s="38"/>
      <x:c r="B274" s="38"/>
      <x:c r="C274" s="38"/>
      <x:c r="D274" s="38"/>
      <x:c r="E274" s="38"/>
      <x:c r="F274" s="38"/>
      <x:c r="G274" s="38"/>
      <x:c r="H274" s="38"/>
      <x:c r="I274" s="38"/>
      <x:c r="J274" s="38"/>
      <x:c r="K274" s="38"/>
    </x:row>
    <x:row r="275">
      <x:c r="A275" s="38"/>
      <x:c r="B275" s="38"/>
      <x:c r="C275" s="38"/>
      <x:c r="D275" s="38"/>
      <x:c r="E275" s="38"/>
      <x:c r="F275" s="38"/>
      <x:c r="G275" s="38"/>
      <x:c r="H275" s="38"/>
      <x:c r="I275" s="38"/>
      <x:c r="J275" s="38"/>
      <x:c r="K275" s="38"/>
    </x:row>
    <x:row r="276">
      <x:c r="A276" s="38"/>
      <x:c r="B276" s="38"/>
      <x:c r="C276" s="38"/>
      <x:c r="D276" s="38"/>
      <x:c r="E276" s="38"/>
      <x:c r="F276" s="38"/>
      <x:c r="G276" s="38"/>
      <x:c r="H276" s="38"/>
      <x:c r="I276" s="38"/>
      <x:c r="J276" s="38"/>
      <x:c r="K276" s="38"/>
    </x:row>
    <x:row r="277">
      <x:c r="A277" s="38"/>
      <x:c r="B277" s="38"/>
      <x:c r="C277" s="38"/>
      <x:c r="D277" s="38"/>
      <x:c r="E277" s="38"/>
      <x:c r="F277" s="38"/>
      <x:c r="G277" s="38"/>
      <x:c r="H277" s="38"/>
      <x:c r="I277" s="38"/>
      <x:c r="J277" s="38"/>
      <x:c r="K277" s="38"/>
    </x:row>
    <x:row r="278">
      <x:c r="A278" s="38"/>
      <x:c r="B278" s="38"/>
      <x:c r="C278" s="38"/>
      <x:c r="D278" s="38"/>
      <x:c r="E278" s="38"/>
      <x:c r="F278" s="38"/>
      <x:c r="G278" s="38"/>
      <x:c r="H278" s="38"/>
      <x:c r="I278" s="38"/>
      <x:c r="J278" s="38"/>
      <x:c r="K278" s="38"/>
    </x:row>
    <x:row r="279">
      <x:c r="A279" s="38"/>
      <x:c r="B279" s="38"/>
      <x:c r="C279" s="38"/>
      <x:c r="D279" s="38"/>
      <x:c r="E279" s="38"/>
      <x:c r="F279" s="38"/>
      <x:c r="G279" s="38"/>
      <x:c r="H279" s="38"/>
      <x:c r="I279" s="38"/>
      <x:c r="J279" s="38"/>
      <x:c r="K279" s="38"/>
    </x:row>
    <x:row r="280">
      <x:c r="A280" s="38"/>
      <x:c r="B280" s="38"/>
      <x:c r="C280" s="38"/>
      <x:c r="D280" s="38"/>
      <x:c r="E280" s="38"/>
      <x:c r="F280" s="38"/>
      <x:c r="G280" s="38"/>
      <x:c r="H280" s="38"/>
      <x:c r="I280" s="38"/>
      <x:c r="J280" s="38"/>
      <x:c r="K280" s="38"/>
    </x:row>
    <x:row r="281">
      <x:c r="A281" s="38"/>
      <x:c r="B281" s="38"/>
      <x:c r="C281" s="38"/>
      <x:c r="D281" s="38"/>
      <x:c r="E281" s="38"/>
      <x:c r="F281" s="38"/>
      <x:c r="G281" s="38"/>
      <x:c r="H281" s="38"/>
      <x:c r="I281" s="38"/>
      <x:c r="J281" s="38"/>
      <x:c r="K281" s="38"/>
    </x:row>
    <x:row r="282">
      <x:c r="A282" s="38"/>
      <x:c r="B282" s="38"/>
      <x:c r="C282" s="38"/>
      <x:c r="D282" s="38"/>
      <x:c r="E282" s="38"/>
      <x:c r="F282" s="38"/>
      <x:c r="G282" s="38"/>
      <x:c r="H282" s="38"/>
      <x:c r="I282" s="38"/>
      <x:c r="J282" s="38"/>
      <x:c r="K282" s="38"/>
    </x:row>
    <x:row r="283">
      <x:c r="A283" s="38"/>
      <x:c r="B283" s="38"/>
      <x:c r="C283" s="38"/>
      <x:c r="D283" s="38"/>
      <x:c r="E283" s="38"/>
      <x:c r="F283" s="38"/>
      <x:c r="G283" s="38"/>
      <x:c r="H283" s="38"/>
      <x:c r="I283" s="38"/>
      <x:c r="J283" s="38"/>
      <x:c r="K283" s="38"/>
    </x:row>
    <x:row r="284">
      <x:c r="A284" s="38"/>
      <x:c r="B284" s="38"/>
      <x:c r="C284" s="38"/>
      <x:c r="D284" s="38"/>
      <x:c r="E284" s="38"/>
      <x:c r="F284" s="38"/>
      <x:c r="G284" s="38"/>
      <x:c r="H284" s="38"/>
      <x:c r="I284" s="38"/>
      <x:c r="J284" s="38"/>
      <x:c r="K284" s="38"/>
    </x:row>
    <x:row r="285">
      <x:c r="A285" s="38"/>
      <x:c r="B285" s="38"/>
      <x:c r="C285" s="38"/>
      <x:c r="D285" s="38"/>
      <x:c r="E285" s="38"/>
      <x:c r="F285" s="38"/>
      <x:c r="G285" s="38"/>
      <x:c r="H285" s="38"/>
      <x:c r="I285" s="38"/>
      <x:c r="J285" s="38"/>
      <x:c r="K285" s="38"/>
    </x:row>
    <x:row r="286">
      <x:c r="A286" s="38"/>
      <x:c r="B286" s="38"/>
      <x:c r="C286" s="38"/>
      <x:c r="D286" s="38"/>
      <x:c r="E286" s="38"/>
      <x:c r="F286" s="38"/>
      <x:c r="G286" s="38"/>
      <x:c r="H286" s="38"/>
      <x:c r="I286" s="38"/>
      <x:c r="J286" s="38"/>
      <x:c r="K286" s="38"/>
    </x:row>
    <x:row r="287">
      <x:c r="A287" s="38"/>
      <x:c r="B287" s="38"/>
      <x:c r="C287" s="38"/>
      <x:c r="D287" s="38"/>
      <x:c r="E287" s="38"/>
      <x:c r="F287" s="38"/>
      <x:c r="G287" s="38"/>
      <x:c r="H287" s="38"/>
      <x:c r="I287" s="38"/>
      <x:c r="J287" s="38"/>
      <x:c r="K287" s="38"/>
    </x:row>
    <x:row r="288">
      <x:c r="A288" s="38"/>
      <x:c r="B288" s="38"/>
      <x:c r="C288" s="38"/>
      <x:c r="D288" s="38"/>
      <x:c r="E288" s="38"/>
      <x:c r="F288" s="38"/>
      <x:c r="G288" s="38"/>
      <x:c r="H288" s="38"/>
      <x:c r="I288" s="38"/>
      <x:c r="J288" s="38"/>
      <x:c r="K288" s="38"/>
    </x:row>
    <x:row r="289">
      <x:c r="A289" s="38"/>
      <x:c r="B289" s="38"/>
      <x:c r="C289" s="38"/>
      <x:c r="D289" s="38"/>
      <x:c r="E289" s="38"/>
      <x:c r="F289" s="38"/>
      <x:c r="G289" s="38"/>
      <x:c r="H289" s="38"/>
      <x:c r="I289" s="38"/>
      <x:c r="J289" s="38"/>
      <x:c r="K289" s="38"/>
    </x:row>
    <x:row r="290">
      <x:c r="A290" s="38"/>
      <x:c r="B290" s="38"/>
      <x:c r="C290" s="38"/>
      <x:c r="D290" s="38"/>
      <x:c r="E290" s="38"/>
      <x:c r="F290" s="38"/>
      <x:c r="G290" s="38"/>
      <x:c r="H290" s="38"/>
      <x:c r="I290" s="38"/>
      <x:c r="J290" s="38"/>
      <x:c r="K290" s="38"/>
    </x:row>
    <x:row r="291">
      <x:c r="A291" s="38"/>
      <x:c r="B291" s="38"/>
      <x:c r="C291" s="38"/>
      <x:c r="D291" s="38"/>
      <x:c r="E291" s="38"/>
      <x:c r="F291" s="38"/>
      <x:c r="G291" s="38"/>
      <x:c r="H291" s="38"/>
      <x:c r="I291" s="38"/>
      <x:c r="J291" s="38"/>
      <x:c r="K291" s="38"/>
    </x:row>
    <x:row r="292">
      <x:c r="A292" s="38"/>
      <x:c r="B292" s="38"/>
      <x:c r="C292" s="38"/>
      <x:c r="D292" s="38"/>
      <x:c r="E292" s="38"/>
      <x:c r="F292" s="38"/>
      <x:c r="G292" s="38"/>
      <x:c r="H292" s="38"/>
      <x:c r="I292" s="38"/>
      <x:c r="J292" s="38"/>
      <x:c r="K292" s="38"/>
    </x:row>
    <x:row r="293">
      <x:c r="A293" s="38"/>
      <x:c r="B293" s="38"/>
      <x:c r="C293" s="38"/>
      <x:c r="D293" s="38"/>
      <x:c r="E293" s="38"/>
      <x:c r="F293" s="38"/>
      <x:c r="G293" s="38"/>
      <x:c r="H293" s="38"/>
      <x:c r="I293" s="38"/>
      <x:c r="J293" s="38"/>
      <x:c r="K293" s="38"/>
    </x:row>
    <x:row r="294">
      <x:c r="A294" s="38"/>
      <x:c r="B294" s="38"/>
      <x:c r="C294" s="38"/>
      <x:c r="D294" s="38"/>
      <x:c r="E294" s="38"/>
      <x:c r="F294" s="38"/>
      <x:c r="G294" s="38"/>
      <x:c r="H294" s="38"/>
      <x:c r="I294" s="38"/>
      <x:c r="J294" s="38"/>
      <x:c r="K294" s="38"/>
    </x:row>
    <x:row r="295">
      <x:c r="A295" s="38"/>
      <x:c r="B295" s="38"/>
      <x:c r="C295" s="38"/>
      <x:c r="D295" s="38"/>
      <x:c r="E295" s="38"/>
      <x:c r="F295" s="38"/>
      <x:c r="G295" s="38"/>
      <x:c r="H295" s="38"/>
      <x:c r="I295" s="38"/>
      <x:c r="J295" s="38"/>
      <x:c r="K295" s="38"/>
    </x:row>
    <x:row r="296">
      <x:c r="A296" s="38"/>
      <x:c r="B296" s="38"/>
      <x:c r="C296" s="38"/>
      <x:c r="D296" s="38"/>
      <x:c r="E296" s="38"/>
      <x:c r="F296" s="38"/>
      <x:c r="G296" s="38"/>
      <x:c r="H296" s="38"/>
      <x:c r="I296" s="38"/>
      <x:c r="J296" s="38"/>
      <x:c r="K296" s="38"/>
    </x:row>
    <x:row r="297">
      <x:c r="A297" s="38"/>
      <x:c r="B297" s="38"/>
      <x:c r="C297" s="38"/>
      <x:c r="D297" s="38"/>
      <x:c r="E297" s="38"/>
      <x:c r="F297" s="38"/>
      <x:c r="G297" s="38"/>
      <x:c r="H297" s="38"/>
      <x:c r="I297" s="38"/>
      <x:c r="J297" s="38"/>
      <x:c r="K297" s="38"/>
    </x:row>
    <x:row r="298">
      <x:c r="A298" s="38"/>
      <x:c r="B298" s="38"/>
      <x:c r="C298" s="38"/>
      <x:c r="D298" s="38"/>
      <x:c r="E298" s="38"/>
      <x:c r="F298" s="38"/>
      <x:c r="G298" s="38"/>
      <x:c r="H298" s="38"/>
      <x:c r="I298" s="38"/>
      <x:c r="J298" s="38"/>
      <x:c r="K298" s="38"/>
    </x:row>
    <x:row r="299">
      <x:c r="A299" s="38"/>
      <x:c r="B299" s="38"/>
      <x:c r="C299" s="38"/>
      <x:c r="D299" s="38"/>
      <x:c r="E299" s="38"/>
      <x:c r="F299" s="38"/>
      <x:c r="G299" s="38"/>
      <x:c r="H299" s="38"/>
      <x:c r="I299" s="38"/>
      <x:c r="J299" s="38"/>
      <x:c r="K299" s="38"/>
    </x:row>
    <x:row r="300">
      <x:c r="A300" s="38"/>
      <x:c r="B300" s="38"/>
      <x:c r="C300" s="38"/>
      <x:c r="D300" s="38"/>
      <x:c r="E300" s="38"/>
      <x:c r="F300" s="38"/>
      <x:c r="G300" s="38"/>
      <x:c r="H300" s="38"/>
      <x:c r="I300" s="38"/>
      <x:c r="J300" s="38"/>
      <x:c r="K300" s="38"/>
    </x:row>
    <x:row r="301">
      <x:c r="A301" s="38"/>
      <x:c r="B301" s="38"/>
      <x:c r="C301" s="38"/>
      <x:c r="D301" s="38"/>
      <x:c r="E301" s="38"/>
      <x:c r="F301" s="38"/>
      <x:c r="G301" s="38"/>
      <x:c r="H301" s="38"/>
      <x:c r="I301" s="38"/>
      <x:c r="J301" s="38"/>
      <x:c r="K301" s="38"/>
    </x:row>
    <x:row r="302">
      <x:c r="A302" s="38"/>
      <x:c r="B302" s="38"/>
      <x:c r="C302" s="38"/>
      <x:c r="D302" s="38"/>
      <x:c r="E302" s="38"/>
      <x:c r="F302" s="38"/>
      <x:c r="G302" s="38"/>
      <x:c r="H302" s="38"/>
      <x:c r="I302" s="38"/>
      <x:c r="J302" s="38"/>
      <x:c r="K302" s="38"/>
    </x:row>
    <x:row r="303">
      <x:c r="A303" s="38"/>
      <x:c r="B303" s="38"/>
      <x:c r="C303" s="38"/>
      <x:c r="D303" s="38"/>
      <x:c r="E303" s="38"/>
      <x:c r="F303" s="38"/>
      <x:c r="G303" s="38"/>
      <x:c r="H303" s="38"/>
      <x:c r="I303" s="38"/>
      <x:c r="J303" s="38"/>
      <x:c r="K303" s="38"/>
    </x:row>
    <x:row r="304">
      <x:c r="A304" s="38"/>
      <x:c r="B304" s="38"/>
      <x:c r="C304" s="38"/>
      <x:c r="D304" s="38"/>
      <x:c r="E304" s="38"/>
      <x:c r="F304" s="38"/>
      <x:c r="G304" s="38"/>
      <x:c r="H304" s="38"/>
      <x:c r="I304" s="38"/>
      <x:c r="J304" s="38"/>
      <x:c r="K304" s="38"/>
    </x:row>
  </x:sheetData>
  <x:mergeCells>
    <x:mergeCell ref="A1:K1"/>
    <x:mergeCell ref="A2:K2"/>
  </x:mergeCells>
  <x:conditionalFormatting sqref="I5:I304">
    <x:cfRule type="expression" dxfId="6" priority="1">
      <x:formula>I5="approved"</x:formula>
    </x:cfRule>
    <x:cfRule type="expression" dxfId="7" priority="2">
      <x:formula>I5="needs-review"</x:formula>
    </x:cfRule>
    <x:cfRule type="expression" dxfId="8" priority="3">
      <x:formula>I5="rejected"</x:formula>
    </x:cfRule>
  </x:conditionalFormatting>
  <x:dataValidations count="4">
    <x:dataValidation type="list" sqref="D5:D304">
      <x:formula1>"wikimedia-commons,openverse,own,generated"</x:formula1>
    </x:dataValidation>
    <x:dataValidation type="list" sqref="F5:F304">
      <x:formula1>"Public Domain,CC0,CC BY,CC BY-SA,Own,Generated"</x:formula1>
    </x:dataValidation>
    <x:dataValidation type="list" sqref="H5:H304">
      <x:formula1>"true,false"</x:formula1>
    </x:dataValidation>
    <x:dataValidation type="list" sqref="I5:I304">
      <x:formula1>"candidate,needs-review,approved,downloaded,optimized,rejected"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26" hidden="0" customWidth="1"/>
    <x:col min="3" max="3" width="42" hidden="0" customWidth="1"/>
    <x:col min="4" max="4" width="24" hidden="0" customWidth="1"/>
    <x:col min="5" max="5" width="40" hidden="0" customWidth="1"/>
    <x:col min="6" max="6" width="12" hidden="0" customWidth="1"/>
  </x:cols>
  <x:sheetData>
    <x:row r="1">
      <x:c r="A1" s="41" t="str">
        <x:v>Nom Dish Catalog — Factual Sources</x:v>
      </x:c>
      <x:c r="B1" s="41"/>
      <x:c r="C1" s="41"/>
      <x:c r="D1" s="41"/>
      <x:c r="E1" s="41"/>
      <x:c r="F1" s="41"/>
    </x:row>
    <x:row r="2">
      <x:c r="A2" s="45" t="str">
        <x:v>Each approved dish should have at least one approved factual source. Use two when origin or naming is disputed.</x:v>
      </x:c>
      <x:c r="B2" s="45"/>
      <x:c r="C2" s="45"/>
      <x:c r="D2" s="45"/>
      <x:c r="E2" s="45"/>
      <x:c r="F2" s="45"/>
    </x:row>
    <x:row r="4">
      <x:c r="A4" s="48" t="str">
        <x:v>dishId</x:v>
      </x:c>
      <x:c r="B4" s="48" t="str">
        <x:v>sourceName</x:v>
      </x:c>
      <x:c r="C4" s="48" t="str">
        <x:v>sourceUrl</x:v>
      </x:c>
      <x:c r="D4" s="48" t="str">
        <x:v>sourceType</x:v>
      </x:c>
      <x:c r="E4" s="48" t="str">
        <x:v>notes</x:v>
      </x:c>
      <x:c r="F4" s="48" t="str">
        <x:v>approved</x:v>
      </x:c>
    </x:row>
    <x:row r="5">
      <x:c r="A5" s="38" t="str">
        <x:v>lort-cha</x:v>
      </x:c>
      <x:c r="B5" s="38" t="str">
        <x:v>Cambodian Cookbook</x:v>
      </x:c>
      <x:c r="C5" s="38" t="str">
        <x:v>https://cambodiancookbook.com/recipes/lort-cha/</x:v>
      </x:c>
      <x:c r="D5" s="38" t="str">
        <x:v>editorial-recipe</x:v>
      </x:c>
      <x:c r="E5" s="38" t="str">
        <x:v>Initial source for dish identity, noodle style, common toppings, and Cambodian street-food context.</x:v>
      </x:c>
      <x:c r="F5" s="75" t="b">
        <x:v>0</x:v>
      </x:c>
    </x:row>
    <x:row r="6">
      <x:c r="A6" s="38" t="str">
        <x:v>mie-goreng</x:v>
      </x:c>
      <x:c r="B6" s="38" t="str">
        <x:v>Wikipedia — Mie goreng</x:v>
      </x:c>
      <x:c r="C6" s="38" t="str">
        <x:v>https://en.wikipedia.org/wiki/Mie_goreng</x:v>
      </x:c>
      <x:c r="D6" s="38" t="str">
        <x:v>encyclopedia-reference</x:v>
      </x:c>
      <x:c r="E6" s="38" t="str">
        <x:v>Initial source for Indonesian origin, noodle type, and common ingredients.</x:v>
      </x:c>
      <x:c r="F6" s="75" t="b">
        <x:v>0</x:v>
      </x:c>
    </x:row>
    <x:row r="7">
      <x:c r="A7" s="38" t="str">
        <x:v>pancit-canton</x:v>
      </x:c>
      <x:c r="B7" s="38" t="str">
        <x:v>Wikipedia — Pancit</x:v>
      </x:c>
      <x:c r="C7" s="38" t="str">
        <x:v>https://en.wikipedia.org/wiki/Pancit</x:v>
      </x:c>
      <x:c r="D7" s="38" t="str">
        <x:v>encyclopedia-reference</x:v>
      </x:c>
      <x:c r="E7" s="38" t="str">
        <x:v>Initial source for pancit canton as a Filipino adaptation using Canton-style noodles.</x:v>
      </x:c>
      <x:c r="F7" s="75" t="b">
        <x:v>0</x:v>
      </x:c>
    </x:row>
    <x:row r="8">
      <x:c r="A8" s="38" t="str">
        <x:v>char-kway-teow</x:v>
      </x:c>
      <x:c r="B8" s="38" t="str">
        <x:v>Wikipedia — Char kway teow</x:v>
      </x:c>
      <x:c r="C8" s="38" t="str">
        <x:v>https://en.wikipedia.org/wiki/Char_kway_teow</x:v>
      </x:c>
      <x:c r="D8" s="38" t="str">
        <x:v>encyclopedia-reference</x:v>
      </x:c>
      <x:c r="E8" s="38" t="str">
        <x:v>Initial source for regional identity, noodle type, and high-heat stir-fry preparation.</x:v>
      </x:c>
      <x:c r="F8" s="75" t="b">
        <x:v>0</x:v>
      </x:c>
    </x:row>
    <x:row r="9">
      <x:c r="A9" s="38" t="str">
        <x:v>mi-quang</x:v>
      </x:c>
      <x:c r="B9" s="38" t="str">
        <x:v>Wikipedia — Mì Quảng</x:v>
      </x:c>
      <x:c r="C9" s="38" t="str">
        <x:v>https://en.wikipedia.org/wiki/M%C3%AC_Qu%E1%BA%A3ng</x:v>
      </x:c>
      <x:c r="D9" s="38" t="str">
        <x:v>encyclopedia-reference</x:v>
      </x:c>
      <x:c r="E9" s="38" t="str">
        <x:v>Initial source for Quảng Nam origin, rice noodles, herbs, proteins, turmeric, and light-broth serving style.</x:v>
      </x:c>
      <x:c r="F9" s="75" t="b">
        <x:v>0</x:v>
      </x:c>
    </x:row>
    <x:row r="10">
      <x:c r="A10" s="38" t="str">
        <x:v>hokkien-mee</x:v>
      </x:c>
      <x:c r="B10" s="38" t="str">
        <x:v>Wikipedia — Hokkien mee</x:v>
      </x:c>
      <x:c r="C10" s="38" t="str">
        <x:v>https://en.wikipedia.org/wiki/Hokkien_mee</x:v>
      </x:c>
      <x:c r="D10" s="38" t="str">
        <x:v>encyclopedia-reference</x:v>
      </x:c>
      <x:c r="E10" s="38" t="str">
        <x:v>Initial source for Singapore variant, noodle mix, seafood, broth, sambal, and lime.</x:v>
      </x:c>
      <x:c r="F10" s="75" t="b">
        <x:v>0</x:v>
      </x:c>
    </x:row>
    <x:row r="11">
      <x:c r="A11" s="38" t="str">
        <x:v>kolo-mee</x:v>
      </x:c>
      <x:c r="B11" s="38" t="str">
        <x:v>Wikipedia — Mee kolo</x:v>
      </x:c>
      <x:c r="C11" s="38" t="str">
        <x:v>https://en.wikipedia.org/wiki/Mee_kolo</x:v>
      </x:c>
      <x:c r="D11" s="38" t="str">
        <x:v>encyclopedia-reference</x:v>
      </x:c>
      <x:c r="E11" s="38" t="str">
        <x:v>Initial source for Sarawak identity, dry-noodle preparation, common sauces, and toppings.</x:v>
      </x:c>
      <x:c r="F11" s="75" t="b">
        <x:v>0</x:v>
      </x:c>
    </x:row>
    <x:row r="12">
      <x:c r="A12" s="38" t="str">
        <x:v>pancit-bihon</x:v>
      </x:c>
      <x:c r="B12" s="38" t="str">
        <x:v>Wikipedia — Pancit</x:v>
      </x:c>
      <x:c r="C12" s="38" t="str">
        <x:v>https://en.wikipedia.org/wiki/Pancit</x:v>
      </x:c>
      <x:c r="D12" s="38" t="str">
        <x:v>encyclopedia-reference</x:v>
      </x:c>
      <x:c r="E12" s="38" t="str">
        <x:v>Initial source for pancit bihon as thin rice vermicelli with soy, citrus, vegetables, and protein.</x:v>
      </x:c>
      <x:c r="F12" s="75" t="b">
        <x:v>0</x:v>
      </x:c>
    </x:row>
    <x:row r="13">
      <x:c r="A13" s="38" t="str">
        <x:v>cao-lau</x:v>
      </x:c>
      <x:c r="B13" s="38" t="str">
        <x:v>Wikipedia — Cao lầu</x:v>
      </x:c>
      <x:c r="C13" s="38" t="str">
        <x:v>https://en.wikipedia.org/wiki/Cao_l%E1%BA%A7u</x:v>
      </x:c>
      <x:c r="D13" s="38" t="str">
        <x:v>encyclopedia-reference</x:v>
      </x:c>
      <x:c r="E13" s="38" t="str">
        <x:v>Initial source for Hội An association, chewy rice noodles, pork, greens, herbs, and crisp toppings.</x:v>
      </x:c>
      <x:c r="F13" s="75" t="b">
        <x:v>0</x:v>
      </x:c>
    </x:row>
    <x:row r="14">
      <x:c r="A14" s="38" t="str">
        <x:v>num-banh-chok</x:v>
      </x:c>
      <x:c r="B14" s="38" t="str">
        <x:v>Wikipedia — Num banhchok</x:v>
      </x:c>
      <x:c r="C14" s="38" t="str">
        <x:v>https://en.wikipedia.org/wiki/Num_banhchok</x:v>
      </x:c>
      <x:c r="D14" s="38" t="str">
        <x:v>encyclopedia-reference</x:v>
      </x:c>
      <x:c r="E14" s="38" t="str">
        <x:v>Initial source for Cambodian origin, fermented rice noodles, meal context, and common accompaniments.</x:v>
      </x:c>
      <x:c r="F14" s="75" t="b">
        <x:v>0</x:v>
      </x:c>
    </x:row>
    <x:row r="15">
      <x:c r="A15" s="38" t="str">
        <x:v>ramen</x:v>
      </x:c>
      <x:c r="B15" s="38" t="str">
        <x:v>Wikipedia — Ramen</x:v>
      </x:c>
      <x:c r="C15" s="38" t="str">
        <x:v>https://en.wikipedia.org/wiki/Ramen</x:v>
      </x:c>
      <x:c r="D15" s="38" t="str">
        <x:v>encyclopedia-reference</x:v>
      </x:c>
      <x:c r="E15" s="38" t="str">
        <x:v>Initial source for Japanese adaptation, alkaline wheat noodles, broth styles, and common toppings.</x:v>
      </x:c>
      <x:c r="F15" s="75" t="b">
        <x:v>0</x:v>
      </x:c>
    </x:row>
    <x:row r="16">
      <x:c r="A16" s="38" t="str">
        <x:v>bibimbap</x:v>
      </x:c>
      <x:c r="B16" s="38" t="str">
        <x:v>Wikipedia — Bibimbap</x:v>
      </x:c>
      <x:c r="C16" s="38" t="str">
        <x:v>https://en.wikipedia.org/wiki/Bibimbap</x:v>
      </x:c>
      <x:c r="D16" s="38" t="str">
        <x:v>encyclopedia-reference</x:v>
      </x:c>
      <x:c r="E16" s="38" t="str">
        <x:v>Initial source for rice base, vegetables, gochujang, egg/meat additions, and Korean regional variations.</x:v>
      </x:c>
      <x:c r="F16" s="75" t="b">
        <x:v>0</x:v>
      </x:c>
    </x:row>
    <x:row r="17">
      <x:c r="A17" s="38" t="str">
        <x:v>yakitori</x:v>
      </x:c>
      <x:c r="B17" s="38" t="str">
        <x:v>Wikipedia — Yakitori</x:v>
      </x:c>
      <x:c r="C17" s="38" t="str">
        <x:v>https://en.wikipedia.org/wiki/Yakitori</x:v>
      </x:c>
      <x:c r="D17" s="38" t="str">
        <x:v>encyclopedia-reference</x:v>
      </x:c>
      <x:c r="E17" s="38" t="str">
        <x:v>Initial source for Japanese grilled chicken skewers and common salt/tare seasoning.</x:v>
      </x:c>
      <x:c r="F17" s="75" t="b">
        <x:v>0</x:v>
      </x:c>
    </x:row>
    <x:row r="18">
      <x:c r="A18" s="38" t="str">
        <x:v>biryani</x:v>
      </x:c>
      <x:c r="B18" s="38" t="str">
        <x:v>Wikipedia — Biryani</x:v>
      </x:c>
      <x:c r="C18" s="38" t="str">
        <x:v>https://en.wikipedia.org/wiki/Biryani</x:v>
      </x:c>
      <x:c r="D18" s="38" t="str">
        <x:v>encyclopedia-reference</x:v>
      </x:c>
      <x:c r="E18" s="38" t="str">
        <x:v>Initial source for South Asian scope, fragrant rice, spices, and varied regional preparations.</x:v>
      </x:c>
      <x:c r="F18" s="75" t="b">
        <x:v>0</x:v>
      </x:c>
    </x:row>
    <x:row r="19">
      <x:c r="A19" s="38" t="str">
        <x:v>masala-dosa</x:v>
      </x:c>
      <x:c r="B19" s="38" t="str">
        <x:v>Wikipedia — Masala dosa</x:v>
      </x:c>
      <x:c r="C19" s="38" t="str">
        <x:v>https://en.wikipedia.org/wiki/Masala_dosa</x:v>
      </x:c>
      <x:c r="D19" s="38" t="str">
        <x:v>encyclopedia-reference</x:v>
      </x:c>
      <x:c r="E19" s="38" t="str">
        <x:v>Initial source for South Indian identity, fermented batter, potato filling, and chutney/sambar service.</x:v>
      </x:c>
      <x:c r="F19" s="75" t="b">
        <x:v>0</x:v>
      </x:c>
    </x:row>
    <x:row r="20">
      <x:c r="A20" s="38" t="str">
        <x:v>mansaf</x:v>
      </x:c>
      <x:c r="B20" s="38" t="str">
        <x:v>Wikipedia — Mansaf</x:v>
      </x:c>
      <x:c r="C20" s="38" t="str">
        <x:v>https://en.wikipedia.org/wiki/Mansaf</x:v>
      </x:c>
      <x:c r="D20" s="38" t="str">
        <x:v>encyclopedia-reference</x:v>
      </x:c>
      <x:c r="E20" s="38" t="str">
        <x:v>Initial source for Jordanian identity, lamb, jameed, rice/bulgur, and flatbread.</x:v>
      </x:c>
      <x:c r="F20" s="75" t="b">
        <x:v>0</x:v>
      </x:c>
    </x:row>
    <x:row r="21">
      <x:c r="A21" s="38" t="str">
        <x:v>shish-taouk</x:v>
      </x:c>
      <x:c r="B21" s="38" t="str">
        <x:v>Wikipedia-derived reference — Shish taouk</x:v>
      </x:c>
      <x:c r="C21" s="38" t="str">
        <x:v>https://wiki.knf7.com/content/wikipedia_en_all_maxi_2025-08/Shish_taouk</x:v>
      </x:c>
      <x:c r="D21" s="38" t="str">
        <x:v>encyclopedia-reference</x:v>
      </x:c>
      <x:c r="E21" s="38" t="str">
        <x:v>Initial source for marinated grilled chicken skewers, Ottoman roots, and broad Middle Eastern distribution.</x:v>
      </x:c>
      <x:c r="F21" s="75" t="b">
        <x:v>0</x:v>
      </x:c>
    </x:row>
    <x:row r="22">
      <x:c r="A22" s="38" t="str">
        <x:v>harira</x:v>
      </x:c>
      <x:c r="B22" s="38" t="str">
        <x:v>Wikipedia — Harira</x:v>
      </x:c>
      <x:c r="C22" s="38" t="str">
        <x:v>https://en.wikipedia.org/wiki/Harira</x:v>
      </x:c>
      <x:c r="D22" s="38" t="str">
        <x:v>encyclopedia-reference</x:v>
      </x:c>
      <x:c r="E22" s="38" t="str">
        <x:v>Initial source for Maghrebi identity, tomatoes, lentils, chickpeas, optional meat, and Ramadan context.</x:v>
      </x:c>
      <x:c r="F22" s="75" t="b">
        <x:v>0</x:v>
      </x:c>
    </x:row>
    <x:row r="23">
      <x:c r="A23" s="38" t="str">
        <x:v>suya</x:v>
      </x:c>
      <x:c r="B23" s="38" t="str">
        <x:v>Wikipedia — Suya</x:v>
      </x:c>
      <x:c r="C23" s="38" t="str">
        <x:v>https://en.wikipedia.org/wiki/Suya</x:v>
      </x:c>
      <x:c r="D23" s="38" t="str">
        <x:v>encyclopedia-reference</x:v>
      </x:c>
      <x:c r="E23" s="38" t="str">
        <x:v>Initial source for Nigerian/Hausa identity, grilled skewers, and yaji spice mixture.</x:v>
      </x:c>
      <x:c r="F23" s="75" t="b">
        <x:v>0</x:v>
      </x:c>
    </x:row>
    <x:row r="24">
      <x:c r="A24" s="38" t="str">
        <x:v>carbonara</x:v>
      </x:c>
      <x:c r="B24" s="38" t="str">
        <x:v>Wikipedia — Carbonara</x:v>
      </x:c>
      <x:c r="C24" s="38" t="str">
        <x:v>https://en.wikipedia.org/wiki/Carbonara</x:v>
      </x:c>
      <x:c r="D24" s="38" t="str">
        <x:v>encyclopedia-reference</x:v>
      </x:c>
      <x:c r="E24" s="38" t="str">
        <x:v>Initial source for Lazio association and core ingredients: pasta, guanciale, eggs, cheese, and black pepper.</x:v>
      </x:c>
      <x:c r="F24" s="75" t="b">
        <x:v>0</x:v>
      </x:c>
    </x:row>
    <x:row r="25">
      <x:c r="A25" s="38" t="str">
        <x:v>french-onion-soup</x:v>
      </x:c>
      <x:c r="B25" s="38" t="str">
        <x:v>Wikipedia — French onion soup</x:v>
      </x:c>
      <x:c r="C25" s="38" t="str">
        <x:v>https://en.wikipedia.org/wiki/French_onion_soup</x:v>
      </x:c>
      <x:c r="D25" s="38" t="str">
        <x:v>encyclopedia-reference</x:v>
      </x:c>
      <x:c r="E25" s="38" t="str">
        <x:v>Initial source for French association, onion-and-stock base, bread/croutons, and cheese.</x:v>
      </x:c>
      <x:c r="F25" s="75" t="b">
        <x:v>0</x:v>
      </x:c>
    </x:row>
    <x:row r="26">
      <x:c r="A26" s="38" t="str">
        <x:v>tacos-al-pastor</x:v>
      </x:c>
      <x:c r="B26" s="38" t="str">
        <x:v>Wikipedia — Al pastor</x:v>
      </x:c>
      <x:c r="C26" s="38" t="str">
        <x:v>https://en.wikipedia.org/wiki/Al_pastor</x:v>
      </x:c>
      <x:c r="D26" s="38" t="str">
        <x:v>encyclopedia-reference</x:v>
      </x:c>
      <x:c r="E26" s="38" t="str">
        <x:v>Initial source for Mexican/Puebla identity, Lebanese influence, spit-grilled pork, and common garnishes.</x:v>
      </x:c>
      <x:c r="F26" s="75" t="b">
        <x:v>0</x:v>
      </x:c>
    </x:row>
    <x:row r="27">
      <x:c r="A27" s="38" t="str">
        <x:v>sopa-de-lima</x:v>
      </x:c>
      <x:c r="B27" s="38" t="str">
        <x:v>Wikipedia — Sopa de lima</x:v>
      </x:c>
      <x:c r="C27" s="38" t="str">
        <x:v>https://en.wikipedia.org/wiki/Sopa_de_lima</x:v>
      </x:c>
      <x:c r="D27" s="38" t="str">
        <x:v>encyclopedia-reference</x:v>
      </x:c>
      <x:c r="E27" s="38" t="str">
        <x:v>Initial source for Yucatán origin, chicken/meat broth, lime, and tortilla-strip service.</x:v>
      </x:c>
      <x:c r="F27" s="75" t="b">
        <x:v>0</x:v>
      </x:c>
    </x:row>
    <x:row r="28">
      <x:c r="A28" s="38" t="str">
        <x:v>jambalaya</x:v>
      </x:c>
      <x:c r="B28" s="38" t="str">
        <x:v>Wikipedia — Jambalaya</x:v>
      </x:c>
      <x:c r="C28" s="38" t="str">
        <x:v>https://en.wikipedia.org/wiki/Jambalaya</x:v>
      </x:c>
      <x:c r="D28" s="38" t="str">
        <x:v>encyclopedia-reference</x:v>
      </x:c>
      <x:c r="E28" s="38" t="str">
        <x:v>Initial source for Louisiana origin, rice base, meats/seafood, vegetables, spices, and blended cultural influences.</x:v>
      </x:c>
      <x:c r="F28" s="75" t="b">
        <x:v>0</x:v>
      </x:c>
    </x:row>
    <x:row r="29">
      <x:c r="A29" s="38" t="str">
        <x:v>lobster-roll</x:v>
      </x:c>
      <x:c r="B29" s="38" t="str">
        <x:v>Wikipedia — Lobster roll</x:v>
      </x:c>
      <x:c r="C29" s="38" t="str">
        <x:v>https://en.wikipedia.org/wiki/Lobster_roll</x:v>
      </x:c>
      <x:c r="D29" s="38" t="str">
        <x:v>encyclopedia-reference</x:v>
      </x:c>
      <x:c r="E29" s="38" t="str">
        <x:v>Initial source for New England identity, split-top roll, lobster, and butter/mayonnaise variations.</x:v>
      </x:c>
      <x:c r="F29" s="75" t="b">
        <x:v>0</x:v>
      </x:c>
    </x:row>
    <x:row r="30">
      <x:c r="A30" s="38" t="str">
        <x:v>udon</x:v>
      </x:c>
      <x:c r="B30" s="38" t="str">
        <x:v>Wikipedia — Udon</x:v>
      </x:c>
      <x:c r="C30" s="38" t="str">
        <x:v>https://en.wikipedia.org/wiki/Udon</x:v>
      </x:c>
      <x:c r="D30" s="38" t="str">
        <x:v>encyclopedia-reference</x:v>
      </x:c>
      <x:c r="E30" s="38" t="str">
        <x:v>Initial source for noodle type, Japanese context, and common hot/cold serving styles.</x:v>
      </x:c>
      <x:c r="F30" s="75" t="b">
        <x:v>0</x:v>
      </x:c>
    </x:row>
    <x:row r="31">
      <x:c r="A31" s="38" t="str">
        <x:v>kimchi-jjigae</x:v>
      </x:c>
      <x:c r="B31" s="38" t="str">
        <x:v>Wikipedia — Kimchi-jjigae</x:v>
      </x:c>
      <x:c r="C31" s="38" t="str">
        <x:v>https://en.wikipedia.org/wiki/Kimchi-jjigae</x:v>
      </x:c>
      <x:c r="D31" s="38" t="str">
        <x:v>encyclopedia-reference</x:v>
      </x:c>
      <x:c r="E31" s="38" t="str">
        <x:v>Initial source for Korean identity, kimchi base, common pork/tofu additions, and stew preparation.</x:v>
      </x:c>
      <x:c r="F31" s="75" t="b">
        <x:v>0</x:v>
      </x:c>
    </x:row>
    <x:row r="32">
      <x:c r="A32" s="38" t="str">
        <x:v>bulgogi</x:v>
      </x:c>
      <x:c r="B32" s="38" t="str">
        <x:v>Wikipedia — Bulgogi</x:v>
      </x:c>
      <x:c r="C32" s="38" t="str">
        <x:v>https://en.wikipedia.org/wiki/Bulgogi</x:v>
      </x:c>
      <x:c r="D32" s="38" t="str">
        <x:v>encyclopedia-reference</x:v>
      </x:c>
      <x:c r="E32" s="38" t="str">
        <x:v>Initial source for Korean identity, marinated sliced meat, and grilling/pan-cooking preparation.</x:v>
      </x:c>
      <x:c r="F32" s="75" t="b">
        <x:v>0</x:v>
      </x:c>
    </x:row>
    <x:row r="33">
      <x:c r="A33" s="38" t="str">
        <x:v>jianbing</x:v>
      </x:c>
      <x:c r="B33" s="38" t="str">
        <x:v>Wikipedia — Jianbing</x:v>
      </x:c>
      <x:c r="C33" s="38" t="str">
        <x:v>https://en.wikipedia.org/wiki/Jianbing</x:v>
      </x:c>
      <x:c r="D33" s="38" t="str">
        <x:v>encyclopedia-reference</x:v>
      </x:c>
      <x:c r="E33" s="38" t="str">
        <x:v>Initial source for Chinese street-food identity, crepe preparation, egg, sauces, and crisp filling.</x:v>
      </x:c>
      <x:c r="F33" s="75" t="b">
        <x:v>0</x:v>
      </x:c>
    </x:row>
    <x:row r="34">
      <x:c r="A34" s="38" t="str">
        <x:v>chole-bhature</x:v>
      </x:c>
      <x:c r="B34" s="38" t="str">
        <x:v>Wikipedia — Chole bhature</x:v>
      </x:c>
      <x:c r="C34" s="38" t="str">
        <x:v>https://en.wikipedia.org/wiki/Chole_bhature</x:v>
      </x:c>
      <x:c r="D34" s="38" t="str">
        <x:v>encyclopedia-reference</x:v>
      </x:c>
      <x:c r="E34" s="38" t="str">
        <x:v>Initial source for North Indian/Punjabi association, chickpea curry, fried bhatura, and street-food context.</x:v>
      </x:c>
      <x:c r="F34" s="75" t="b">
        <x:v>0</x:v>
      </x:c>
    </x:row>
    <x:row r="35">
      <x:c r="A35" s="38" t="str">
        <x:v>chicken-tikka</x:v>
      </x:c>
      <x:c r="B35" s="38" t="str">
        <x:v>Wikipedia — Chicken tikka</x:v>
      </x:c>
      <x:c r="C35" s="38" t="str">
        <x:v>https://en.wikipedia.org/wiki/Chicken_tikka</x:v>
      </x:c>
      <x:c r="D35" s="38" t="str">
        <x:v>encyclopedia-reference</x:v>
      </x:c>
      <x:c r="E35" s="38" t="str">
        <x:v>Initial source for South Asian context, yogurt-spice marinade, and tandoor cooking.</x:v>
      </x:c>
      <x:c r="F35" s="75" t="b">
        <x:v>0</x:v>
      </x:c>
    </x:row>
    <x:row r="36">
      <x:c r="A36" s="38" t="str">
        <x:v>haleem</x:v>
      </x:c>
      <x:c r="B36" s="38" t="str">
        <x:v>Wikipedia — Haleem</x:v>
      </x:c>
      <x:c r="C36" s="38" t="str">
        <x:v>https://en.wikipedia.org/wiki/Haleem</x:v>
      </x:c>
      <x:c r="D36" s="38" t="str">
        <x:v>encyclopedia-reference</x:v>
      </x:c>
      <x:c r="E36" s="38" t="str">
        <x:v>Initial source for grain-lentil-meat composition, slow cooking, and South Asian distribution.</x:v>
      </x:c>
      <x:c r="F36" s="75" t="b">
        <x:v>0</x:v>
      </x:c>
    </x:row>
    <x:row r="37">
      <x:c r="A37" s="38" t="str">
        <x:v>kabsa</x:v>
      </x:c>
      <x:c r="B37" s="38" t="str">
        <x:v>Wikipedia — Kabsa</x:v>
      </x:c>
      <x:c r="C37" s="38" t="str">
        <x:v>https://en.wikipedia.org/wiki/Kabsa</x:v>
      </x:c>
      <x:c r="D37" s="38" t="str">
        <x:v>encyclopedia-reference</x:v>
      </x:c>
      <x:c r="E37" s="38" t="str">
        <x:v>Initial source for Saudi/Arabian Peninsula association, rice, meat, tomato, and spice profile.</x:v>
      </x:c>
      <x:c r="F37" s="75" t="b">
        <x:v>0</x:v>
      </x:c>
    </x:row>
    <x:row r="38">
      <x:c r="A38" s="38" t="str">
        <x:v>shawarma</x:v>
      </x:c>
      <x:c r="B38" s="38" t="str">
        <x:v>Wikipedia — Shawarma</x:v>
      </x:c>
      <x:c r="C38" s="38" t="str">
        <x:v>https://en.wikipedia.org/wiki/Shawarma</x:v>
      </x:c>
      <x:c r="D38" s="38" t="str">
        <x:v>encyclopedia-reference</x:v>
      </x:c>
      <x:c r="E38" s="38" t="str">
        <x:v>Initial source for vertical-spit roasting, sliced meat, and common flatbread service.</x:v>
      </x:c>
      <x:c r="F38" s="75" t="b">
        <x:v>0</x:v>
      </x:c>
    </x:row>
    <x:row r="39">
      <x:c r="A39" s="38" t="str">
        <x:v>ash-reshteh</x:v>
      </x:c>
      <x:c r="B39" s="38" t="str">
        <x:v>Wikipedia — Aush reshteh</x:v>
      </x:c>
      <x:c r="C39" s="38" t="str">
        <x:v>https://en.wikipedia.org/wiki/Aush_reshteh</x:v>
      </x:c>
      <x:c r="D39" s="38" t="str">
        <x:v>encyclopedia-reference</x:v>
      </x:c>
      <x:c r="E39" s="38" t="str">
        <x:v>Initial source for Iranian identity, noodles, legumes, herbs, and common kashk garnish.</x:v>
      </x:c>
      <x:c r="F39" s="75" t="b">
        <x:v>0</x:v>
      </x:c>
    </x:row>
    <x:row r="40">
      <x:c r="A40" s="38" t="str">
        <x:v>jollof-rice</x:v>
      </x:c>
      <x:c r="B40" s="38" t="str">
        <x:v>Wikipedia — Jollof rice</x:v>
      </x:c>
      <x:c r="C40" s="38" t="str">
        <x:v>https://en.wikipedia.org/wiki/Jollof_rice</x:v>
      </x:c>
      <x:c r="D40" s="38" t="str">
        <x:v>encyclopedia-reference</x:v>
      </x:c>
      <x:c r="E40" s="38" t="str">
        <x:v>Initial source for West African distribution, rice-tomato base, peppers, aromatics, and regional variation.</x:v>
      </x:c>
      <x:c r="F40" s="75" t="b">
        <x:v>0</x:v>
      </x:c>
    </x:row>
    <x:row r="41">
      <x:c r="A41" s="38" t="str">
        <x:v>doro-wat</x:v>
      </x:c>
      <x:c r="B41" s="38" t="str">
        <x:v>Wikipedia — Doro wat</x:v>
      </x:c>
      <x:c r="C41" s="38" t="str">
        <x:v>https://en.wikipedia.org/wiki/Doro_wat</x:v>
      </x:c>
      <x:c r="D41" s="38" t="str">
        <x:v>encyclopedia-reference</x:v>
      </x:c>
      <x:c r="E41" s="38" t="str">
        <x:v>Initial source for Ethiopian identity, chicken, berbere, onions, and injera service.</x:v>
      </x:c>
      <x:c r="F41" s="75" t="b">
        <x:v>0</x:v>
      </x:c>
    </x:row>
    <x:row r="42">
      <x:c r="A42" s="38" t="str">
        <x:v>koshari</x:v>
      </x:c>
      <x:c r="B42" s="38" t="str">
        <x:v>Wikipedia — Koshary</x:v>
      </x:c>
      <x:c r="C42" s="38" t="str">
        <x:v>https://en.wikipedia.org/wiki/Koshary</x:v>
      </x:c>
      <x:c r="D42" s="38" t="str">
        <x:v>encyclopedia-reference</x:v>
      </x:c>
      <x:c r="E42" s="38" t="str">
        <x:v>Initial source for Egyptian identity and the rice, lentil, pasta, chickpea, tomato, and fried-onion combination.</x:v>
      </x:c>
      <x:c r="F42" s="75" t="b">
        <x:v>0</x:v>
      </x:c>
    </x:row>
    <x:row r="43">
      <x:c r="A43" s="38" t="str">
        <x:v>thieboudienne</x:v>
      </x:c>
      <x:c r="B43" s="38" t="str">
        <x:v>Wikipedia — Thieboudienne</x:v>
      </x:c>
      <x:c r="C43" s="38" t="str">
        <x:v>https://en.wikipedia.org/wiki/Thieboudienne</x:v>
      </x:c>
      <x:c r="D43" s="38" t="str">
        <x:v>encyclopedia-reference</x:v>
      </x:c>
      <x:c r="E43" s="38" t="str">
        <x:v>Initial source for Senegalese identity, fish, rice, tomato sauce, vegetables, and one-pot preparation.</x:v>
      </x:c>
      <x:c r="F43" s="75" t="b">
        <x:v>0</x:v>
      </x:c>
    </x:row>
    <x:row r="44">
      <x:c r="A44" s="38" t="str">
        <x:v>paella</x:v>
      </x:c>
      <x:c r="B44" s="38" t="str">
        <x:v>Wikipedia — Paella</x:v>
      </x:c>
      <x:c r="C44" s="38" t="str">
        <x:v>https://en.wikipedia.org/wiki/Paella</x:v>
      </x:c>
      <x:c r="D44" s="38" t="str">
        <x:v>encyclopedia-reference</x:v>
      </x:c>
      <x:c r="E44" s="38" t="str">
        <x:v>Initial source for Valencian origin, rice preparation, pan style, and common seafood/meat variations.</x:v>
      </x:c>
      <x:c r="F44" s="75" t="b">
        <x:v>0</x:v>
      </x:c>
    </x:row>
    <x:row r="45">
      <x:c r="A45" s="38" t="str">
        <x:v>goulash</x:v>
      </x:c>
      <x:c r="B45" s="38" t="str">
        <x:v>Wikipedia — Goulash</x:v>
      </x:c>
      <x:c r="C45" s="38" t="str">
        <x:v>https://en.wikipedia.org/wiki/Goulash</x:v>
      </x:c>
      <x:c r="D45" s="38" t="str">
        <x:v>encyclopedia-reference</x:v>
      </x:c>
      <x:c r="E45" s="38" t="str">
        <x:v>Initial source for Hungarian origin, meat, vegetables, paprika, and soup/stew forms.</x:v>
      </x:c>
      <x:c r="F45" s="75" t="b">
        <x:v>0</x:v>
      </x:c>
    </x:row>
    <x:row r="46">
      <x:c r="A46" s="38" t="str">
        <x:v>souvlaki</x:v>
      </x:c>
      <x:c r="B46" s="38" t="str">
        <x:v>Wikipedia — Souvlaki</x:v>
      </x:c>
      <x:c r="C46" s="38" t="str">
        <x:v>https://en.wikipedia.org/wiki/Souvlaki</x:v>
      </x:c>
      <x:c r="D46" s="38" t="str">
        <x:v>encyclopedia-reference</x:v>
      </x:c>
      <x:c r="E46" s="38" t="str">
        <x:v>Initial source for Greek identity, skewered grilled meat, and common pita/garnish service.</x:v>
      </x:c>
      <x:c r="F46" s="75" t="b">
        <x:v>0</x:v>
      </x:c>
    </x:row>
    <x:row r="47">
      <x:c r="A47" s="38" t="str">
        <x:v>pierogi</x:v>
      </x:c>
      <x:c r="B47" s="38" t="str">
        <x:v>Wikipedia — Pierogi</x:v>
      </x:c>
      <x:c r="C47" s="38" t="str">
        <x:v>https://en.wikipedia.org/wiki/Pierogi</x:v>
      </x:c>
      <x:c r="D47" s="38" t="str">
        <x:v>encyclopedia-reference</x:v>
      </x:c>
      <x:c r="E47" s="38" t="str">
        <x:v>Initial source for Polish association, filled dough structure, common fillings, and boiled/pan-fried preparation.</x:v>
      </x:c>
      <x:c r="F47" s="75" t="b">
        <x:v>0</x:v>
      </x:c>
    </x:row>
    <x:row r="48">
      <x:c r="A48" s="38" t="str">
        <x:v>arepa</x:v>
      </x:c>
      <x:c r="B48" s="38" t="str">
        <x:v>Wikipedia — Arepa</x:v>
      </x:c>
      <x:c r="C48" s="38" t="str">
        <x:v>https://en.wikipedia.org/wiki/Arepa</x:v>
      </x:c>
      <x:c r="D48" s="38" t="str">
        <x:v>encyclopedia-reference</x:v>
      </x:c>
      <x:c r="E48" s="38" t="str">
        <x:v>Initial source for Venezuelan/Colombian association, cornmeal base, cooking methods, and filled service.</x:v>
      </x:c>
      <x:c r="F48" s="75" t="b">
        <x:v>0</x:v>
      </x:c>
    </x:row>
    <x:row r="49">
      <x:c r="A49" s="38" t="str">
        <x:v>ceviche</x:v>
      </x:c>
      <x:c r="B49" s="38" t="str">
        <x:v>Wikipedia — Ceviche</x:v>
      </x:c>
      <x:c r="C49" s="38" t="str">
        <x:v>https://en.wikipedia.org/wiki/Ceviche</x:v>
      </x:c>
      <x:c r="D49" s="38" t="str">
        <x:v>encyclopedia-reference</x:v>
      </x:c>
      <x:c r="E49" s="38" t="str">
        <x:v>Initial source for Peruvian association, raw fish/seafood, citrus curing, onion, and chile.</x:v>
      </x:c>
      <x:c r="F49" s="75" t="b">
        <x:v>0</x:v>
      </x:c>
    </x:row>
    <x:row r="50">
      <x:c r="A50" s="38" t="str">
        <x:v>arroz-con-pollo</x:v>
      </x:c>
      <x:c r="B50" s="38" t="str">
        <x:v>Wikipedia — Arroz con pollo</x:v>
      </x:c>
      <x:c r="C50" s="38" t="str">
        <x:v>https://en.wikipedia.org/wiki/Arroz_con_pollo</x:v>
      </x:c>
      <x:c r="D50" s="38" t="str">
        <x:v>encyclopedia-reference</x:v>
      </x:c>
      <x:c r="E50" s="38" t="str">
        <x:v>Initial source for chicken-rice structure, Spanish/Latin American distribution, and regional variation.</x:v>
      </x:c>
      <x:c r="F50" s="75" t="b">
        <x:v>0</x:v>
      </x:c>
    </x:row>
    <x:row r="51">
      <x:c r="A51" s="38" t="str">
        <x:v>sancocho</x:v>
      </x:c>
      <x:c r="B51" s="38" t="str">
        <x:v>Wikipedia — Sancocho</x:v>
      </x:c>
      <x:c r="C51" s="38" t="str">
        <x:v>https://en.wikipedia.org/wiki/Sancocho</x:v>
      </x:c>
      <x:c r="D51" s="38" t="str">
        <x:v>encyclopedia-reference</x:v>
      </x:c>
      <x:c r="E51" s="38" t="str">
        <x:v>Initial source for Latin American/Caribbean distribution and common meat, root vegetable, plantain, and broth components.</x:v>
      </x:c>
      <x:c r="F51" s="75" t="b">
        <x:v>0</x:v>
      </x:c>
    </x:row>
    <x:row r="52">
      <x:c r="A52" s="38" t="str">
        <x:v>gumbo</x:v>
      </x:c>
      <x:c r="B52" s="38" t="str">
        <x:v>Wikipedia — Gumbo</x:v>
      </x:c>
      <x:c r="C52" s="38" t="str">
        <x:v>https://en.wikipedia.org/wiki/Gumbo</x:v>
      </x:c>
      <x:c r="D52" s="38" t="str">
        <x:v>encyclopedia-reference</x:v>
      </x:c>
      <x:c r="E52" s="38" t="str">
        <x:v>Initial source for Louisiana identity, stock, meat/seafood, vegetables, and thickening traditions.</x:v>
      </x:c>
      <x:c r="F52" s="75" t="b">
        <x:v>0</x:v>
      </x:c>
    </x:row>
    <x:row r="53">
      <x:c r="A53" s="38" t="str">
        <x:v>smoked-brisket</x:v>
      </x:c>
      <x:c r="B53" s="38" t="str">
        <x:v>Wikipedia — Brisket</x:v>
      </x:c>
      <x:c r="C53" s="38" t="str">
        <x:v>https://en.wikipedia.org/wiki/Brisket</x:v>
      </x:c>
      <x:c r="D53" s="38" t="str">
        <x:v>encyclopedia-reference</x:v>
      </x:c>
      <x:c r="E53" s="38" t="str">
        <x:v>Initial source for brisket cut and smoked/barbecue preparation context; requires stronger regional sourcing before approval.</x:v>
      </x:c>
      <x:c r="F53" s="75" t="b">
        <x:v>0</x:v>
      </x:c>
    </x:row>
    <x:row r="54">
      <x:c r="A54" s="38" t="str">
        <x:v>poke-bowl</x:v>
      </x:c>
      <x:c r="B54" s="38" t="str">
        <x:v>Wikipedia — Poke</x:v>
      </x:c>
      <x:c r="C54" s="38" t="str">
        <x:v>https://en.wikipedia.org/wiki/Poke_(Hawaiian_dish)</x:v>
      </x:c>
      <x:c r="D54" s="38" t="str">
        <x:v>encyclopedia-reference</x:v>
      </x:c>
      <x:c r="E54" s="38" t="str">
        <x:v>Initial source for Hawaiian poke and seasoned raw fish; modern rice-bowl presentation needs separate verification before approval.</x:v>
      </x:c>
      <x:c r="F54" s="75" t="b">
        <x:v>0</x:v>
      </x:c>
    </x:row>
    <x:row r="55">
      <x:c r="A55" s="38" t="str">
        <x:v>nasi-goreng</x:v>
      </x:c>
      <x:c r="B55" s="38" t="str">
        <x:v>Wikipedia — Nasi goreng</x:v>
      </x:c>
      <x:c r="C55" s="38" t="str">
        <x:v>https://en.wikipedia.org/wiki/Nasi_goreng</x:v>
      </x:c>
      <x:c r="D55" s="38" t="str">
        <x:v>encyclopedia-reference</x:v>
      </x:c>
      <x:c r="E55" s="38" t="str">
        <x:v>Initial source for Indonesian identity, fried-rice preparation, sweet soy seasoning, and common accompaniments.</x:v>
      </x:c>
      <x:c r="F55" s="75" t="b">
        <x:v>0</x:v>
      </x:c>
    </x:row>
    <x:row r="56">
      <x:c r="A56" s="38" t="str">
        <x:v>chicken-adobo</x:v>
      </x:c>
      <x:c r="B56" s="38" t="str">
        <x:v>Wikipedia — Philippine adobo</x:v>
      </x:c>
      <x:c r="C56" s="38" t="str">
        <x:v>https://en.wikipedia.org/wiki/Philippine_adobo</x:v>
      </x:c>
      <x:c r="D56" s="38" t="str">
        <x:v>encyclopedia-reference</x:v>
      </x:c>
      <x:c r="E56" s="38" t="str">
        <x:v>Initial source for Filipino identity, vinegar-based braising method, and common seasonings.</x:v>
      </x:c>
      <x:c r="F56" s="75" t="b">
        <x:v>0</x:v>
      </x:c>
    </x:row>
    <x:row r="57">
      <x:c r="A57" s="38" t="str">
        <x:v>satay</x:v>
      </x:c>
      <x:c r="B57" s="38" t="str">
        <x:v>Wikipedia — Satay</x:v>
      </x:c>
      <x:c r="C57" s="38" t="str">
        <x:v>https://en.wikipedia.org/wiki/Satay</x:v>
      </x:c>
      <x:c r="D57" s="38" t="str">
        <x:v>encyclopedia-reference</x:v>
      </x:c>
      <x:c r="E57" s="38" t="str">
        <x:v>Initial source for Indonesian origins, skewered grilled meat, and regional serving variations.</x:v>
      </x:c>
      <x:c r="F57" s="75" t="b">
        <x:v>0</x:v>
      </x:c>
    </x:row>
    <x:row r="58">
      <x:c r="A58" s="38" t="str">
        <x:v>laksa</x:v>
      </x:c>
      <x:c r="B58" s="38" t="str">
        <x:v>Wikipedia — Laksa</x:v>
      </x:c>
      <x:c r="C58" s="38" t="str">
        <x:v>https://en.wikipedia.org/wiki/Laksa</x:v>
      </x:c>
      <x:c r="D58" s="38" t="str">
        <x:v>encyclopedia-reference</x:v>
      </x:c>
      <x:c r="E58" s="38" t="str">
        <x:v>Initial source for Malaysian/Singaporean association, noodle-soup structure, and major coconut/sour broth styles.</x:v>
      </x:c>
      <x:c r="F58" s="75" t="b">
        <x:v>0</x:v>
      </x:c>
    </x:row>
    <x:row r="59">
      <x:c r="A59" s="38" t="str">
        <x:v>banh-mi</x:v>
      </x:c>
      <x:c r="B59" s="38" t="str">
        <x:v>Wikipedia — Bánh mì</x:v>
      </x:c>
      <x:c r="C59" s="38" t="str">
        <x:v>https://en.wikipedia.org/wiki/B%C3%A1nh_m%C3%AC</x:v>
      </x:c>
      <x:c r="D59" s="38" t="str">
        <x:v>encyclopedia-reference</x:v>
      </x:c>
      <x:c r="E59" s="38" t="str">
        <x:v>Initial source for Vietnamese identity, baguette format, common fillings, pickles, herbs, and regional history.</x:v>
      </x:c>
      <x:c r="F59" s="75" t="b">
        <x:v>0</x:v>
      </x:c>
    </x:row>
    <x:row r="60">
      <x:c r="A60" s="38" t="str">
        <x:v>sinigang</x:v>
      </x:c>
      <x:c r="B60" s="38" t="str">
        <x:v>Wikipedia — Sinigang</x:v>
      </x:c>
      <x:c r="C60" s="38" t="str">
        <x:v>https://en.wikipedia.org/wiki/Sinigang</x:v>
      </x:c>
      <x:c r="D60" s="38" t="str">
        <x:v>encyclopedia-reference</x:v>
      </x:c>
      <x:c r="E60" s="38" t="str">
        <x:v>Initial source for Filipino identity, sour-broth profile, common proteins, vegetables, and souring agents.</x:v>
      </x:c>
      <x:c r="F60" s="75" t="b">
        <x:v>0</x:v>
      </x:c>
    </x:row>
    <x:row r="61">
      <x:c r="A61" s="38" t="str">
        <x:v>gyoza</x:v>
      </x:c>
      <x:c r="B61" s="38" t="str">
        <x:v>Wikipedia — Jiaozi</x:v>
      </x:c>
      <x:c r="C61" s="38" t="str">
        <x:v>https://en.wikipedia.org/wiki/Jiaozi</x:v>
      </x:c>
      <x:c r="D61" s="38" t="str">
        <x:v>encyclopedia-reference</x:v>
      </x:c>
      <x:c r="E61" s="38" t="str">
        <x:v>Initial source for dumpling structure and the Japanese gyoza variant; stronger Japan-specific sourcing is still needed.</x:v>
      </x:c>
      <x:c r="F61" s="75" t="b">
        <x:v>0</x:v>
      </x:c>
    </x:row>
    <x:row r="62">
      <x:c r="A62" s="38" t="str">
        <x:v>tonkatsu</x:v>
      </x:c>
      <x:c r="B62" s="38" t="str">
        <x:v>Wikipedia — Tonkatsu</x:v>
      </x:c>
      <x:c r="C62" s="38" t="str">
        <x:v>https://en.wikipedia.org/wiki/Tonkatsu</x:v>
      </x:c>
      <x:c r="D62" s="38" t="str">
        <x:v>encyclopedia-reference</x:v>
      </x:c>
      <x:c r="E62" s="38" t="str">
        <x:v>Initial source for Japanese identity, breaded pork cutlet preparation, and common accompaniments.</x:v>
      </x:c>
      <x:c r="F62" s="75" t="b">
        <x:v>0</x:v>
      </x:c>
    </x:row>
    <x:row r="63">
      <x:c r="A63" s="38" t="str">
        <x:v>congee</x:v>
      </x:c>
      <x:c r="B63" s="38" t="str">
        <x:v>Wikipedia — Congee</x:v>
      </x:c>
      <x:c r="C63" s="38" t="str">
        <x:v>https://en.wikipedia.org/wiki/Congee</x:v>
      </x:c>
      <x:c r="D63" s="38" t="str">
        <x:v>encyclopedia-reference</x:v>
      </x:c>
      <x:c r="E63" s="38" t="str">
        <x:v>Initial source for rice-porridge preparation, Chinese forms, and wider Asian distribution.</x:v>
      </x:c>
      <x:c r="F63" s="75" t="b">
        <x:v>0</x:v>
      </x:c>
    </x:row>
    <x:row r="64">
      <x:c r="A64" s="38" t="str">
        <x:v>samosa</x:v>
      </x:c>
      <x:c r="B64" s="38" t="str">
        <x:v>Wikipedia — Samosa</x:v>
      </x:c>
      <x:c r="C64" s="38" t="str">
        <x:v>https://en.wikipedia.org/wiki/Samosa</x:v>
      </x:c>
      <x:c r="D64" s="38" t="str">
        <x:v>encyclopedia-reference</x:v>
      </x:c>
      <x:c r="E64" s="38" t="str">
        <x:v>Initial source for filled-pastry structure, common South Asian forms, fillings, and cooking methods.</x:v>
      </x:c>
      <x:c r="F64" s="75" t="b">
        <x:v>0</x:v>
      </x:c>
    </x:row>
    <x:row r="65">
      <x:c r="A65" s="38" t="str">
        <x:v>tandoori-chicken</x:v>
      </x:c>
      <x:c r="B65" s="38" t="str">
        <x:v>Wikipedia — Tandoori chicken</x:v>
      </x:c>
      <x:c r="C65" s="38" t="str">
        <x:v>https://en.wikipedia.org/wiki/Tandoori_chicken</x:v>
      </x:c>
      <x:c r="D65" s="38" t="str">
        <x:v>encyclopedia-reference</x:v>
      </x:c>
      <x:c r="E65" s="38" t="str">
        <x:v>Initial source for South Asian identity, yogurt-spice marinade, tandoor cooking, and high-heat roasting.</x:v>
      </x:c>
      <x:c r="F65" s="75" t="b">
        <x:v>0</x:v>
      </x:c>
    </x:row>
    <x:row r="66">
      <x:c r="A66" s="38" t="str">
        <x:v>idiyappam</x:v>
      </x:c>
      <x:c r="B66" s="38" t="str">
        <x:v>Wikipedia — Idiyappam</x:v>
      </x:c>
      <x:c r="C66" s="38" t="str">
        <x:v>https://en.wikipedia.org/wiki/Idiyappam</x:v>
      </x:c>
      <x:c r="D66" s="38" t="str">
        <x:v>encyclopedia-reference</x:v>
      </x:c>
      <x:c r="E66" s="38" t="str">
        <x:v>Initial source for rice-flour noodle preparation, steaming method, Sri Lankan/South Indian use, and common accompaniments.</x:v>
      </x:c>
      <x:c r="F66" s="75" t="b">
        <x:v>0</x:v>
      </x:c>
    </x:row>
    <x:row r="67">
      <x:c r="A67" s="38" t="str">
        <x:v>falafel</x:v>
      </x:c>
      <x:c r="B67" s="38" t="str">
        <x:v>Wikipedia — Falafel</x:v>
      </x:c>
      <x:c r="C67" s="38" t="str">
        <x:v>https://en.wikipedia.org/wiki/Falafel</x:v>
      </x:c>
      <x:c r="D67" s="38" t="str">
        <x:v>encyclopedia-reference</x:v>
      </x:c>
      <x:c r="E67" s="38" t="str">
        <x:v>Initial source for legume base, herb-spice seasoning, frying method, and widespread Middle Eastern service.</x:v>
      </x:c>
      <x:c r="F67" s="75" t="b">
        <x:v>0</x:v>
      </x:c>
    </x:row>
    <x:row r="68">
      <x:c r="A68" s="38" t="str">
        <x:v>kabab-koobideh</x:v>
      </x:c>
      <x:c r="B68" s="38" t="str">
        <x:v>Wikipedia — Kabab koobideh</x:v>
      </x:c>
      <x:c r="C68" s="38" t="str">
        <x:v>https://en.wikipedia.org/wiki/Kabab_koobideh</x:v>
      </x:c>
      <x:c r="D68" s="38" t="str">
        <x:v>encyclopedia-reference</x:v>
      </x:c>
      <x:c r="E68" s="38" t="str">
        <x:v>Initial source for Iranian identity, ground-meat preparation, onion seasoning, skewering, and grilling.</x:v>
      </x:c>
      <x:c r="F68" s="75" t="b">
        <x:v>0</x:v>
      </x:c>
    </x:row>
    <x:row r="69">
      <x:c r="A69" s="38" t="str">
        <x:v>mujadara</x:v>
      </x:c>
      <x:c r="B69" s="38" t="str">
        <x:v>Wikipedia — Mujaddara</x:v>
      </x:c>
      <x:c r="C69" s="38" t="str">
        <x:v>https://en.wikipedia.org/wiki/Mujaddara</x:v>
      </x:c>
      <x:c r="D69" s="38" t="str">
        <x:v>encyclopedia-reference</x:v>
      </x:c>
      <x:c r="E69" s="38" t="str">
        <x:v>Initial source for Levantine distribution, lentil-and-grain base, and browned-onion preparation.</x:v>
      </x:c>
      <x:c r="F69" s="75" t="b">
        <x:v>0</x:v>
      </x:c>
    </x:row>
    <x:row r="70">
      <x:c r="A70" s="38" t="str">
        <x:v>bunny-chow</x:v>
      </x:c>
      <x:c r="B70" s="38" t="str">
        <x:v>Wikipedia — Bunny chow</x:v>
      </x:c>
      <x:c r="C70" s="38" t="str">
        <x:v>https://en.wikipedia.org/wiki/Bunny_chow</x:v>
      </x:c>
      <x:c r="D70" s="38" t="str">
        <x:v>encyclopedia-reference</x:v>
      </x:c>
      <x:c r="E70" s="38" t="str">
        <x:v>Initial source for Durban/South African identity, hollowed-bread format, and curry filling.</x:v>
      </x:c>
      <x:c r="F70" s="75" t="b">
        <x:v>0</x:v>
      </x:c>
    </x:row>
    <x:row r="71">
      <x:c r="A71" s="38" t="str">
        <x:v>bobotie</x:v>
      </x:c>
      <x:c r="B71" s="38" t="str">
        <x:v>Wikipedia — Bobotie</x:v>
      </x:c>
      <x:c r="C71" s="38" t="str">
        <x:v>https://en.wikipedia.org/wiki/Bobotie</x:v>
      </x:c>
      <x:c r="D71" s="38" t="str">
        <x:v>encyclopedia-reference</x:v>
      </x:c>
      <x:c r="E71" s="38" t="str">
        <x:v>Initial source for South African identity, minced-meat base, sweet-spice elements, and egg topping.</x:v>
      </x:c>
      <x:c r="F71" s="75" t="b">
        <x:v>0</x:v>
      </x:c>
    </x:row>
    <x:row r="72">
      <x:c r="A72" s="38" t="str">
        <x:v>egusi-soup</x:v>
      </x:c>
      <x:c r="B72" s="38" t="str">
        <x:v>Wikipedia — Egusi soup</x:v>
      </x:c>
      <x:c r="C72" s="38" t="str">
        <x:v>https://en.wikipedia.org/wiki/Egusi_soup</x:v>
      </x:c>
      <x:c r="D72" s="38" t="str">
        <x:v>encyclopedia-reference</x:v>
      </x:c>
      <x:c r="E72" s="38" t="str">
        <x:v>Initial source for egusi-seed base, West African/Nigerian context, common greens and proteins, and soup preparation.</x:v>
      </x:c>
      <x:c r="F72" s="75" t="b">
        <x:v>0</x:v>
      </x:c>
    </x:row>
    <x:row r="73">
      <x:c r="A73" s="38" t="str">
        <x:v>risotto</x:v>
      </x:c>
      <x:c r="B73" s="38" t="str">
        <x:v>Wikipedia — Risotto</x:v>
      </x:c>
      <x:c r="C73" s="38" t="str">
        <x:v>https://en.wikipedia.org/wiki/Risotto</x:v>
      </x:c>
      <x:c r="D73" s="38" t="str">
        <x:v>encyclopedia-reference</x:v>
      </x:c>
      <x:c r="E73" s="38" t="str">
        <x:v>Initial source for Italian identity, short-grain rice, gradual stock addition, and creamy cooking technique.</x:v>
      </x:c>
      <x:c r="F73" s="75" t="b">
        <x:v>0</x:v>
      </x:c>
    </x:row>
    <x:row r="74">
      <x:c r="A74" s="38" t="str">
        <x:v>arancini</x:v>
      </x:c>
      <x:c r="B74" s="38" t="str">
        <x:v>Wikipedia — Arancini</x:v>
      </x:c>
      <x:c r="C74" s="38" t="str">
        <x:v>https://en.wikipedia.org/wiki/Arancini</x:v>
      </x:c>
      <x:c r="D74" s="38" t="str">
        <x:v>encyclopedia-reference</x:v>
      </x:c>
      <x:c r="E74" s="38" t="str">
        <x:v>Initial source for Sicilian identity, rice-ball format, common fillings, breading, and frying.</x:v>
      </x:c>
      <x:c r="F74" s="75" t="b">
        <x:v>0</x:v>
      </x:c>
    </x:row>
    <x:row r="75">
      <x:c r="A75" s="38" t="str">
        <x:v>schnitzel</x:v>
      </x:c>
      <x:c r="B75" s="38" t="str">
        <x:v>Wikipedia — Schnitzel</x:v>
      </x:c>
      <x:c r="C75" s="38" t="str">
        <x:v>https://en.wikipedia.org/wiki/Schnitzel</x:v>
      </x:c>
      <x:c r="D75" s="38" t="str">
        <x:v>encyclopedia-reference</x:v>
      </x:c>
      <x:c r="E75" s="38" t="str">
        <x:v>Initial source for breaded-cutlet preparation and Austrian Wiener schnitzel tradition.</x:v>
      </x:c>
      <x:c r="F75" s="75" t="b">
        <x:v>0</x:v>
      </x:c>
    </x:row>
    <x:row r="76">
      <x:c r="A76" s="38" t="str">
        <x:v>empanadas</x:v>
      </x:c>
      <x:c r="B76" s="38" t="str">
        <x:v>Wikipedia — Empanada</x:v>
      </x:c>
      <x:c r="C76" s="38" t="str">
        <x:v>https://en.wikipedia.org/wiki/Empanada</x:v>
      </x:c>
      <x:c r="D76" s="38" t="str">
        <x:v>encyclopedia-reference</x:v>
      </x:c>
      <x:c r="E76" s="38" t="str">
        <x:v>Initial source for filled-pastry structure, Latin American distribution, and baked/fried preparations.</x:v>
      </x:c>
      <x:c r="F76" s="75" t="b">
        <x:v>0</x:v>
      </x:c>
    </x:row>
    <x:row r="77">
      <x:c r="A77" s="38" t="str">
        <x:v>feijoada</x:v>
      </x:c>
      <x:c r="B77" s="38" t="str">
        <x:v>Wikipedia — Feijoada</x:v>
      </x:c>
      <x:c r="C77" s="38" t="str">
        <x:v>https://en.wikipedia.org/wiki/Feijoada</x:v>
      </x:c>
      <x:c r="D77" s="38" t="str">
        <x:v>encyclopedia-reference</x:v>
      </x:c>
      <x:c r="E77" s="38" t="str">
        <x:v>Initial source for Brazilian feijoada, black beans, meats, slow cooking, and common side dishes.</x:v>
      </x:c>
      <x:c r="F77" s="75" t="b">
        <x:v>0</x:v>
      </x:c>
    </x:row>
    <x:row r="78">
      <x:c r="A78" s="38" t="str">
        <x:v>macaroni-and-cheese</x:v>
      </x:c>
      <x:c r="B78" s="38" t="str">
        <x:v>Wikipedia — Macaroni and cheese</x:v>
      </x:c>
      <x:c r="C78" s="38" t="str">
        <x:v>https://en.wikipedia.org/wiki/Macaroni_and_cheese</x:v>
      </x:c>
      <x:c r="D78" s="38" t="str">
        <x:v>encyclopedia-reference</x:v>
      </x:c>
      <x:c r="E78" s="38" t="str">
        <x:v>Initial source for macaroni-and-cheese preparation, cheese sauce, baked/stovetop forms, and historical context.</x:v>
      </x:c>
      <x:c r="F78" s="75" t="b">
        <x:v>0</x:v>
      </x:c>
    </x:row>
    <x:row r="79">
      <x:c r="A79" s="38" t="str">
        <x:v>pulled-pork-sandwich</x:v>
      </x:c>
      <x:c r="B79" s="38" t="str">
        <x:v>Wikipedia — Pulled pork</x:v>
      </x:c>
      <x:c r="C79" s="38" t="str">
        <x:v>https://en.wikipedia.org/wiki/Pulled_pork</x:v>
      </x:c>
      <x:c r="D79" s="38" t="str">
        <x:v>encyclopedia-reference</x:v>
      </x:c>
      <x:c r="E79" s="38" t="str">
        <x:v>Initial source for slow-cooked shredded pork and barbecue context; a sandwich-specific regional source should be added before approval.</x:v>
      </x:c>
      <x:c r="F79" s="75" t="b">
        <x:v>0</x:v>
      </x:c>
    </x:row>
    <x:row r="80">
      <x:c r="A80" s="38" t="str">
        <x:v>dandan-noodles</x:v>
      </x:c>
      <x:c r="B80" s="38" t="str">
        <x:v>Wikipedia — Dandan noodles</x:v>
      </x:c>
      <x:c r="C80" s="38" t="str">
        <x:v>https://en.wikipedia.org/wiki/Dandan_noodles</x:v>
      </x:c>
      <x:c r="D80" s="38" t="str">
        <x:v>encyclopedia-reference</x:v>
      </x:c>
      <x:c r="E80" s="38" t="str">
        <x:v>Initial source for Sichuan origin, wheat noodles, chile oil, Sichuan pepper, preserved vegetables, and dry/soup variations.</x:v>
      </x:c>
      <x:c r="F80" s="75" t="b">
        <x:v>0</x:v>
      </x:c>
    </x:row>
    <x:row r="81">
      <x:c r="A81" s="38" t="str">
        <x:v>hot-and-sour-soup</x:v>
      </x:c>
      <x:c r="B81" s="38" t="str">
        <x:v>Wikipedia — Hot and sour soup</x:v>
      </x:c>
      <x:c r="C81" s="38" t="str">
        <x:v>https://en.wikipedia.org/wiki/Hot_and_sour_soup</x:v>
      </x:c>
      <x:c r="D81" s="38" t="str">
        <x:v>encyclopedia-reference</x:v>
      </x:c>
      <x:c r="E81" s="38" t="str">
        <x:v>Initial source for Chinese identity, vinegar-and-pepper flavor structure, and common soup ingredients.</x:v>
      </x:c>
      <x:c r="F81" s="75" t="b">
        <x:v>0</x:v>
      </x:c>
    </x:row>
    <x:row r="82">
      <x:c r="A82" s="38" t="str">
        <x:v>gimbap</x:v>
      </x:c>
      <x:c r="B82" s="38" t="str">
        <x:v>Wikipedia — Gimbap</x:v>
      </x:c>
      <x:c r="C82" s="38" t="str">
        <x:v>https://en.wikipedia.org/wiki/Gimbap</x:v>
      </x:c>
      <x:c r="D82" s="38" t="str">
        <x:v>encyclopedia-reference</x:v>
      </x:c>
      <x:c r="E82" s="38" t="str">
        <x:v>Initial source for Korean identity, rice-and-seaweed structure, common fillings, and sliced roll format.</x:v>
      </x:c>
      <x:c r="F82" s="75" t="b">
        <x:v>0</x:v>
      </x:c>
    </x:row>
    <x:row r="83">
      <x:c r="A83" s="38" t="str">
        <x:v>nasi-lemak</x:v>
      </x:c>
      <x:c r="B83" s="38" t="str">
        <x:v>Wikipedia — Nasi lemak</x:v>
      </x:c>
      <x:c r="C83" s="38" t="str">
        <x:v>https://en.wikipedia.org/wiki/Nasi_lemak</x:v>
      </x:c>
      <x:c r="D83" s="38" t="str">
        <x:v>encyclopedia-reference</x:v>
      </x:c>
      <x:c r="E83" s="38" t="str">
        <x:v>Initial source for Malay origin, coconut rice, pandan, sambal, anchovies, cucumber, and common accompaniments.</x:v>
      </x:c>
      <x:c r="F83" s="75" t="b">
        <x:v>0</x:v>
      </x:c>
    </x:row>
    <x:row r="84">
      <x:c r="A84" s="38" t="str">
        <x:v>fried-lumpia</x:v>
      </x:c>
      <x:c r="B84" s="38" t="str">
        <x:v>Wikipedia — Lumpia</x:v>
      </x:c>
      <x:c r="C84" s="38" t="str">
        <x:v>https://en.wikipedia.org/wiki/Lumpia</x:v>
      </x:c>
      <x:c r="D84" s="38" t="str">
        <x:v>encyclopedia-reference</x:v>
      </x:c>
      <x:c r="E84" s="38" t="str">
        <x:v>Initial general Lumpia source; supports Filipino lumpia, thin wrappers, fried/fresh forms, and common fillings. Fried-specific verification still required before approval.</x:v>
      </x:c>
      <x:c r="F84" s="75" t="b">
        <x:v>0</x:v>
      </x:c>
    </x:row>
    <x:row r="85">
      <x:c r="A85" s="38" t="str">
        <x:v>ayam-bakar</x:v>
      </x:c>
      <x:c r="B85" s="38" t="str">
        <x:v>Wikipedia — Ayam bakar</x:v>
      </x:c>
      <x:c r="C85" s="38" t="str">
        <x:v>https://en.wikipedia.org/wiki/Ayam_bakar</x:v>
      </x:c>
      <x:c r="D85" s="38" t="str">
        <x:v>encyclopedia-reference</x:v>
      </x:c>
      <x:c r="E85" s="38" t="str">
        <x:v>Initial source for Indonesian/Malay identity, charcoal grilling, spice marinades, sweet-soy and spicy regional variations.</x:v>
      </x:c>
      <x:c r="F85" s="75" t="b">
        <x:v>0</x:v>
      </x:c>
    </x:row>
    <x:row r="86">
      <x:c r="A86" s="38" t="str">
        <x:v>rendang</x:v>
      </x:c>
      <x:c r="B86" s="38" t="str">
        <x:v>Wikipedia — Rendang</x:v>
      </x:c>
      <x:c r="C86" s="38" t="str">
        <x:v>https://en.wikipedia.org/wiki/Rendang</x:v>
      </x:c>
      <x:c r="D86" s="38" t="str">
        <x:v>encyclopedia-reference</x:v>
      </x:c>
      <x:c r="E86" s="38" t="str">
        <x:v>Initial source for Southeast Asian/Minangkabau-Malay context, meat, coconut milk, chile, spices, and reduction method.</x:v>
      </x:c>
      <x:c r="F86" s="75" t="b">
        <x:v>0</x:v>
      </x:c>
    </x:row>
    <x:row r="87">
      <x:c r="A87" s="38" t="str">
        <x:v>kottu-roti</x:v>
      </x:c>
      <x:c r="B87" s="38" t="str">
        <x:v>Wikipedia — Kottu</x:v>
      </x:c>
      <x:c r="C87" s="38" t="str">
        <x:v>https://en.wikipedia.org/wiki/Kottu</x:v>
      </x:c>
      <x:c r="D87" s="38" t="str">
        <x:v>encyclopedia-reference</x:v>
      </x:c>
      <x:c r="E87" s="38" t="str">
        <x:v>Initial source for Sri Lankan identity, chopped roti, griddle preparation, curry, vegetables, egg, and protein variations.</x:v>
      </x:c>
      <x:c r="F87" s="75" t="b">
        <x:v>0</x:v>
      </x:c>
    </x:row>
    <x:row r="88">
      <x:c r="A88" s="38" t="str">
        <x:v>nihari</x:v>
      </x:c>
      <x:c r="B88" s="38" t="str">
        <x:v>Wikipedia — Nihari</x:v>
      </x:c>
      <x:c r="C88" s="38" t="str">
        <x:v>https://en.wikipedia.org/wiki/Nihari</x:v>
      </x:c>
      <x:c r="D88" s="38" t="str">
        <x:v>encyclopedia-reference</x:v>
      </x:c>
      <x:c r="E88" s="38" t="str">
        <x:v>Initial source for South Asian origins, slow-cooked meat, spices, serving traditions, and regional popularity.</x:v>
      </x:c>
      <x:c r="F88" s="75" t="b">
        <x:v>0</x:v>
      </x:c>
    </x:row>
    <x:row r="89">
      <x:c r="A89" s="38" t="str">
        <x:v>seekh-kebab</x:v>
      </x:c>
      <x:c r="B89" s="38" t="str">
        <x:v>Wikipedia — Seekh kebab</x:v>
      </x:c>
      <x:c r="C89" s="38" t="str">
        <x:v>https://en.wikipedia.org/wiki/Seekh_kebab</x:v>
      </x:c>
      <x:c r="D89" s="38" t="str">
        <x:v>encyclopedia-reference</x:v>
      </x:c>
      <x:c r="E89" s="38" t="str">
        <x:v>Initial source for South Asian distribution, minced meat, spices, skewering, grilling, and common accompaniments.</x:v>
      </x:c>
      <x:c r="F89" s="75" t="b">
        <x:v>0</x:v>
      </x:c>
    </x:row>
    <x:row r="90">
      <x:c r="A90" s="38" t="str">
        <x:v>thukpa</x:v>
      </x:c>
      <x:c r="B90" s="38" t="str">
        <x:v>Wikipedia — Thukpa</x:v>
      </x:c>
      <x:c r="C90" s="38" t="str">
        <x:v>https://en.wikipedia.org/wiki/Thukpa</x:v>
      </x:c>
      <x:c r="D90" s="38" t="str">
        <x:v>encyclopedia-reference</x:v>
      </x:c>
      <x:c r="E90" s="38" t="str">
        <x:v>Initial source for Tibetan/Nepalese identity, noodle soup structure, vegetarian and meat variations, and common garnishes.</x:v>
      </x:c>
      <x:c r="F90" s="75" t="b">
        <x:v>0</x:v>
      </x:c>
    </x:row>
    <x:row r="91">
      <x:c r="A91" s="38" t="str">
        <x:v>kibbeh</x:v>
      </x:c>
      <x:c r="B91" s="38" t="str">
        <x:v>Wikipedia — Kibbeh</x:v>
      </x:c>
      <x:c r="C91" s="38" t="str">
        <x:v>https://en.wikipedia.org/wiki/Kibbeh</x:v>
      </x:c>
      <x:c r="D91" s="38" t="str">
        <x:v>encyclopedia-reference</x:v>
      </x:c>
      <x:c r="E91" s="38" t="str">
        <x:v>Initial source for Levantine/Arab distribution, ground meat, bulgur, spices, and fried/baked/grilled/raw forms.</x:v>
      </x:c>
      <x:c r="F91" s="75" t="b">
        <x:v>0</x:v>
      </x:c>
    </x:row>
    <x:row r="92">
      <x:c r="A92" s="38" t="str">
        <x:v>reshteh-polow</x:v>
      </x:c>
      <x:c r="B92" s="38" t="str">
        <x:v>Wikipedia — Reshteh</x:v>
      </x:c>
      <x:c r="C92" s="38" t="str">
        <x:v>https://en.wikipedia.org/wiki/Reshteh</x:v>
      </x:c>
      <x:c r="D92" s="38" t="str">
        <x:v>encyclopedia-reference</x:v>
      </x:c>
      <x:c r="E92" s="38" t="str">
        <x:v>Initial source for Persian reshteh noodles and their use in reshteh polow, including browning noodles before adding them to rice.</x:v>
      </x:c>
      <x:c r="F92" s="75" t="b">
        <x:v>0</x:v>
      </x:c>
    </x:row>
    <x:row r="93">
      <x:c r="A93" s="38" t="str">
        <x:v>fesenjan</x:v>
      </x:c>
      <x:c r="B93" s="38" t="str">
        <x:v>Wikipedia — Fesenjān</x:v>
      </x:c>
      <x:c r="C93" s="38" t="str">
        <x:v>https://en.wikipedia.org/wiki/Fesenj%C4%81n</x:v>
      </x:c>
      <x:c r="D93" s="38" t="str">
        <x:v>encyclopedia-reference</x:v>
      </x:c>
      <x:c r="E93" s="38" t="str">
        <x:v>Initial source for Iranian identity, walnuts, pomegranate, poultry/meat variations, and sweet-sour stew profile.</x:v>
      </x:c>
      <x:c r="F93" s="75" t="b">
        <x:v>0</x:v>
      </x:c>
    </x:row>
    <x:row r="94">
      <x:c r="A94" s="38" t="str">
        <x:v>akara</x:v>
      </x:c>
      <x:c r="B94" s="38" t="str">
        <x:v>Wikipedia — Akara</x:v>
      </x:c>
      <x:c r="C94" s="38" t="str">
        <x:v>https://en.wikipedia.org/wiki/Akara</x:v>
      </x:c>
      <x:c r="D94" s="38" t="str">
        <x:v>encyclopedia-reference</x:v>
      </x:c>
      <x:c r="E94" s="38" t="str">
        <x:v>Initial source for Yoruba/West African origins, bean batter, onion and pepper seasoning, and deep-fried preparation.</x:v>
      </x:c>
      <x:c r="F94" s="75" t="b">
        <x:v>0</x:v>
      </x:c>
    </x:row>
    <x:row r="95">
      <x:c r="A95" s="38" t="str">
        <x:v>waakye</x:v>
      </x:c>
      <x:c r="B95" s="38" t="str">
        <x:v>Wikipedia — Waakye</x:v>
      </x:c>
      <x:c r="C95" s="38" t="str">
        <x:v>https://en.wikipedia.org/wiki/Waakye</x:v>
      </x:c>
      <x:c r="D95" s="38" t="str">
        <x:v>encyclopedia-reference</x:v>
      </x:c>
      <x:c r="E95" s="38" t="str">
        <x:v>Initial source for Ghanaian identity, rice-and-bean preparation, sorghum leaves, and common accompaniments.</x:v>
      </x:c>
      <x:c r="F95" s="75" t="b">
        <x:v>0</x:v>
      </x:c>
    </x:row>
    <x:row r="96">
      <x:c r="A96" s="38" t="str">
        <x:v>maafe</x:v>
      </x:c>
      <x:c r="B96" s="38" t="str">
        <x:v>Wikipedia — Peanut stew</x:v>
      </x:c>
      <x:c r="C96" s="38" t="str">
        <x:v>https://en.wikipedia.org/wiki/Peanut_stew</x:v>
      </x:c>
      <x:c r="D96" s="38" t="str">
        <x:v>encyclopedia-reference</x:v>
      </x:c>
      <x:c r="E96" s="38" t="str">
        <x:v>Initial source for maafe/groundnut stew, Senegal and West African distribution, peanuts, tomatoes, aromatics, vegetables, and meat variations.</x:v>
      </x:c>
      <x:c r="F96" s="75" t="b">
        <x:v>0</x:v>
      </x:c>
    </x:row>
    <x:row r="97">
      <x:c r="A97" s="38" t="str">
        <x:v>cacio-e-pepe</x:v>
      </x:c>
      <x:c r="B97" s="38" t="str">
        <x:v>Wikipedia — Cacio e pepe</x:v>
      </x:c>
      <x:c r="C97" s="38" t="str">
        <x:v>https://en.wikipedia.org/wiki/Cacio_e_pepe</x:v>
      </x:c>
      <x:c r="D97" s="38" t="str">
        <x:v>encyclopedia-reference</x:v>
      </x:c>
      <x:c r="E97" s="38" t="str">
        <x:v>Initial source for Lazio origin, pasta, Pecorino Romano, black pepper, and emulsified sauce technique.</x:v>
      </x:c>
      <x:c r="F97" s="75" t="b">
        <x:v>0</x:v>
      </x:c>
    </x:row>
    <x:row r="98">
      <x:c r="A98" s="38" t="str">
        <x:v>spaetzle</x:v>
      </x:c>
      <x:c r="B98" s="38" t="str">
        <x:v>Wikipedia — Spätzle</x:v>
      </x:c>
      <x:c r="C98" s="38" t="str">
        <x:v>https://en.wikipedia.org/wiki/Sp%C3%A4tzle</x:v>
      </x:c>
      <x:c r="D98" s="38" t="str">
        <x:v>encyclopedia-reference</x:v>
      </x:c>
      <x:c r="E98" s="38" t="str">
        <x:v>Initial source for Swabian/Alsatian association, egg-noodle composition, irregular shape, cooking method, and common serving styles.</x:v>
      </x:c>
      <x:c r="F98" s="75" t="b">
        <x:v>0</x:v>
      </x:c>
    </x:row>
    <x:row r="99">
      <x:c r="A99" s="38" t="str">
        <x:v>tortellini-in-brodo</x:v>
      </x:c>
      <x:c r="B99" s="38" t="str">
        <x:v>Wikipedia — Tortellini</x:v>
      </x:c>
      <x:c r="C99" s="38" t="str">
        <x:v>https://en.wikipedia.org/wiki/Tortellini</x:v>
      </x:c>
      <x:c r="D99" s="38" t="str">
        <x:v>encyclopedia-reference</x:v>
      </x:c>
      <x:c r="E99" s="38" t="str">
        <x:v>Initial source for Emilia-Romagna tortellini, traditional meat-and-cheese filling, and service in capon broth.</x:v>
      </x:c>
      <x:c r="F99" s="75" t="b">
        <x:v>0</x:v>
      </x:c>
    </x:row>
    <x:row r="100">
      <x:c r="A100" s="38" t="str">
        <x:v>tallarines-verdes</x:v>
      </x:c>
      <x:c r="B100" s="38" t="str">
        <x:v>TVPerú — Tallarines Verdes</x:v>
      </x:c>
      <x:c r="C100" s="38" t="str">
        <x:v>https://www.tvperu.gob.pe/novedades/con-sabor-a-peru/te-ensenamos-a-preparar-tallarines-verdes-con-bistec-apanado</x:v>
      </x:c>
      <x:c r="D100" s="38" t="str">
        <x:v>culinary-reference</x:v>
      </x:c>
      <x:c r="E100" s="38" t="str">
        <x:v>Initial source for Peruvian culinary context, Italian-pesto influence, pasta, basil, spinach, fresh cheese, milk, and common preparation.</x:v>
      </x:c>
      <x:c r="F100" s="75" t="b">
        <x:v>0</x:v>
      </x:c>
    </x:row>
    <x:row r="101">
      <x:c r="A101" s="38" t="str">
        <x:v>patacones</x:v>
      </x:c>
      <x:c r="B101" s="38" t="str">
        <x:v>Wikipedia — Tostones</x:v>
      </x:c>
      <x:c r="C101" s="38" t="str">
        <x:v>https://en.wikipedia.org/wiki/Tostones</x:v>
      </x:c>
      <x:c r="D101" s="38" t="str">
        <x:v>encyclopedia-reference</x:v>
      </x:c>
      <x:c r="E101" s="38" t="str">
        <x:v>Initial source for twice-fried green plantains, patacón/tostón naming, and Latin American/Caribbean distribution.</x:v>
      </x:c>
      <x:c r="F101" s="75" t="b">
        <x:v>0</x:v>
      </x:c>
    </x:row>
    <x:row r="102">
      <x:c r="A102" s="38" t="str">
        <x:v>lomo-saltado</x:v>
      </x:c>
      <x:c r="B102" s="38" t="str">
        <x:v>Wikipedia — Lomo saltado</x:v>
      </x:c>
      <x:c r="C102" s="38" t="str">
        <x:v>https://en.wikipedia.org/wiki/Lomo_saltado</x:v>
      </x:c>
      <x:c r="D102" s="38" t="str">
        <x:v>encyclopedia-reference</x:v>
      </x:c>
      <x:c r="E102" s="38" t="str">
        <x:v>Initial source for Peruvian/chifa context, stir-fried beef, onions, tomatoes, soy seasoning, fries, and rice service.</x:v>
      </x:c>
      <x:c r="F102" s="75" t="b">
        <x:v>0</x:v>
      </x:c>
    </x:row>
    <x:row r="103">
      <x:c r="A103" s="38" t="str">
        <x:v>new-england-clam-chowder</x:v>
      </x:c>
      <x:c r="B103" s="38" t="str">
        <x:v>Wikipedia — Clam chowder</x:v>
      </x:c>
      <x:c r="C103" s="38" t="str">
        <x:v>https://en.wikipedia.org/wiki/Clam_chowder</x:v>
      </x:c>
      <x:c r="D103" s="38" t="str">
        <x:v>encyclopedia-reference</x:v>
      </x:c>
      <x:c r="E103" s="38" t="str">
        <x:v>Initial source for New England clam chowder, cream or milk base, clams, potatoes, onions, salt pork, and regional distinctions.</x:v>
      </x:c>
      <x:c r="F103" s="75" t="b">
        <x:v>0</x:v>
      </x:c>
    </x:row>
    <x:row r="104">
      <x:c r="A104" s="38" t="str">
        <x:v>buffalo-wings</x:v>
      </x:c>
      <x:c r="B104" s="38" t="str">
        <x:v>Wikipedia — Buffalo wing</x:v>
      </x:c>
      <x:c r="C104" s="38" t="str">
        <x:v>https://en.wikipedia.org/wiki/Buffalo_wing</x:v>
      </x:c>
      <x:c r="D104" s="38" t="str">
        <x:v>encyclopedia-reference</x:v>
      </x:c>
      <x:c r="E104" s="38" t="str">
        <x:v>Initial source for Buffalo, New York origin, fried chicken wings, cayenne hot sauce, butter, and traditional accompaniments.</x:v>
      </x:c>
      <x:c r="F104" s="75" t="b">
        <x:v>0</x:v>
      </x:c>
    </x:row>
    <x:row r="105">
      <x:c r="A105" s="38" t="str">
        <x:v>zhajiangmian</x:v>
      </x:c>
      <x:c r="B105" s="38" t="str">
        <x:v>Wikipedia — Zhajiangmian</x:v>
      </x:c>
      <x:c r="C105" s="38" t="str">
        <x:v>https://en.wikipedia.org/wiki/Zhajiangmian</x:v>
      </x:c>
      <x:c r="D105" s="38" t="str">
        <x:v>encyclopedia-reference</x:v>
      </x:c>
      <x:c r="E105" s="38" t="str">
        <x:v>Initial source for northern Chinese origin, wheat noodles, fermented-bean sauce, minced meat, and fresh garnishes.</x:v>
      </x:c>
      <x:c r="F105" s="75" t="b">
        <x:v>0</x:v>
      </x:c>
    </x:row>
    <x:row r="106">
      <x:c r="A106" s="38" t="str">
        <x:v>omurice</x:v>
      </x:c>
      <x:c r="B106" s="38" t="str">
        <x:v>Wikipedia — Omurice</x:v>
      </x:c>
      <x:c r="C106" s="38" t="str">
        <x:v>https://en.wikipedia.org/wiki/Omurice</x:v>
      </x:c>
      <x:c r="D106" s="38" t="str">
        <x:v>encyclopedia-reference</x:v>
      </x:c>
      <x:c r="E106" s="38" t="str">
        <x:v>Initial source for Japanese origin, omelette-and-fried-rice structure, chicken, and ketchup-based versions.</x:v>
      </x:c>
      <x:c r="F106" s="75" t="b">
        <x:v>0</x:v>
      </x:c>
    </x:row>
    <x:row r="107">
      <x:c r="A107" s="38" t="str">
        <x:v>sukiyaki</x:v>
      </x:c>
      <x:c r="B107" s="38" t="str">
        <x:v>Wikipedia — Sukiyaki</x:v>
      </x:c>
      <x:c r="C107" s="38" t="str">
        <x:v>https://en.wikipedia.org/wiki/Sukiyaki</x:v>
      </x:c>
      <x:c r="D107" s="38" t="str">
        <x:v>encyclopedia-reference</x:v>
      </x:c>
      <x:c r="E107" s="38" t="str">
        <x:v>Initial source for Japanese identity, hot-pot preparation, beef, tofu, vegetables, noodles, and sweet-savory seasoning.</x:v>
      </x:c>
      <x:c r="F107" s="75" t="b">
        <x:v>0</x:v>
      </x:c>
    </x:row>
    <x:row r="108">
      <x:c r="A108" s="38" t="str">
        <x:v>hainanese-chicken-rice</x:v>
      </x:c>
      <x:c r="B108" s="38" t="str">
        <x:v>Wikipedia — Hainanese chicken rice</x:v>
      </x:c>
      <x:c r="C108" s="38" t="str">
        <x:v>https://en.wikipedia.org/wiki/Hainanese_chicken_rice</x:v>
      </x:c>
      <x:c r="D108" s="38" t="str">
        <x:v>encyclopedia-reference</x:v>
      </x:c>
      <x:c r="E108" s="38" t="str">
        <x:v>Initial source for Southeast Asian distribution, poached chicken, seasoned rice, cucumber, and chile-sauce service.</x:v>
      </x:c>
      <x:c r="F108" s="75" t="b">
        <x:v>0</x:v>
      </x:c>
    </x:row>
    <x:row r="109">
      <x:c r="A109" s="38" t="str">
        <x:v>mohinga</x:v>
      </x:c>
      <x:c r="B109" s="38" t="str">
        <x:v>Wikipedia — Mohinga</x:v>
      </x:c>
      <x:c r="C109" s="38" t="str">
        <x:v>https://en.wikipedia.org/wiki/Mohinga</x:v>
      </x:c>
      <x:c r="D109" s="38" t="str">
        <x:v>encyclopedia-reference</x:v>
      </x:c>
      <x:c r="E109" s="38" t="str">
        <x:v>Initial source for Myanmar identity, rice noodles, fish broth, lemongrass, aromatics, breakfast context, and common garnishes.</x:v>
      </x:c>
      <x:c r="F109" s="75" t="b">
        <x:v>0</x:v>
      </x:c>
    </x:row>
    <x:row r="110">
      <x:c r="A110" s="38" t="str">
        <x:v>pulao</x:v>
      </x:c>
      <x:c r="B110" s="38" t="str">
        <x:v>Wikipedia — Pilaf</x:v>
      </x:c>
      <x:c r="C110" s="38" t="str">
        <x:v>https://en.wikipedia.org/wiki/Pilaf</x:v>
      </x:c>
      <x:c r="D110" s="38" t="str">
        <x:v>encyclopedia-reference</x:v>
      </x:c>
      <x:c r="E110" s="38" t="str">
        <x:v>Initial source for pilaf/pulao terminology, rice cooked in seasoned stock, spices, and common meat/vegetable variations.</x:v>
      </x:c>
      <x:c r="F110" s="75" t="b">
        <x:v>0</x:v>
      </x:c>
    </x:row>
    <x:row r="111">
      <x:c r="A111" s="38" t="str">
        <x:v>momo</x:v>
      </x:c>
      <x:c r="B111" s="38" t="str">
        <x:v>Wikipedia — Momo</x:v>
      </x:c>
      <x:c r="C111" s="38" t="str">
        <x:v>https://en.wikipedia.org/wiki/Momo_(food)</x:v>
      </x:c>
      <x:c r="D111" s="38" t="str">
        <x:v>encyclopedia-reference</x:v>
      </x:c>
      <x:c r="E111" s="38" t="str">
        <x:v>Initial source for Tibetan/Nepali identity, wheat wrappers, meat/vegetable fillings, steaming, frying, and sauce/soup variations.</x:v>
      </x:c>
      <x:c r="F111" s="75" t="b">
        <x:v>0</x:v>
      </x:c>
    </x:row>
    <x:row r="112">
      <x:c r="A112" s="38" t="str">
        <x:v>rasam</x:v>
      </x:c>
      <x:c r="B112" s="38" t="str">
        <x:v>Wikipedia — Rasam</x:v>
      </x:c>
      <x:c r="C112" s="38" t="str">
        <x:v>https://en.wikipedia.org/wiki/Rasam_(dish)</x:v>
      </x:c>
      <x:c r="D112" s="38" t="str">
        <x:v>encyclopedia-reference</x:v>
      </x:c>
      <x:c r="E112" s="38" t="str">
        <x:v>Initial source for South Indian identity, soup-like consistency, tamarind/tomato/lentil ingredients, spices, and rice service.</x:v>
      </x:c>
      <x:c r="F112" s="75" t="b">
        <x:v>0</x:v>
      </x:c>
    </x:row>
    <x:row r="113">
      <x:c r="A113" s="38" t="str">
        <x:v>shorbat-adas</x:v>
      </x:c>
      <x:c r="B113" s="38" t="str">
        <x:v>Wikipedia — Lentil soup</x:v>
      </x:c>
      <x:c r="C113" s="38" t="str">
        <x:v>https://en.wikipedia.org/wiki/Lentil_soup</x:v>
      </x:c>
      <x:c r="D113" s="38" t="str">
        <x:v>encyclopedia-reference</x:v>
      </x:c>
      <x:c r="E113" s="38" t="str">
        <x:v>Initial source for lentil-soup structure and the shurbat al-adas name within Middle Eastern traditions.</x:v>
      </x:c>
      <x:c r="F113" s="75" t="b">
        <x:v>0</x:v>
      </x:c>
    </x:row>
    <x:row r="114">
      <x:c r="A114" s="38" t="str">
        <x:v>maqluba</x:v>
      </x:c>
      <x:c r="B114" s="38" t="str">
        <x:v>Wikipedia — Maqluba</x:v>
      </x:c>
      <x:c r="C114" s="38" t="str">
        <x:v>https://en.wikipedia.org/wiki/Maqluba</x:v>
      </x:c>
      <x:c r="D114" s="38" t="str">
        <x:v>encyclopedia-reference</x:v>
      </x:c>
      <x:c r="E114" s="38" t="str">
        <x:v>Initial source for Levantine distribution, rice, meat, vegetables, pot layering, and upside-down serving method.</x:v>
      </x:c>
      <x:c r="F114" s="75" t="b">
        <x:v>0</x:v>
      </x:c>
    </x:row>
    <x:row r="115">
      <x:c r="A115" s="38" t="str">
        <x:v>manakish</x:v>
      </x:c>
      <x:c r="B115" s="38" t="str">
        <x:v>Wikipedia — Manakish</x:v>
      </x:c>
      <x:c r="C115" s="38" t="str">
        <x:v>https://en.wikipedia.org/wiki/Manakish</x:v>
      </x:c>
      <x:c r="D115" s="38" t="str">
        <x:v>encyclopedia-reference</x:v>
      </x:c>
      <x:c r="E115" s="38" t="str">
        <x:v>Initial source for Levantine identity, flatbread format, za'atar/cheese/meat toppings, and breakfast/lunch service.</x:v>
      </x:c>
      <x:c r="F115" s="75" t="b">
        <x:v>0</x:v>
      </x:c>
    </x:row>
    <x:row r="116">
      <x:c r="A116" s="38" t="str">
        <x:v>rechta</x:v>
      </x:c>
      <x:c r="B116" s="38" t="str">
        <x:v>Wikipedia — Rechta</x:v>
      </x:c>
      <x:c r="C116" s="38" t="str">
        <x:v>https://en.wikipedia.org/wiki/Rechta</x:v>
      </x:c>
      <x:c r="D116" s="38" t="str">
        <x:v>encyclopedia-reference</x:v>
      </x:c>
      <x:c r="E116" s="38" t="str">
        <x:v>Initial source for Algerian identity, handmade pasta strips, Algiers association, chicken, chickpeas, turnips, and regional variations.</x:v>
      </x:c>
      <x:c r="F116" s="75" t="b">
        <x:v>0</x:v>
      </x:c>
    </x:row>
    <x:row r="117">
      <x:c r="A117" s="38" t="str">
        <x:v>yassa</x:v>
      </x:c>
      <x:c r="B117" s="38" t="str">
        <x:v>Wikipedia — Yassa</x:v>
      </x:c>
      <x:c r="C117" s="38" t="str">
        <x:v>https://en.wikipedia.org/wiki/Yassa_(food)</x:v>
      </x:c>
      <x:c r="D117" s="38" t="str">
        <x:v>encyclopedia-reference</x:v>
      </x:c>
      <x:c r="E117" s="38" t="str">
        <x:v>Initial source for Senegalese origin, poultry/fish versions, onions, citrus, mustard, chile, marination, and simmering.</x:v>
      </x:c>
      <x:c r="F117" s="75" t="b">
        <x:v>0</x:v>
      </x:c>
    </x:row>
    <x:row r="118">
      <x:c r="A118" s="38" t="str">
        <x:v>bissara</x:v>
      </x:c>
      <x:c r="B118" s="38" t="str">
        <x:v>Wikipedia — Bissara</x:v>
      </x:c>
      <x:c r="C118" s="38" t="str">
        <x:v>https://en.wikipedia.org/wiki/Bissara</x:v>
      </x:c>
      <x:c r="D118" s="38" t="str">
        <x:v>encyclopedia-reference</x:v>
      </x:c>
      <x:c r="E118" s="38" t="str">
        <x:v>Initial source for Egyptian/Moroccan identity, fava beans, aromatics, blended texture, and common olive-oil/spice toppings.</x:v>
      </x:c>
      <x:c r="F118" s="75" t="b">
        <x:v>0</x:v>
      </x:c>
    </x:row>
    <x:row r="119">
      <x:c r="A119" s="38" t="str">
        <x:v>shisa-nyama</x:v>
      </x:c>
      <x:c r="B119" s="38" t="str">
        <x:v>Wikipedia — Shisa nyama</x:v>
      </x:c>
      <x:c r="C119" s="38" t="str">
        <x:v>https://en.wikipedia.org/wiki/Shisa_nyama</x:v>
      </x:c>
      <x:c r="D119" s="38" t="str">
        <x:v>encyclopedia-reference</x:v>
      </x:c>
      <x:c r="E119" s="38" t="str">
        <x:v>Initial source for South African township barbecue tradition, charcoal-grilled meats, communal setting, and common meat choices.</x:v>
      </x:c>
      <x:c r="F119" s="75" t="b">
        <x:v>0</x:v>
      </x:c>
    </x:row>
    <x:row r="120">
      <x:c r="A120" s="38" t="str">
        <x:v>fideua</x:v>
      </x:c>
      <x:c r="B120" s="38" t="str">
        <x:v>Wikipedia — Fideuà</x:v>
      </x:c>
      <x:c r="C120" s="38" t="str">
        <x:v>https://en.wikipedia.org/wiki/Fideu%C3%A0</x:v>
      </x:c>
      <x:c r="D120" s="38" t="str">
        <x:v>encyclopedia-reference</x:v>
      </x:c>
      <x:c r="E120" s="38" t="str">
        <x:v>Initial source for Valencian origin, noodle-for-rice substitution, paella-style pan cooking, stock, and seafood.</x:v>
      </x:c>
      <x:c r="F120" s="75" t="b">
        <x:v>0</x:v>
      </x:c>
    </x:row>
    <x:row r="121">
      <x:c r="A121" s="38" t="str">
        <x:v>borscht</x:v>
      </x:c>
      <x:c r="B121" s="38" t="str">
        <x:v>Wikipedia — Borscht</x:v>
      </x:c>
      <x:c r="C121" s="38" t="str">
        <x:v>https://en.wikipedia.org/wiki/Borscht</x:v>
      </x:c>
      <x:c r="D121" s="38" t="str">
        <x:v>encyclopedia-reference</x:v>
      </x:c>
      <x:c r="E121" s="38" t="str">
        <x:v>Initial source for Ukrainian borscht tradition, beet-based soup, sour profile, vegetables, optional meat, and common garnishes.</x:v>
      </x:c>
      <x:c r="F121" s="75" t="b">
        <x:v>0</x:v>
      </x:c>
    </x:row>
    <x:row r="122">
      <x:c r="A122" s="38" t="str">
        <x:v>pirozhki</x:v>
      </x:c>
      <x:c r="B122" s="38" t="str">
        <x:v>Wikipedia — Pirozhki</x:v>
      </x:c>
      <x:c r="C122" s="38" t="str">
        <x:v>https://en.wikipedia.org/wiki/Pirozhki</x:v>
      </x:c>
      <x:c r="D122" s="38" t="str">
        <x:v>encyclopedia-reference</x:v>
      </x:c>
      <x:c r="E122" s="38" t="str">
        <x:v>Initial source for small filled-bun form, yeast dough, savory/sweet fillings, and baked/fried preparation.</x:v>
      </x:c>
      <x:c r="F122" s="75" t="b">
        <x:v>0</x:v>
      </x:c>
    </x:row>
    <x:row r="123">
      <x:c r="A123" s="38" t="str">
        <x:v>arroz-chaufa</x:v>
      </x:c>
      <x:c r="B123" s="38" t="str">
        <x:v>Wikipedia — Arroz chaufa</x:v>
      </x:c>
      <x:c r="C123" s="38" t="str">
        <x:v>https://en.wikipedia.org/wiki/Arroz_chaufa</x:v>
      </x:c>
      <x:c r="D123" s="38" t="str">
        <x:v>encyclopedia-reference</x:v>
      </x:c>
      <x:c r="E123" s="38" t="str">
        <x:v>Initial source for Peruvian chifa identity, fried rice, egg, soy sauce, scallions, high-heat cooking, and protein variations.</x:v>
      </x:c>
      <x:c r="F123" s="75" t="b">
        <x:v>0</x:v>
      </x:c>
    </x:row>
    <x:row r="124">
      <x:c r="A124" s="38" t="str">
        <x:v>pupusa</x:v>
      </x:c>
      <x:c r="B124" s="38" t="str">
        <x:v>Wikipedia — Pupusa</x:v>
      </x:c>
      <x:c r="C124" s="38" t="str">
        <x:v>https://en.wikipedia.org/wiki/Pupusa</x:v>
      </x:c>
      <x:c r="D124" s="38" t="str">
        <x:v>encyclopedia-reference</x:v>
      </x:c>
      <x:c r="E124" s="38" t="str">
        <x:v>Initial source for El Salvador/Honduras association, corn/rice dough, common fillings, griddle cooking, curtido, and tomato sauce.</x:v>
      </x:c>
      <x:c r="F124" s="75" t="b">
        <x:v>0</x:v>
      </x:c>
    </x:row>
    <x:row r="125">
      <x:c r="A125" s="38" t="str">
        <x:v>moqueca</x:v>
      </x:c>
      <x:c r="B125" s="38" t="str">
        <x:v>Wikipedia — Moqueca</x:v>
      </x:c>
      <x:c r="C125" s="38" t="str">
        <x:v>https://en.wikipedia.org/wiki/Moqueca</x:v>
      </x:c>
      <x:c r="D125" s="38" t="str">
        <x:v>encyclopedia-reference</x:v>
      </x:c>
      <x:c r="E125" s="38" t="str">
        <x:v>Initial source for Brazilian origin, seafood, tomatoes, onions, lime, coriander, and coconut/palm-oil regional variations.</x:v>
      </x:c>
      <x:c r="F125" s="75" t="b">
        <x:v>0</x:v>
      </x:c>
    </x:row>
    <x:row r="126">
      <x:c r="A126" s="38" t="str">
        <x:v>churrasco</x:v>
      </x:c>
      <x:c r="B126" s="38" t="str">
        <x:v>Wikipedia — Churrasco</x:v>
      </x:c>
      <x:c r="C126" s="38" t="str">
        <x:v>https://en.wikipedia.org/wiki/Churrasco</x:v>
      </x:c>
      <x:c r="D126" s="38" t="str">
        <x:v>encyclopedia-reference</x:v>
      </x:c>
      <x:c r="E126" s="38" t="str">
        <x:v>Initial source for Brazilian/South American grilled-meat traditions, charcoal/wood cooking, skewers, and common meat types.</x:v>
      </x:c>
      <x:c r="F126" s="75" t="b">
        <x:v>0</x:v>
      </x:c>
    </x:row>
    <x:row r="127">
      <x:c r="A127" s="38" t="str">
        <x:v>philly-cheesesteak</x:v>
      </x:c>
      <x:c r="B127" s="38" t="str">
        <x:v>Wikipedia — Cheesesteak</x:v>
      </x:c>
      <x:c r="C127" s="38" t="str">
        <x:v>https://en.wikipedia.org/wiki/Cheesesteak</x:v>
      </x:c>
      <x:c r="D127" s="38" t="str">
        <x:v>encyclopedia-reference</x:v>
      </x:c>
      <x:c r="E127" s="38" t="str">
        <x:v>Initial source for Philadelphia origin, thin-sliced beef, melted cheese, long roll, and common variations.</x:v>
      </x:c>
      <x:c r="F127" s="75" t="b">
        <x:v>0</x:v>
      </x:c>
    </x:row>
    <x:row r="128">
      <x:c r="A128" s="38" t="str">
        <x:v>chili-con-carne</x:v>
      </x:c>
      <x:c r="B128" s="38" t="str">
        <x:v>Wikipedia — Chili con carne</x:v>
      </x:c>
      <x:c r="C128" s="38" t="str">
        <x:v>https://en.wikipedia.org/wiki/Chili_con_carne</x:v>
      </x:c>
      <x:c r="D128" s="38" t="str">
        <x:v>encyclopedia-reference</x:v>
      </x:c>
      <x:c r="E128" s="38" t="str">
        <x:v>Initial source for American/Tex-Mex context, meat, chile peppers, stew preparation, and regional ingredient variations.</x:v>
      </x:c>
      <x:c r="F128" s="75" t="b">
        <x:v>0</x:v>
      </x:c>
    </x:row>
    <x:row r="129">
      <x:c r="A129" s="38" t="str">
        <x:v>baked-ziti</x:v>
      </x:c>
      <x:c r="B129" s="38" t="str">
        <x:v>Wikipedia — Baked ziti</x:v>
      </x:c>
      <x:c r="C129" s="38" t="str">
        <x:v>https://en.wikipedia.org/wiki/Baked_ziti</x:v>
      </x:c>
      <x:c r="D129" s="38" t="str">
        <x:v>encyclopedia-reference</x:v>
      </x:c>
      <x:c r="E129" s="38" t="str">
        <x:v>Initial source for Italian-American context, ziti pasta, tomato sauce, cheeses, baking, and optional meat.</x:v>
      </x:c>
      <x:c r="F129" s="75" t="b">
        <x:v>0</x:v>
      </x:c>
    </x:row>
    <x:row r="130">
      <x:c r="A130" s="38" t="str">
        <x:v>mapo-tofu</x:v>
      </x:c>
      <x:c r="B130" s="38" t="str">
        <x:v>Wikipedia — Mapo tofu</x:v>
      </x:c>
      <x:c r="C130" s="38" t="str">
        <x:v>https://en.wikipedia.org/wiki/Mapo_tofu</x:v>
      </x:c>
      <x:c r="D130" s="38" t="str">
        <x:v>encyclopedia-reference</x:v>
      </x:c>
      <x:c r="E130" s="38" t="str">
        <x:v>Initial source for Sichuan origin, tofu, minced meat, fermented bean paste, chile, and Sichuan pepper.</x:v>
      </x:c>
      <x:c r="F130" s="75" t="b">
        <x:v>0</x:v>
      </x:c>
    </x:row>
    <x:row r="131">
      <x:c r="A131" s="38" t="str">
        <x:v>japchae</x:v>
      </x:c>
      <x:c r="B131" s="38" t="str">
        <x:v>Wikipedia — Japchae</x:v>
      </x:c>
      <x:c r="C131" s="38" t="str">
        <x:v>https://en.wikipedia.org/wiki/Japchae</x:v>
      </x:c>
      <x:c r="D131" s="38" t="str">
        <x:v>encyclopedia-reference</x:v>
      </x:c>
      <x:c r="E131" s="38" t="str">
        <x:v>Initial source for Korean identity, glass noodles, vegetables, soy-sesame seasoning, and common meat/mushroom additions.</x:v>
      </x:c>
      <x:c r="F131" s="75" t="b">
        <x:v>0</x:v>
      </x:c>
    </x:row>
    <x:row r="132">
      <x:c r="A132" s="38" t="str">
        <x:v>onigiri</x:v>
      </x:c>
      <x:c r="B132" s="38" t="str">
        <x:v>Wikipedia — Onigiri</x:v>
      </x:c>
      <x:c r="C132" s="38" t="str">
        <x:v>https://en.wikipedia.org/wiki/Onigiri</x:v>
      </x:c>
      <x:c r="D132" s="38" t="str">
        <x:v>encyclopedia-reference</x:v>
      </x:c>
      <x:c r="E132" s="38" t="str">
        <x:v>Initial source for Japanese identity, rice-ball form, nori, common fillings, and portable meal context.</x:v>
      </x:c>
      <x:c r="F132" s="75" t="b">
        <x:v>0</x:v>
      </x:c>
    </x:row>
    <x:row r="133">
      <x:c r="A133" s="38" t="str">
        <x:v>goi-cuon</x:v>
      </x:c>
      <x:c r="B133" s="38" t="str">
        <x:v>Wikipedia — Gỏi cuốn</x:v>
      </x:c>
      <x:c r="C133" s="38" t="str">
        <x:v>https://en.wikipedia.org/wiki/G%E1%BB%8Fi_cu%E1%BB%91n</x:v>
      </x:c>
      <x:c r="D133" s="38" t="str">
        <x:v>encyclopedia-reference</x:v>
      </x:c>
      <x:c r="E133" s="38" t="str">
        <x:v>Initial source for Vietnamese identity, rice paper, vermicelli, herbs, vegetables, shrimp/pork, and cold service.</x:v>
      </x:c>
      <x:c r="F133" s="75" t="b">
        <x:v>0</x:v>
      </x:c>
    </x:row>
    <x:row r="134">
      <x:c r="A134" s="38" t="str">
        <x:v>banh-xeo</x:v>
      </x:c>
      <x:c r="B134" s="38" t="str">
        <x:v>Wikipedia — Bánh xèo</x:v>
      </x:c>
      <x:c r="C134" s="38" t="str">
        <x:v>https://en.wikipedia.org/wiki/B%C3%A1nh_x%C3%A8o</x:v>
      </x:c>
      <x:c r="D134" s="38" t="str">
        <x:v>encyclopedia-reference</x:v>
      </x:c>
      <x:c r="E134" s="38" t="str">
        <x:v>Initial source for Vietnamese identity, rice-flour and turmeric batter, crisp cooking, common fillings, and herb service.</x:v>
      </x:c>
      <x:c r="F134" s="75" t="b">
        <x:v>0</x:v>
      </x:c>
    </x:row>
    <x:row r="135">
      <x:c r="A135" s="38" t="str">
        <x:v>ikan-bakar</x:v>
      </x:c>
      <x:c r="B135" s="38" t="str">
        <x:v>Wikipedia — Ikan bakar</x:v>
      </x:c>
      <x:c r="C135" s="38" t="str">
        <x:v>https://en.wikipedia.org/wiki/Ikan_bakar</x:v>
      </x:c>
      <x:c r="D135" s="38" t="str">
        <x:v>encyclopedia-reference</x:v>
      </x:c>
      <x:c r="E135" s="38" t="str">
        <x:v>Initial source for Indonesian/Malay identity, grilled fish or seafood, spice seasoning, chile, and charcoal cooking.</x:v>
      </x:c>
      <x:c r="F135" s="75" t="b">
        <x:v>0</x:v>
      </x:c>
    </x:row>
    <x:row r="136">
      <x:c r="A136" s="38" t="str">
        <x:v>khichdi</x:v>
      </x:c>
      <x:c r="B136" s="38" t="str">
        <x:v>Wikipedia — Khichdi</x:v>
      </x:c>
      <x:c r="C136" s="38" t="str">
        <x:v>https://en.wikipedia.org/wiki/Khichdi</x:v>
      </x:c>
      <x:c r="D136" s="38" t="str">
        <x:v>encyclopedia-reference</x:v>
      </x:c>
      <x:c r="E136" s="38" t="str">
        <x:v>Initial source for South Asian distribution, rice-and-lentil base, soft texture, and regional variations.</x:v>
      </x:c>
      <x:c r="F136" s="75" t="b">
        <x:v>0</x:v>
      </x:c>
    </x:row>
    <x:row r="137">
      <x:c r="A137" s="38" t="str">
        <x:v>kathi-roll</x:v>
      </x:c>
      <x:c r="B137" s="38" t="str">
        <x:v>Wikipedia — Kati roll</x:v>
      </x:c>
      <x:c r="C137" s="38" t="str">
        <x:v>https://en.wikipedia.org/wiki/Kati_roll</x:v>
      </x:c>
      <x:c r="D137" s="38" t="str">
        <x:v>encyclopedia-reference</x:v>
      </x:c>
      <x:c r="E137" s="38" t="str">
        <x:v>Initial source for Kolkata origin, flatbread wrap, kebab/egg/paneer fillings, onions, sauces, and street-food context.</x:v>
      </x:c>
      <x:c r="F137" s="75" t="b">
        <x:v>0</x:v>
      </x:c>
    </x:row>
    <x:row r="138">
      <x:c r="A138" s="38" t="str">
        <x:v>korma</x:v>
      </x:c>
      <x:c r="B138" s="38" t="str">
        <x:v>Wikipedia — Korma</x:v>
      </x:c>
      <x:c r="C138" s="38" t="str">
        <x:v>https://en.wikipedia.org/wiki/Korma</x:v>
      </x:c>
      <x:c r="D138" s="38" t="str">
        <x:v>encyclopedia-reference</x:v>
      </x:c>
      <x:c r="E138" s="38" t="str">
        <x:v>Initial source for South Asian origin, braising technique, meat/vegetable versions, spices, yogurt, cream, nuts, and seeds.</x:v>
      </x:c>
      <x:c r="F138" s="75" t="b">
        <x:v>0</x:v>
      </x:c>
    </x:row>
    <x:row r="139">
      <x:c r="A139" s="38" t="str">
        <x:v>musakhan</x:v>
      </x:c>
      <x:c r="B139" s="38" t="str">
        <x:v>Wikipedia — Musakhan</x:v>
      </x:c>
      <x:c r="C139" s="38" t="str">
        <x:v>https://en.wikipedia.org/wiki/Musakhan</x:v>
      </x:c>
      <x:c r="D139" s="38" t="str">
        <x:v>encyclopedia-reference</x:v>
      </x:c>
      <x:c r="E139" s="38" t="str">
        <x:v>Initial source for Palestinian identity, roasted chicken, sumac, taboon bread, onions, olive oil, and serving style.</x:v>
      </x:c>
      <x:c r="F139" s="75" t="b">
        <x:v>0</x:v>
      </x:c>
    </x:row>
    <x:row r="140">
      <x:c r="A140" s="38" t="str">
        <x:v>harees</x:v>
      </x:c>
      <x:c r="B140" s="38" t="str">
        <x:v>Wikipedia — Harees</x:v>
      </x:c>
      <x:c r="C140" s="38" t="str">
        <x:v>https://en.wikipedia.org/wiki/Harees</x:v>
      </x:c>
      <x:c r="D140" s="38" t="str">
        <x:v>encyclopedia-reference</x:v>
      </x:c>
      <x:c r="E140" s="38" t="str">
        <x:v>Initial source for Arab/Gulf distribution, wheat-and-meat composition, slow cooking, porridge texture, and Ramadan context.</x:v>
      </x:c>
      <x:c r="F140" s="75" t="b">
        <x:v>0</x:v>
      </x:c>
    </x:row>
    <x:row r="141">
      <x:c r="A141" s="38" t="str">
        <x:v>lahmacun</x:v>
      </x:c>
      <x:c r="B141" s="38" t="str">
        <x:v>Wikipedia — Lahmacun</x:v>
      </x:c>
      <x:c r="C141" s="38" t="str">
        <x:v>https://en.wikipedia.org/wiki/Lahmacun</x:v>
      </x:c>
      <x:c r="D141" s="38" t="str">
        <x:v>encyclopedia-reference</x:v>
      </x:c>
      <x:c r="E141" s="38" t="str">
        <x:v>Initial source for flatbread structure, minced-meat topping, vegetables, herbs, baking, and rolled/folded service.</x:v>
      </x:c>
      <x:c r="F141" s="75" t="b">
        <x:v>0</x:v>
      </x:c>
    </x:row>
    <x:row r="142">
      <x:c r="A142" s="38" t="str">
        <x:v>ful-medames</x:v>
      </x:c>
      <x:c r="B142" s="38" t="str">
        <x:v>Wikipedia — Ful medames</x:v>
      </x:c>
      <x:c r="C142" s="38" t="str">
        <x:v>https://en.wikipedia.org/wiki/Ful_medames</x:v>
      </x:c>
      <x:c r="D142" s="38" t="str">
        <x:v>encyclopedia-reference</x:v>
      </x:c>
      <x:c r="E142" s="38" t="str">
        <x:v>Initial source for Egyptian identity, fava beans, olive oil, lemon, cumin, bread, and common accompaniments.</x:v>
      </x:c>
      <x:c r="F142" s="75" t="b">
        <x:v>0</x:v>
      </x:c>
    </x:row>
    <x:row r="143">
      <x:c r="A143" s="38" t="str">
        <x:v>nyama-choma</x:v>
      </x:c>
      <x:c r="B143" s="38" t="str">
        <x:v>Wikipedia — Nyama choma</x:v>
      </x:c>
      <x:c r="C143" s="38" t="str">
        <x:v>https://en.wikipedia.org/wiki/Nyama_choma</x:v>
      </x:c>
      <x:c r="D143" s="38" t="str">
        <x:v>encyclopedia-reference</x:v>
      </x:c>
      <x:c r="E143" s="38" t="str">
        <x:v>Initial source for Kenyan/East African identity, roasted or grilled meat, common goat/beef choices, and fresh accompaniments.</x:v>
      </x:c>
      <x:c r="F143" s="75" t="b">
        <x:v>0</x:v>
      </x:c>
    </x:row>
    <x:row r="144">
      <x:c r="A144" s="38" t="str">
        <x:v>rolex</x:v>
      </x:c>
      <x:c r="B144" s="38" t="str">
        <x:v>Wikipedia — Rolex (food)</x:v>
      </x:c>
      <x:c r="C144" s="38" t="str">
        <x:v>https://en.wikipedia.org/wiki/Rolex_(food)</x:v>
      </x:c>
      <x:c r="D144" s="38" t="str">
        <x:v>encyclopedia-reference</x:v>
      </x:c>
      <x:c r="E144" s="38" t="str">
        <x:v>Initial source for Ugandan origin, chapati-and-egg format, vegetables, street-food context, and name origin.</x:v>
      </x:c>
      <x:c r="F144" s="75" t="b">
        <x:v>0</x:v>
      </x:c>
    </x:row>
    <x:row r="145">
      <x:c r="A145" s="38" t="str">
        <x:v>couscous</x:v>
      </x:c>
      <x:c r="B145" s="38" t="str">
        <x:v>Wikipedia — Couscous</x:v>
      </x:c>
      <x:c r="C145" s="38" t="str">
        <x:v>https://en.wikipedia.org/wiki/Couscous</x:v>
      </x:c>
      <x:c r="D145" s="38" t="str">
        <x:v>encyclopedia-reference</x:v>
      </x:c>
      <x:c r="E145" s="38" t="str">
        <x:v>Initial source for North African identity, semolina granules, steaming, and common vegetable/meat/broth service.</x:v>
      </x:c>
      <x:c r="F145" s="75" t="b">
        <x:v>0</x:v>
      </x:c>
    </x:row>
    <x:row r="146">
      <x:c r="A146" s="38" t="str">
        <x:v>fish-and-chips</x:v>
      </x:c>
      <x:c r="B146" s="38" t="str">
        <x:v>Wikipedia — Fish and chips</x:v>
      </x:c>
      <x:c r="C146" s="38" t="str">
        <x:v>https://en.wikipedia.org/wiki/Fish_and_chips</x:v>
      </x:c>
      <x:c r="D146" s="38" t="str">
        <x:v>encyclopedia-reference</x:v>
      </x:c>
      <x:c r="E146" s="38" t="str">
        <x:v>Initial source for British identity, battered fried fish, chips, and common accompaniments.</x:v>
      </x:c>
      <x:c r="F146" s="75" t="b">
        <x:v>0</x:v>
      </x:c>
    </x:row>
    <x:row r="147">
      <x:c r="A147" s="38" t="str">
        <x:v>moussaka</x:v>
      </x:c>
      <x:c r="B147" s="38" t="str">
        <x:v>Wikipedia — Moussaka</x:v>
      </x:c>
      <x:c r="C147" s="38" t="str">
        <x:v>https://en.wikipedia.org/wiki/Moussaka</x:v>
      </x:c>
      <x:c r="D147" s="38" t="str">
        <x:v>encyclopedia-reference</x:v>
      </x:c>
      <x:c r="E147" s="38" t="str">
        <x:v>Initial source for Greek and regional moussaka traditions, eggplant, meat sauce, creamy topping, and baked preparation.</x:v>
      </x:c>
      <x:c r="F147" s="75" t="b">
        <x:v>0</x:v>
      </x:c>
    </x:row>
    <x:row r="148">
      <x:c r="A148" s="38" t="str">
        <x:v>croque-monsieur</x:v>
      </x:c>
      <x:c r="B148" s="38" t="str">
        <x:v>Wikipedia — Croque monsieur</x:v>
      </x:c>
      <x:c r="C148" s="38" t="str">
        <x:v>https://en.wikipedia.org/wiki/Croque_monsieur</x:v>
      </x:c>
      <x:c r="D148" s="38" t="str">
        <x:v>encyclopedia-reference</x:v>
      </x:c>
      <x:c r="E148" s="38" t="str">
        <x:v>Initial source for French identity, ham-and-cheese sandwich structure, grilling/baking, and béchamel variations.</x:v>
      </x:c>
      <x:c r="F148" s="75" t="b">
        <x:v>0</x:v>
      </x:c>
    </x:row>
    <x:row r="149">
      <x:c r="A149" s="38" t="str">
        <x:v>aji-de-gallina</x:v>
      </x:c>
      <x:c r="B149" s="38" t="str">
        <x:v>Wikipedia — Ají de gallina</x:v>
      </x:c>
      <x:c r="C149" s="38" t="str">
        <x:v>https://en.wikipedia.org/wiki/Aj%C3%AD_de_gallina</x:v>
      </x:c>
      <x:c r="D149" s="38" t="str">
        <x:v>encyclopedia-reference</x:v>
      </x:c>
      <x:c r="E149" s="38" t="str">
        <x:v>Initial source for Peruvian identity, shredded chicken, ají amarillo, creamy sauce, bread/dairy/nuts, and common accompaniments.</x:v>
      </x:c>
      <x:c r="F149" s="75" t="b">
        <x:v>0</x:v>
      </x:c>
    </x:row>
    <x:row r="150">
      <x:c r="A150" s="38" t="str">
        <x:v>sopa-de-fideo</x:v>
      </x:c>
      <x:c r="B150" s="38" t="str">
        <x:v>Wikipedia — Fideo</x:v>
      </x:c>
      <x:c r="C150" s="38" t="str">
        <x:v>https://en.wikipedia.org/wiki/Fideo</x:v>
      </x:c>
      <x:c r="D150" s="38" t="str">
        <x:v>encyclopedia-reference</x:v>
      </x:c>
      <x:c r="E150" s="38" t="str">
        <x:v>Initial source for fideo noodles and their use in Mexican soup preparations; add a dedicated sopa de fideo source before approval.</x:v>
      </x:c>
      <x:c r="F150" s="75" t="b">
        <x:v>0</x:v>
      </x:c>
    </x:row>
    <x:row r="151">
      <x:c r="A151" s="38" t="str">
        <x:v>coxinha</x:v>
      </x:c>
      <x:c r="B151" s="38" t="str">
        <x:v>Wikipedia — Coxinha</x:v>
      </x:c>
      <x:c r="C151" s="38" t="str">
        <x:v>https://en.wikipedia.org/wiki/Coxinha</x:v>
      </x:c>
      <x:c r="D151" s="38" t="str">
        <x:v>encyclopedia-reference</x:v>
      </x:c>
      <x:c r="E151" s="38" t="str">
        <x:v>Initial source for Brazilian identity, shredded-chicken filling, dough shape, breading, and deep-frying.</x:v>
      </x:c>
      <x:c r="F151" s="75" t="b">
        <x:v>0</x:v>
      </x:c>
    </x:row>
    <x:row r="152">
      <x:c r="A152" s="38" t="str">
        <x:v>nashville-hot-chicken</x:v>
      </x:c>
      <x:c r="B152" s="38" t="str">
        <x:v>Wikipedia — Hot chicken</x:v>
      </x:c>
      <x:c r="C152" s="38" t="str">
        <x:v>https://en.wikipedia.org/wiki/Hot_chicken</x:v>
      </x:c>
      <x:c r="D152" s="38" t="str">
        <x:v>encyclopedia-reference</x:v>
      </x:c>
      <x:c r="E152" s="38" t="str">
        <x:v>Initial source for Nashville/Tennessee origin, fried chicken, cayenne seasoning, white bread, and pickles.</x:v>
      </x:c>
      <x:c r="F152" s="75" t="b">
        <x:v>0</x:v>
      </x:c>
    </x:row>
    <x:row r="153">
      <x:c r="A153" s="38" t="str">
        <x:v>reuben-sandwich</x:v>
      </x:c>
      <x:c r="B153" s="38" t="str">
        <x:v>Wikipedia — Reuben sandwich</x:v>
      </x:c>
      <x:c r="C153" s="38" t="str">
        <x:v>https://en.wikipedia.org/wiki/Reuben_sandwich</x:v>
      </x:c>
      <x:c r="D153" s="38" t="str">
        <x:v>encyclopedia-reference</x:v>
      </x:c>
      <x:c r="E153" s="38" t="str">
        <x:v>Initial source for American identity, corned beef, Swiss cheese, sauerkraut, dressing, rye bread, and griddled preparation.</x:v>
      </x:c>
      <x:c r="F153" s="75" t="b">
        <x:v>0</x:v>
      </x:c>
    </x:row>
    <x:row r="154">
      <x:c r="A154" s="38" t="str">
        <x:v>loco-moco</x:v>
      </x:c>
      <x:c r="B154" s="38" t="str">
        <x:v>Wikipedia — Loco moco</x:v>
      </x:c>
      <x:c r="C154" s="38" t="str">
        <x:v>https://en.wikipedia.org/wiki/Loco_moco</x:v>
      </x:c>
      <x:c r="D154" s="38" t="str">
        <x:v>encyclopedia-reference</x:v>
      </x:c>
      <x:c r="E154" s="38" t="str">
        <x:v>Initial source for Hawaii origin, rice, hamburger patty, fried egg, brown gravy, and common variations.</x:v>
      </x:c>
      <x:c r="F154" s="75" t="b">
        <x:v>0</x:v>
      </x:c>
    </x:row>
    <x:row r="155">
      <x:c r="A155" s="38" t="str">
        <x:v>oyakodon</x:v>
      </x:c>
      <x:c r="B155" s="38" t="str">
        <x:v>Wikipedia — Oyakodon</x:v>
      </x:c>
      <x:c r="C155" s="38" t="str">
        <x:v>https://en.wikipedia.org/wiki/Oyakodon</x:v>
      </x:c>
      <x:c r="D155" s="38" t="str">
        <x:v>encyclopedia-reference</x:v>
      </x:c>
      <x:c r="E155" s="38" t="str">
        <x:v>Initial source for Japanese identity, chicken-and-egg topping, onion, soy-based simmering liquid, and rice-bowl format.</x:v>
      </x:c>
      <x:c r="F155" s="75" t="b">
        <x:v>0</x:v>
      </x:c>
    </x:row>
    <x:row r="156">
      <x:c r="A156" s="38" t="str">
        <x:v>doenjang-jjigae</x:v>
      </x:c>
      <x:c r="B156" s="38" t="str">
        <x:v>Wikipedia — Doenjang-jjigae</x:v>
      </x:c>
      <x:c r="C156" s="38" t="str">
        <x:v>https://en.wikipedia.org/wiki/Doenjang-jjigae</x:v>
      </x:c>
      <x:c r="D156" s="38" t="str">
        <x:v>encyclopedia-reference</x:v>
      </x:c>
      <x:c r="E156" s="38" t="str">
        <x:v>Initial source for Korean identity, fermented soybean paste, tofu, vegetables, broth, and common meat/seafood additions.</x:v>
      </x:c>
      <x:c r="F156" s="75" t="b">
        <x:v>0</x:v>
      </x:c>
    </x:row>
    <x:row r="157">
      <x:c r="A157" s="38" t="str">
        <x:v>zongzi</x:v>
      </x:c>
      <x:c r="B157" s="38" t="str">
        <x:v>Wikipedia — Zongzi</x:v>
      </x:c>
      <x:c r="C157" s="38" t="str">
        <x:v>https://en.wikipedia.org/wiki/Zongzi</x:v>
      </x:c>
      <x:c r="D157" s="38" t="str">
        <x:v>encyclopedia-reference</x:v>
      </x:c>
      <x:c r="E157" s="38" t="str">
        <x:v>Initial source for Chinese identity, glutinous rice, leaf wrapping, boiling/steaming, and savory/sweet fillings.</x:v>
      </x:c>
      <x:c r="F157" s="75" t="b">
        <x:v>0</x:v>
      </x:c>
    </x:row>
    <x:row r="158">
      <x:c r="A158" s="38" t="str">
        <x:v>bai-sach-chrouk</x:v>
      </x:c>
      <x:c r="B158" s="38" t="str">
        <x:v>Wikipedia — Cambodian cuisine</x:v>
      </x:c>
      <x:c r="C158" s="38" t="str">
        <x:v>https://en.wikipedia.org/wiki/Cambodian_cuisine</x:v>
      </x:c>
      <x:c r="D158" s="38" t="str">
        <x:v>encyclopedia-reference</x:v>
      </x:c>
      <x:c r="E158" s="38" t="str">
        <x:v>Initial source for Cambodian cuisine context; add a dedicated bai sach chrouk culinary source before approval.</x:v>
      </x:c>
      <x:c r="F158" s="75" t="b">
        <x:v>0</x:v>
      </x:c>
    </x:row>
    <x:row r="159">
      <x:c r="A159" s="38" t="str">
        <x:v>kuy-teav</x:v>
      </x:c>
      <x:c r="B159" s="38" t="str">
        <x:v>Wikipedia — Kuyteav</x:v>
      </x:c>
      <x:c r="C159" s="38" t="str">
        <x:v>https://en.wikipedia.org/wiki/Kuyteav</x:v>
      </x:c>
      <x:c r="D159" s="38" t="str">
        <x:v>encyclopedia-reference</x:v>
      </x:c>
      <x:c r="E159" s="38" t="str">
        <x:v>Initial source for Cambodian identity, rice noodles, clear broth, herbs, bean sprouts, and common protein variations.</x:v>
      </x:c>
      <x:c r="F159" s="75" t="b">
        <x:v>0</x:v>
      </x:c>
    </x:row>
    <x:row r="160">
      <x:c r="A160" s="38" t="str">
        <x:v>fish-amok</x:v>
      </x:c>
      <x:c r="B160" s="38" t="str">
        <x:v>Wikipedia — Fish amok</x:v>
      </x:c>
      <x:c r="C160" s="38" t="str">
        <x:v>https://en.wikipedia.org/wiki/Fish_amok</x:v>
      </x:c>
      <x:c r="D160" s="38" t="str">
        <x:v>encyclopedia-reference</x:v>
      </x:c>
      <x:c r="E160" s="38" t="str">
        <x:v>Initial source for Cambodian identity, fish, coconut milk, kroeung, banana-leaf steaming, and custard-like texture.</x:v>
      </x:c>
      <x:c r="F160" s="75" t="b">
        <x:v>0</x:v>
      </x:c>
    </x:row>
    <x:row r="161">
      <x:c r="A161" s="38" t="str">
        <x:v>butter-chicken</x:v>
      </x:c>
      <x:c r="B161" s="38" t="str">
        <x:v>Wikipedia — Butter chicken</x:v>
      </x:c>
      <x:c r="C161" s="38" t="str">
        <x:v>https://en.wikipedia.org/wiki/Butter_chicken</x:v>
      </x:c>
      <x:c r="D161" s="38" t="str">
        <x:v>encyclopedia-reference</x:v>
      </x:c>
      <x:c r="E161" s="38" t="str">
        <x:v>Initial source for North Indian identity, chicken, tomato, butter, cream, spices, and sauce preparation.</x:v>
      </x:c>
      <x:c r="F161" s="75" t="b">
        <x:v>0</x:v>
      </x:c>
    </x:row>
    <x:row r="162">
      <x:c r="A162" s="38" t="str">
        <x:v>poha</x:v>
      </x:c>
      <x:c r="B162" s="38" t="str">
        <x:v>Wikipedia — Flattened rice</x:v>
      </x:c>
      <x:c r="C162" s="38" t="str">
        <x:v>https://en.wikipedia.org/wiki/Flattened_rice</x:v>
      </x:c>
      <x:c r="D162" s="38" t="str">
        <x:v>encyclopedia-reference</x:v>
      </x:c>
      <x:c r="E162" s="38" t="str">
        <x:v>Initial source for poha as flattened rice and common South Asian breakfast preparations; dedicated dish source still recommended.</x:v>
      </x:c>
      <x:c r="F162" s="75" t="b">
        <x:v>0</x:v>
      </x:c>
    </x:row>
    <x:row r="163">
      <x:c r="A163" s="38" t="str">
        <x:v>dal-dhokli</x:v>
      </x:c>
      <x:c r="B163" s="38" t="str">
        <x:v>Wikipedia — Dal dhokli</x:v>
      </x:c>
      <x:c r="C163" s="38" t="str">
        <x:v>https://en.wikipedia.org/wiki/Dal_dhokli</x:v>
      </x:c>
      <x:c r="D163" s="38" t="str">
        <x:v>encyclopedia-reference</x:v>
      </x:c>
      <x:c r="E163" s="38" t="str">
        <x:v>Initial source for Gujarati/Indian identity, wheat-dough pieces, lentil dal, simmering method, and regional flavor profile.</x:v>
      </x:c>
      <x:c r="F163" s="75" t="b">
        <x:v>0</x:v>
      </x:c>
    </x:row>
    <x:row r="164">
      <x:c r="A164" s="38" t="str">
        <x:v>manti</x:v>
      </x:c>
      <x:c r="B164" s="38" t="str">
        <x:v>Wikipedia — Manti (food)</x:v>
      </x:c>
      <x:c r="C164" s="38" t="str">
        <x:v>https://en.wikipedia.org/wiki/Manti_(food)</x:v>
      </x:c>
      <x:c r="D164" s="38" t="str">
        <x:v>encyclopedia-reference</x:v>
      </x:c>
      <x:c r="E164" s="38" t="str">
        <x:v>Initial source for Turkic/Central Asian dumpling traditions and Turkish meat-filled mantı with yogurt and seasoned butter.</x:v>
      </x:c>
      <x:c r="F164" s="75" t="b">
        <x:v>0</x:v>
      </x:c>
    </x:row>
    <x:row r="165">
      <x:c r="A165" s="38" t="str">
        <x:v>adana-kebab</x:v>
      </x:c>
      <x:c r="B165" s="38" t="str">
        <x:v>Wikipedia — Adana kebabı</x:v>
      </x:c>
      <x:c r="C165" s="38" t="str">
        <x:v>https://en.wikipedia.org/wiki/Adana_kebab%C4%B1</x:v>
      </x:c>
      <x:c r="D165" s="38" t="str">
        <x:v>encyclopedia-reference</x:v>
      </x:c>
      <x:c r="E165" s="38" t="str">
        <x:v>Initial source for Adana/Turkish identity, minced lamb or mutton, red pepper seasoning, wide skewers, and charcoal grilling.</x:v>
      </x:c>
      <x:c r="F165" s="75" t="b">
        <x:v>0</x:v>
      </x:c>
    </x:row>
    <x:row r="166">
      <x:c r="A166" s="38" t="str">
        <x:v>freekeh-pilaf</x:v>
      </x:c>
      <x:c r="B166" s="38" t="str">
        <x:v>Wikipedia — Freekeh</x:v>
      </x:c>
      <x:c r="C166" s="38" t="str">
        <x:v>https://en.wikipedia.org/wiki/Freekeh</x:v>
      </x:c>
      <x:c r="D166" s="38" t="str">
        <x:v>encyclopedia-reference</x:v>
      </x:c>
      <x:c r="E166" s="38" t="str">
        <x:v>Initial source for roasted green wheat, smoky processing, Levantine use, and pilaf-style preparations.</x:v>
      </x:c>
      <x:c r="F166" s="75" t="b">
        <x:v>0</x:v>
      </x:c>
    </x:row>
    <x:row r="167">
      <x:c r="A167" s="38" t="str">
        <x:v>sfiha</x:v>
      </x:c>
      <x:c r="B167" s="38" t="str">
        <x:v>Wikipedia — Sfiha</x:v>
      </x:c>
      <x:c r="C167" s="38" t="str">
        <x:v>https://en.wikipedia.org/wiki/Sfiha</x:v>
      </x:c>
      <x:c r="D167" s="38" t="str">
        <x:v>encyclopedia-reference</x:v>
      </x:c>
      <x:c r="E167" s="38" t="str">
        <x:v>Initial source for Levantine identity, open flatbread form, seasoned minced-meat topping, baking, and regional variations.</x:v>
      </x:c>
      <x:c r="F167" s="75" t="b">
        <x:v>0</x:v>
      </x:c>
    </x:row>
    <x:row r="168">
      <x:c r="A168" s="38" t="str">
        <x:v>baasto-iyo-suugo</x:v>
      </x:c>
      <x:c r="B168" s="38" t="str">
        <x:v>Wikipedia — Somali cuisine</x:v>
      </x:c>
      <x:c r="C168" s="38" t="str">
        <x:v>https://en.wikipedia.org/wiki/Somali_cuisine</x:v>
      </x:c>
      <x:c r="D168" s="38" t="str">
        <x:v>encyclopedia-reference</x:v>
      </x:c>
      <x:c r="E168" s="38" t="str">
        <x:v>Initial source for Somali pasta traditions, Italian influence, spiced sauce, and the common banana accompaniment.</x:v>
      </x:c>
      <x:c r="F168" s="75" t="b">
        <x:v>0</x:v>
      </x:c>
    </x:row>
    <x:row r="169">
      <x:c r="A169" s="38" t="str">
        <x:v>pastilla</x:v>
      </x:c>
      <x:c r="B169" s="38" t="str">
        <x:v>Wikipedia — Pastilla</x:v>
      </x:c>
      <x:c r="C169" s="38" t="str">
        <x:v>https://en.wikipedia.org/wiki/Pastilla</x:v>
      </x:c>
      <x:c r="D169" s="38" t="str">
        <x:v>encyclopedia-reference</x:v>
      </x:c>
      <x:c r="E169" s="38" t="str">
        <x:v>Initial source for Moroccan identity, thin pastry, poultry/seafood fillings, almonds, spices, and sweet-savory balance.</x:v>
      </x:c>
      <x:c r="F169" s="75" t="b">
        <x:v>0</x:v>
      </x:c>
    </x:row>
    <x:row r="170">
      <x:c r="A170" s="38" t="str">
        <x:v>moi-moi</x:v>
      </x:c>
      <x:c r="B170" s="38" t="str">
        <x:v>Wikipedia — Moin moin</x:v>
      </x:c>
      <x:c r="C170" s="38" t="str">
        <x:v>https://en.wikipedia.org/wiki/Moin_moin</x:v>
      </x:c>
      <x:c r="D170" s="38" t="str">
        <x:v>encyclopedia-reference</x:v>
      </x:c>
      <x:c r="E170" s="38" t="str">
        <x:v>Initial source for Nigerian identity, peeled-bean batter, peppers, onions, steaming, and optional egg/fish additions.</x:v>
      </x:c>
      <x:c r="F170" s="75" t="b">
        <x:v>0</x:v>
      </x:c>
    </x:row>
    <x:row r="171">
      <x:c r="A171" s="38" t="str">
        <x:v>attieke-fish</x:v>
      </x:c>
      <x:c r="B171" s="38" t="str">
        <x:v>Wikipedia — Attiéké</x:v>
      </x:c>
      <x:c r="C171" s="38" t="str">
        <x:v>https://en.wikipedia.org/wiki/Atti%C3%A9k%C3%A9</x:v>
      </x:c>
      <x:c r="D171" s="38" t="str">
        <x:v>encyclopedia-reference</x:v>
      </x:c>
      <x:c r="E171" s="38" t="str">
        <x:v>Initial source for Ivorian origin, fermented cassava granules, couscous-like texture, and common service with fish and fresh accompaniments.</x:v>
      </x:c>
      <x:c r="F171" s="75" t="b">
        <x:v>0</x:v>
      </x:c>
    </x:row>
    <x:row r="172">
      <x:c r="A172" s="38" t="str">
        <x:v>arroz-de-marisco</x:v>
      </x:c>
      <x:c r="B172" s="38" t="str">
        <x:v>Wikipedia — Portuguese cuisine</x:v>
      </x:c>
      <x:c r="C172" s="38" t="str">
        <x:v>https://en.wikipedia.org/wiki/Portuguese_cuisine</x:v>
      </x:c>
      <x:c r="D172" s="38" t="str">
        <x:v>encyclopedia-reference</x:v>
      </x:c>
      <x:c r="E172" s="38" t="str">
        <x:v>Initial source for Portuguese seafood-and-rice culinary context; add a dedicated arroz de marisco source before approval.</x:v>
      </x:c>
      <x:c r="F172" s="75" t="b">
        <x:v>0</x:v>
      </x:c>
    </x:row>
    <x:row r="173">
      <x:c r="A173" s="38" t="str">
        <x:v>arroz-negro</x:v>
      </x:c>
      <x:c r="B173" s="38" t="str">
        <x:v>Wikipedia — Arroz negro</x:v>
      </x:c>
      <x:c r="C173" s="38" t="str">
        <x:v>https://en.wikipedia.org/wiki/Arroz_negro</x:v>
      </x:c>
      <x:c r="D173" s="38" t="str">
        <x:v>encyclopedia-reference</x:v>
      </x:c>
      <x:c r="E173" s="38" t="str">
        <x:v>Initial source for Spanish Mediterranean identity, rice, squid/cuttlefish ink, seafood, and paella-style cooking.</x:v>
      </x:c>
      <x:c r="F173" s="75" t="b">
        <x:v>0</x:v>
      </x:c>
    </x:row>
    <x:row r="174">
      <x:c r="A174" s="38" t="str">
        <x:v>cevapi</x:v>
      </x:c>
      <x:c r="B174" s="38" t="str">
        <x:v>Wikipedia — Ćevapi</x:v>
      </x:c>
      <x:c r="C174" s="38" t="str">
        <x:v>https://en.wikipedia.org/wiki/%C4%86evapi</x:v>
      </x:c>
      <x:c r="D174" s="38" t="str">
        <x:v>encyclopedia-reference</x:v>
      </x:c>
      <x:c r="E174" s="38" t="str">
        <x:v>Initial source for Balkan/Bosnian association, minced-meat sausage form, grilling, flatbread, onion, and regional condiments.</x:v>
      </x:c>
      <x:c r="F174" s="75" t="b">
        <x:v>0</x:v>
      </x:c>
    </x:row>
    <x:row r="175">
      <x:c r="A175" s="38" t="str">
        <x:v>arroz-con-gandules</x:v>
      </x:c>
      <x:c r="B175" s="38" t="str">
        <x:v>Wikipedia — Arroz con gandules</x:v>
      </x:c>
      <x:c r="C175" s="38" t="str">
        <x:v>https://en.wikipedia.org/wiki/Arroz_con_gandules</x:v>
      </x:c>
      <x:c r="D175" s="38" t="str">
        <x:v>encyclopedia-reference</x:v>
      </x:c>
      <x:c r="E175" s="38" t="str">
        <x:v>Initial source for Puerto Rican identity, rice, pigeon peas, sofrito, seasoning, and celebratory context.</x:v>
      </x:c>
      <x:c r="F175" s="75" t="b">
        <x:v>0</x:v>
      </x:c>
    </x:row>
    <x:row r="176">
      <x:c r="A176" s="38" t="str">
        <x:v>chivito</x:v>
      </x:c>
      <x:c r="B176" s="38" t="str">
        <x:v>Wikipedia — Chivito</x:v>
      </x:c>
      <x:c r="C176" s="38" t="str">
        <x:v>https://en.wikipedia.org/wiki/Chivito_(sandwich)</x:v>
      </x:c>
      <x:c r="D176" s="38" t="str">
        <x:v>encyclopedia-reference</x:v>
      </x:c>
      <x:c r="E176" s="38" t="str">
        <x:v>Initial source for Uruguayan identity, steak sandwich format, ham, cheese, vegetables, sauces, and common optional toppings.</x:v>
      </x:c>
      <x:c r="F176" s="75" t="b">
        <x:v>0</x:v>
      </x:c>
    </x:row>
    <x:row r="177">
      <x:c r="A177" s="38" t="str">
        <x:v>jerk-chicken</x:v>
      </x:c>
      <x:c r="B177" s="38" t="str">
        <x:v>Wikipedia — Jerk (cooking)</x:v>
      </x:c>
      <x:c r="C177" s="38" t="str">
        <x:v>https://en.wikipedia.org/wiki/Jerk_(cooking)</x:v>
      </x:c>
      <x:c r="D177" s="38" t="str">
        <x:v>encyclopedia-reference</x:v>
      </x:c>
      <x:c r="E177" s="38" t="str">
        <x:v>Initial source for Jamaican jerk tradition, allspice, Scotch bonnet chile, spice mixture, grilling, and smoking.</x:v>
      </x:c>
      <x:c r="F177" s="75" t="b">
        <x:v>0</x:v>
      </x:c>
    </x:row>
    <x:row r="178">
      <x:c r="A178" s="38" t="str">
        <x:v>montreal-smoked-meat-sandwich</x:v>
      </x:c>
      <x:c r="B178" s="38" t="str">
        <x:v>Wikipedia — Montreal-style smoked meat</x:v>
      </x:c>
      <x:c r="C178" s="38" t="str">
        <x:v>https://en.wikipedia.org/wiki/Montreal-style_smoked_meat</x:v>
      </x:c>
      <x:c r="D178" s="38" t="str">
        <x:v>encyclopedia-reference</x:v>
      </x:c>
      <x:c r="E178" s="38" t="str">
        <x:v>Initial source for Montreal/Canadian identity, cured smoked brisket, steaming, rye bread, mustard, and sandwich service.</x:v>
      </x:c>
      <x:c r="F178" s="75" t="b">
        <x:v>0</x:v>
      </x:c>
    </x:row>
    <x:row r="179">
      <x:c r="A179" s="38" t="str">
        <x:v>chicken-and-waffles</x:v>
      </x:c>
      <x:c r="B179" s="38" t="str">
        <x:v>Wikipedia — Chicken and waffles</x:v>
      </x:c>
      <x:c r="C179" s="38" t="str">
        <x:v>https://en.wikipedia.org/wiki/Chicken_and_waffles</x:v>
      </x:c>
      <x:c r="D179" s="38" t="str">
        <x:v>encyclopedia-reference</x:v>
      </x:c>
      <x:c r="E179" s="38" t="str">
        <x:v>Initial source for American identity, fried chicken and waffle pairing, and common sweet-savory serving styles.</x:v>
      </x:c>
      <x:c r="F179" s="75" t="b">
        <x:v>0</x:v>
      </x:c>
    </x:row>
    <x:row r="180">
      <x:c r="A180" s="38" t="str">
        <x:v>katsudon</x:v>
      </x:c>
      <x:c r="B180" s="38" t="str">
        <x:v>Wikipedia — Katsudon</x:v>
      </x:c>
      <x:c r="C180" s="38" t="str">
        <x:v>https://en.wikipedia.org/wiki/Katsudon</x:v>
      </x:c>
      <x:c r="D180" s="38" t="str">
        <x:v>encyclopedia-reference</x:v>
      </x:c>
      <x:c r="E180" s="38" t="str">
        <x:v>Initial source for Japanese identity, breaded pork cutlet, egg, onion, sauce, and rice-bowl format.</x:v>
      </x:c>
      <x:c r="F180" s="75" t="b">
        <x:v>0</x:v>
      </x:c>
    </x:row>
    <x:row r="181">
      <x:c r="A181" s="38" t="str">
        <x:v>jjajangmyeon</x:v>
      </x:c>
      <x:c r="B181" s="38" t="str">
        <x:v>Wikipedia — Jajangmyeon</x:v>
      </x:c>
      <x:c r="C181" s="38" t="str">
        <x:v>https://en.wikipedia.org/wiki/Jajangmyeon</x:v>
      </x:c>
      <x:c r="D181" s="38" t="str">
        <x:v>encyclopedia-reference</x:v>
      </x:c>
      <x:c r="E181" s="38" t="str">
        <x:v>Initial source for Korean identity, wheat noodles, chunjang sauce, pork, onion, and vegetable additions.</x:v>
      </x:c>
      <x:c r="F181" s="75" t="b">
        <x:v>0</x:v>
      </x:c>
    </x:row>
    <x:row r="182">
      <x:c r="A182" s="38" t="str">
        <x:v>wonton-soup</x:v>
      </x:c>
      <x:c r="B182" s="38" t="str">
        <x:v>Wikipedia — Wonton</x:v>
      </x:c>
      <x:c r="C182" s="38" t="str">
        <x:v>https://en.wikipedia.org/wiki/Wonton</x:v>
      </x:c>
      <x:c r="D182" s="38" t="str">
        <x:v>encyclopedia-reference</x:v>
      </x:c>
      <x:c r="E182" s="38" t="str">
        <x:v>Initial source for Chinese wontons, filled dumpling structure, pork/shrimp fillings, and common soup service.</x:v>
      </x:c>
      <x:c r="F182" s="75" t="b">
        <x:v>0</x:v>
      </x:c>
    </x:row>
    <x:row r="183">
      <x:c r="A183" s="38" t="str">
        <x:v>lemon-rice</x:v>
      </x:c>
      <x:c r="B183" s="38" t="str">
        <x:v>Wikipedia — Chitranna</x:v>
      </x:c>
      <x:c r="C183" s="38" t="str">
        <x:v>https://en.wikipedia.org/wiki/Chitranna</x:v>
      </x:c>
      <x:c r="D183" s="38" t="str">
        <x:v>encyclopedia-reference</x:v>
      </x:c>
      <x:c r="E183" s="38" t="str">
        <x:v>Initial source for South Indian lemon-seasoned rice, tempering spices, curry leaves, chile, and nut garnishes.</x:v>
      </x:c>
      <x:c r="F183" s="75" t="b">
        <x:v>0</x:v>
      </x:c>
    </x:row>
    <x:row r="184">
      <x:c r="A184" s="38" t="str">
        <x:v>paya</x:v>
      </x:c>
      <x:c r="B184" s="38" t="str">
        <x:v>Wikipedia — Paya (food)</x:v>
      </x:c>
      <x:c r="C184" s="38" t="str">
        <x:v>https://en.wikipedia.org/wiki/Paya_(food)</x:v>
      </x:c>
      <x:c r="D184" s="38" t="str">
        <x:v>encyclopedia-reference</x:v>
      </x:c>
      <x:c r="E184" s="38" t="str">
        <x:v>Initial source for South Asian distribution, animal trotters, long simmering, spiced broth, and bread service.</x:v>
      </x:c>
      <x:c r="F184" s="75" t="b">
        <x:v>0</x:v>
      </x:c>
    </x:row>
    <x:row r="185">
      <x:c r="A185" s="38" t="str">
        <x:v>chicken-chettinad</x:v>
      </x:c>
      <x:c r="B185" s="38" t="str">
        <x:v>Wikipedia — Chettinad cuisine</x:v>
      </x:c>
      <x:c r="C185" s="38" t="str">
        <x:v>https://en.wikipedia.org/wiki/Chettinad_cuisine</x:v>
      </x:c>
      <x:c r="D185" s="38" t="str">
        <x:v>encyclopedia-reference</x:v>
      </x:c>
      <x:c r="E185" s="38" t="str">
        <x:v>Initial source for Chettinad/Tamil cuisine and its spice-forward chicken preparations; add a dish-specific source before approval.</x:v>
      </x:c>
      <x:c r="F185" s="75" t="b">
        <x:v>0</x:v>
      </x:c>
    </x:row>
    <x:row r="186">
      <x:c r="A186" s="38" t="str">
        <x:v>mandi</x:v>
      </x:c>
      <x:c r="B186" s="38" t="str">
        <x:v>Wikipedia — Mandi (food)</x:v>
      </x:c>
      <x:c r="C186" s="38" t="str">
        <x:v>https://en.wikipedia.org/wiki/Mandi_(food)</x:v>
      </x:c>
      <x:c r="D186" s="38" t="str">
        <x:v>encyclopedia-reference</x:v>
      </x:c>
      <x:c r="E186" s="38" t="str">
        <x:v>Initial source for Yemeni identity, rice, meat, aromatic spices, and traditional smoky cooking method.</x:v>
      </x:c>
      <x:c r="F186" s="75" t="b">
        <x:v>0</x:v>
      </x:c>
    </x:row>
    <x:row r="187">
      <x:c r="A187" s="38" t="str">
        <x:v>shish-barak</x:v>
      </x:c>
      <x:c r="B187" s="38" t="str">
        <x:v>Wikipedia — Shishbarak</x:v>
      </x:c>
      <x:c r="C187" s="38" t="str">
        <x:v>https://en.wikipedia.org/wiki/Shishbarak</x:v>
      </x:c>
      <x:c r="D187" s="38" t="str">
        <x:v>encyclopedia-reference</x:v>
      </x:c>
      <x:c r="E187" s="38" t="str">
        <x:v>Initial source for Levantine dumplings, meat filling, yogurt sauce, garlic, herbs, and regional distribution.</x:v>
      </x:c>
      <x:c r="F187" s="75" t="b">
        <x:v>0</x:v>
      </x:c>
    </x:row>
    <x:row r="188">
      <x:c r="A188" s="38" t="str">
        <x:v>maftoul</x:v>
      </x:c>
      <x:c r="B188" s="38" t="str">
        <x:v>Wikipedia — Palestinian cuisine</x:v>
      </x:c>
      <x:c r="C188" s="38" t="str">
        <x:v>https://en.wikipedia.org/wiki/Palestinian_cuisine</x:v>
      </x:c>
      <x:c r="D188" s="38" t="str">
        <x:v>encyclopedia-reference</x:v>
      </x:c>
      <x:c r="E188" s="38" t="str">
        <x:v>Initial source for Palestinian culinary context and maftoul service; add a dedicated maftoul source before production approval.</x:v>
      </x:c>
      <x:c r="F188" s="75" t="b">
        <x:v>0</x:v>
      </x:c>
    </x:row>
    <x:row r="189">
      <x:c r="A189" s="38" t="str">
        <x:v>sambousek</x:v>
      </x:c>
      <x:c r="B189" s="38" t="str">
        <x:v>Wikipedia — Levantine cuisine</x:v>
      </x:c>
      <x:c r="C189" s="38" t="str">
        <x:v>https://en.wikipedia.org/wiki/Levantine_cuisine</x:v>
      </x:c>
      <x:c r="D189" s="38" t="str">
        <x:v>encyclopedia-reference</x:v>
      </x:c>
      <x:c r="E189" s="38" t="str">
        <x:v>Initial source for Levantine culinary context; add a dedicated sambousek source before production approval.</x:v>
      </x:c>
      <x:c r="F189" s="75" t="b">
        <x:v>0</x:v>
      </x:c>
    </x:row>
    <x:row r="190">
      <x:c r="A190" s="38" t="str">
        <x:v>pepper-soup</x:v>
      </x:c>
      <x:c r="B190" s="38" t="str">
        <x:v>Wikipedia — Pepper soup</x:v>
      </x:c>
      <x:c r="C190" s="38" t="str">
        <x:v>https://en.wikipedia.org/wiki/Pepper_soup</x:v>
      </x:c>
      <x:c r="D190" s="38" t="str">
        <x:v>encyclopedia-reference</x:v>
      </x:c>
      <x:c r="E190" s="38" t="str">
        <x:v>Initial source for West African/Nigerian context, meat and fish versions, thin broth, chile, and regional spice blends.</x:v>
      </x:c>
      <x:c r="F190" s="75" t="b">
        <x:v>0</x:v>
      </x:c>
    </x:row>
    <x:row r="191">
      <x:c r="A191" s="38" t="str">
        <x:v>kitfo</x:v>
      </x:c>
      <x:c r="B191" s="38" t="str">
        <x:v>Wikipedia — Kitfo</x:v>
      </x:c>
      <x:c r="C191" s="38" t="str">
        <x:v>https://en.wikipedia.org/wiki/Kitfo</x:v>
      </x:c>
      <x:c r="D191" s="38" t="str">
        <x:v>encyclopedia-reference</x:v>
      </x:c>
      <x:c r="E191" s="38" t="str">
        <x:v>Initial source for Ethiopian identity, minced beef, niter kibbeh, mitmita, and raw-to-cooked serving options.</x:v>
      </x:c>
      <x:c r="F191" s="75" t="b">
        <x:v>0</x:v>
      </x:c>
    </x:row>
    <x:row r="192">
      <x:c r="A192" s="38" t="str">
        <x:v>tagliatelle-al-ragu</x:v>
      </x:c>
      <x:c r="B192" s="38" t="str">
        <x:v>Wikipedia — Bolognese sauce</x:v>
      </x:c>
      <x:c r="C192" s="38" t="str">
        <x:v>https://en.wikipedia.org/wiki/Bolognese_sauce</x:v>
      </x:c>
      <x:c r="D192" s="38" t="str">
        <x:v>encyclopedia-reference</x:v>
      </x:c>
      <x:c r="E192" s="38" t="str">
        <x:v>Initial source for Bologna/Emilia-Romagna ragù, minced meat, aromatic vegetables, wine, tomato, and traditional tagliatelle pairing.</x:v>
      </x:c>
      <x:c r="F192" s="75" t="b">
        <x:v>0</x:v>
      </x:c>
    </x:row>
    <x:row r="193">
      <x:c r="A193" s="38" t="str">
        <x:v>minestrone</x:v>
      </x:c>
      <x:c r="B193" s="38" t="str">
        <x:v>Wikipedia — Minestrone</x:v>
      </x:c>
      <x:c r="C193" s="38" t="str">
        <x:v>https://en.wikipedia.org/wiki/Minestrone</x:v>
      </x:c>
      <x:c r="D193" s="38" t="str">
        <x:v>encyclopedia-reference</x:v>
      </x:c>
      <x:c r="E193" s="38" t="str">
        <x:v>Initial source for Italian identity, flexible vegetable base, beans, seasonal produce, and optional pasta or rice.</x:v>
      </x:c>
      <x:c r="F193" s="75" t="b">
        <x:v>0</x:v>
      </x:c>
    </x:row>
    <x:row r="194">
      <x:c r="A194" s="38" t="str">
        <x:v>shepherds-pie</x:v>
      </x:c>
      <x:c r="B194" s="38" t="str">
        <x:v>Wikipedia — Shepherd's pie</x:v>
      </x:c>
      <x:c r="C194" s="38" t="str">
        <x:v>https://en.wikipedia.org/wiki/Shepherd%27s_pie</x:v>
      </x:c>
      <x:c r="D194" s="38" t="str">
        <x:v>encyclopedia-reference</x:v>
      </x:c>
      <x:c r="E194" s="38" t="str">
        <x:v>Initial source for British/Irish tradition, minced lamb, vegetables, mashed-potato topping, baking, and cottage-pie distinction.</x:v>
      </x:c>
      <x:c r="F194" s="75" t="b">
        <x:v>0</x:v>
      </x:c>
    </x:row>
    <x:row r="195">
      <x:c r="A195" s="38" t="str">
        <x:v>arroz-con-coco</x:v>
      </x:c>
      <x:c r="B195" s="38" t="str">
        <x:v>Wikipedia — Arroz con coco</x:v>
      </x:c>
      <x:c r="C195" s="38" t="str">
        <x:v>https://en.wikipedia.org/wiki/Arroz_con_coco</x:v>
      </x:c>
      <x:c r="D195" s="38" t="str">
        <x:v>encyclopedia-reference</x:v>
      </x:c>
      <x:c r="E195" s="38" t="str">
        <x:v>Initial source for Colombian/Caribbean coconut-rice traditions, coconut milk or reduced coconut, and regional variations.</x:v>
      </x:c>
      <x:c r="F195" s="75" t="b">
        <x:v>0</x:v>
      </x:c>
    </x:row>
    <x:row r="196">
      <x:c r="A196" s="38" t="str">
        <x:v>pozole</x:v>
      </x:c>
      <x:c r="B196" s="38" t="str">
        <x:v>Wikipedia — Pozole</x:v>
      </x:c>
      <x:c r="C196" s="38" t="str">
        <x:v>https://en.wikipedia.org/wiki/Pozole</x:v>
      </x:c>
      <x:c r="D196" s="38" t="str">
        <x:v>encyclopedia-reference</x:v>
      </x:c>
      <x:c r="E196" s="38" t="str">
        <x:v>Initial source for Mexican identity, hominy, pork/chicken, red-green-white styles, and fresh garnish service.</x:v>
      </x:c>
      <x:c r="F196" s="75" t="b">
        <x:v>0</x:v>
      </x:c>
    </x:row>
    <x:row r="197">
      <x:c r="A197" s="38" t="str">
        <x:v>locro</x:v>
      </x:c>
      <x:c r="B197" s="38" t="str">
        <x:v>Wikipedia — Locro</x:v>
      </x:c>
      <x:c r="C197" s="38" t="str">
        <x:v>https://en.wikipedia.org/wiki/Locro</x:v>
      </x:c>
      <x:c r="D197" s="38" t="str">
        <x:v>encyclopedia-reference</x:v>
      </x:c>
      <x:c r="E197" s="38" t="str">
        <x:v>Initial source for Andean distribution, corn, beans, squash, potatoes, meat, and regional variations.</x:v>
      </x:c>
      <x:c r="F197" s="75" t="b">
        <x:v>0</x:v>
      </x:c>
    </x:row>
    <x:row r="198">
      <x:c r="A198" s="38" t="str">
        <x:v>mofongo</x:v>
      </x:c>
      <x:c r="B198" s="38" t="str">
        <x:v>Wikipedia — Mofongo</x:v>
      </x:c>
      <x:c r="C198" s="38" t="str">
        <x:v>https://en.wikipedia.org/wiki/Mofongo</x:v>
      </x:c>
      <x:c r="D198" s="38" t="str">
        <x:v>encyclopedia-reference</x:v>
      </x:c>
      <x:c r="E198" s="38" t="str">
        <x:v>Initial source for Puerto Rican identity, fried green plantains, garlic, pork cracklings, shaping, and common toppings.</x:v>
      </x:c>
      <x:c r="F198" s="75" t="b">
        <x:v>0</x:v>
      </x:c>
    </x:row>
    <x:row r="199">
      <x:c r="A199" s="38" t="str">
        <x:v>red-beans-and-rice</x:v>
      </x:c>
      <x:c r="B199" s="38" t="str">
        <x:v>Wikipedia — Red beans and rice</x:v>
      </x:c>
      <x:c r="C199" s="38" t="str">
        <x:v>https://en.wikipedia.org/wiki/Red_beans_and_rice</x:v>
      </x:c>
      <x:c r="D199" s="38" t="str">
        <x:v>encyclopedia-reference</x:v>
      </x:c>
      <x:c r="E199" s="38" t="str">
        <x:v>Initial source for Louisiana Creole identity, red beans, aromatics, sausage/pork, slow cooking, and rice service.</x:v>
      </x:c>
      <x:c r="F199" s="75" t="b">
        <x:v>0</x:v>
      </x:c>
    </x:row>
    <x:row r="200">
      <x:c r="A200" s="38" t="str">
        <x:v>crawfish-etouffee</x:v>
      </x:c>
      <x:c r="B200" s="38" t="str">
        <x:v>Wikipedia — Étouffée</x:v>
      </x:c>
      <x:c r="C200" s="38" t="str">
        <x:v>https://en.wikipedia.org/wiki/%C3%89touff%C3%A9e</x:v>
      </x:c>
      <x:c r="D200" s="38" t="str">
        <x:v>encyclopedia-reference</x:v>
      </x:c>
      <x:c r="E200" s="38" t="str">
        <x:v>Initial source for Louisiana identity, crawfish or shellfish, smothered sauce, aromatics, roux/butter variations, and rice service.</x:v>
      </x:c>
      <x:c r="F200" s="75" t="b">
        <x:v>0</x:v>
      </x:c>
    </x:row>
    <x:row r="201">
      <x:c r="A201" s="38" t="str">
        <x:v>saimin</x:v>
      </x:c>
      <x:c r="B201" s="38" t="str">
        <x:v>Wikipedia — Saimin</x:v>
      </x:c>
      <x:c r="C201" s="38" t="str">
        <x:v>https://en.wikipedia.org/wiki/Saimin</x:v>
      </x:c>
      <x:c r="D201" s="38" t="str">
        <x:v>encyclopedia-reference</x:v>
      </x:c>
      <x:c r="E201" s="38" t="str">
        <x:v>Initial source for Hawaii origin, wheat-and-egg noodles, clear broth, and common local toppings.</x:v>
      </x:c>
      <x:c r="F201" s="75" t="b">
        <x:v>0</x:v>
      </x:c>
    </x:row>
    <x:row r="202">
      <x:c r="A202" s="38" t="str">
        <x:v>cincinnati-chili</x:v>
      </x:c>
      <x:c r="B202" s="38" t="str">
        <x:v>Wikipedia — Cincinnati chili</x:v>
      </x:c>
      <x:c r="C202" s="38" t="str">
        <x:v>https://en.wikipedia.org/wiki/Cincinnati_chili</x:v>
      </x:c>
      <x:c r="D202" s="38" t="str">
        <x:v>encyclopedia-reference</x:v>
      </x:c>
      <x:c r="E202" s="38" t="str">
        <x:v>Initial source for Cincinnati origin, spiced meat sauce, spaghetti, cheese, onions, beans, and 'ways' serving system.</x:v>
      </x:c>
      <x:c r="F202" s="75" t="b">
        <x:v>0</x:v>
      </x:c>
    </x:row>
    <x:row r="203">
      <x:c r="A203" s="38" t="str">
        <x:v>canadian-split-pea-soup</x:v>
      </x:c>
      <x:c r="B203" s="38" t="str">
        <x:v>Wikipedia — Pea soup</x:v>
      </x:c>
      <x:c r="C203" s="38" t="str">
        <x:v>https://en.wikipedia.org/wiki/Pea_soup</x:v>
      </x:c>
      <x:c r="D203" s="38" t="str">
        <x:v>encyclopedia-reference</x:v>
      </x:c>
      <x:c r="E203" s="38" t="str">
        <x:v>Initial source for split-pea soup and Canadian/Québécois variations; dedicated regional source still recommended.</x:v>
      </x:c>
      <x:c r="F203" s="75" t="b">
        <x:v>0</x:v>
      </x:c>
    </x:row>
    <x:row r="204">
      <x:c r="A204" s="38" t="str">
        <x:v>matzo-ball-soup</x:v>
      </x:c>
      <x:c r="B204" s="38" t="str">
        <x:v>Wikipedia — Matzah ball</x:v>
      </x:c>
      <x:c r="C204" s="38" t="str">
        <x:v>https://en.wikipedia.org/wiki/Matzah_ball</x:v>
      </x:c>
      <x:c r="D204" s="38" t="str">
        <x:v>encyclopedia-reference</x:v>
      </x:c>
      <x:c r="E204" s="38" t="str">
        <x:v>Initial source for Ashkenazi matzo balls, matzo meal, egg, fat, and common service in chicken soup.</x:v>
      </x:c>
      <x:c r="F204" s="75" t="b">
        <x:v>0</x:v>
      </x:c>
    </x:row>
    <x:row r="205">
      <x:c r="A205" s="38" t="str">
        <x:v>fresh-lumpia</x:v>
      </x:c>
      <x:c r="B205" s="38" t="str">
        <x:v>Wikipedia — Lumpia</x:v>
      </x:c>
      <x:c r="C205" s="38" t="str">
        <x:v>https://en.wikipedia.org/wiki/Lumpia</x:v>
      </x:c>
      <x:c r="D205" s="38" t="str">
        <x:v>encyclopedia-reference</x:v>
      </x:c>
      <x:c r="E205" s="38" t="str">
        <x:v>Initial general Lumpia source; supports Filipino lumpia, thin wrappers, fried/fresh forms, and common fillings. Fresh-specific verification still required before approval.</x:v>
      </x:c>
      <x:c r="F205" s="75" t="b">
        <x:v>0</x:v>
      </x:c>
    </x:row>
    <x:row r="206">
      <x:c r="A206" s="38" t="str">
        <x:v>hainanese-chicken-rice</x:v>
      </x:c>
      <x:c r="B206" s="38" t="str">
        <x:v>Roots.gov.sg — Chicken Rice</x:v>
      </x:c>
      <x:c r="C206" s="38" t="str">
        <x:v>https://www.roots.gov.sg/ich-landing/ich/chicken-rice</x:v>
      </x:c>
      <x:c r="D206" s="38" t="str">
        <x:v>cultural-institution</x:v>
      </x:c>
      <x:c r="E206" s="38" t="str">
        <x:v>Official Singapore heritage source supports chicken rice as a ubiquitous Singapore dish, including poached chicken, fragrant rice, and chilli dip.</x:v>
      </x:c>
      <x:c r="F206" s="75" t="b">
        <x:v>1</x:v>
      </x:c>
    </x:row>
    <x:row r="207">
      <x:c r="A207" s="38" t="str">
        <x:v>banh-mi</x:v>
      </x:c>
      <x:c r="B207" s="38" t="str">
        <x:v>Vietnam Tourism — 7 superb banh mi to try in Vietnam</x:v>
      </x:c>
      <x:c r="C207" s="38" t="str">
        <x:v>https://www.vietnam.travel/things-to-do/banh-mi-in-vietnam</x:v>
      </x:c>
      <x:c r="D207" s="38" t="str">
        <x:v>government-tourism</x:v>
      </x:c>
      <x:c r="E207" s="38" t="str">
        <x:v>Official Vietnam Tourism source supports bánh mì as an iconic Vietnamese streetside sandwich with a baguette and varied savory fillings.</x:v>
      </x:c>
      <x:c r="F207" s="75" t="b">
        <x:v>1</x:v>
      </x:c>
    </x:row>
    <x:row r="208">
      <x:c r="A208" s="38" t="str">
        <x:v>ramen</x:v>
      </x:c>
      <x:c r="B208" s="38" t="str">
        <x:v>JNTO — Ramen</x:v>
      </x:c>
      <x:c r="C208" s="38" t="str">
        <x:v>https://faq.japan-travel.jnto.go.jp/en/guide/ramen/</x:v>
      </x:c>
      <x:c r="D208" s="38" t="str">
        <x:v>government-tourism</x:v>
      </x:c>
      <x:c r="E208" s="38" t="str">
        <x:v>Official Japan National Tourism Organization source supports ramen as a Japanese noodle meal with multiple soup styles and regional variations.</x:v>
      </x:c>
      <x:c r="F208" s="75" t="b">
        <x:v>1</x:v>
      </x:c>
    </x:row>
    <x:row r="209">
      <x:c r="A209" s="38" t="str">
        <x:v>bulgogi</x:v>
      </x:c>
      <x:c r="B209" s="38" t="str">
        <x:v>VISITKOREA — Bulgogi</x:v>
      </x:c>
      <x:c r="C209" s="38" t="str">
        <x:v>https://english.visitkorea.or.kr/svc/sp/food/ext/special_view.do?menuSn=913&amp;vcontsId=178541</x:v>
      </x:c>
      <x:c r="D209" s="38" t="str">
        <x:v>government-tourism</x:v>
      </x:c>
      <x:c r="E209" s="38" t="str">
        <x:v>Official Korea Tourism Organization source supports thin sliced beef marinated in a sweet seasoning and cooked as a grilled/pan-fried dish.</x:v>
      </x:c>
      <x:c r="F209" s="75" t="b">
        <x:v>1</x:v>
      </x:c>
    </x:row>
    <x:row r="210">
      <x:c r="A210" s="38" t="str">
        <x:v>gyoza</x:v>
      </x:c>
      <x:c r="B210" s="38" t="str">
        <x:v>JNTO — Utsunomiya Dumplings</x:v>
      </x:c>
      <x:c r="C210" s="38" t="str">
        <x:v>https://www.japan.travel/en/spot/293/</x:v>
      </x:c>
      <x:c r="D210" s="38" t="str">
        <x:v>government-tourism</x:v>
      </x:c>
      <x:c r="E210" s="38" t="str">
        <x:v>Official JNTO source supports Japanese gyoza as thin-wrapped dumplings with meat/vegetable fillings, commonly pan-fried until crisp.</x:v>
      </x:c>
      <x:c r="F210" s="75" t="b">
        <x:v>1</x:v>
      </x:c>
    </x:row>
    <x:row r="211">
      <x:c r="A211" s="38" t="str">
        <x:v>mansaf</x:v>
      </x:c>
      <x:c r="B211" s="38" t="str">
        <x:v>Visit Jordan — Food and Drinks</x:v>
      </x:c>
      <x:c r="C211" s="38" t="str">
        <x:v>https://edutravel.visitjordan.com/en/page/79/Food-and-Drinks</x:v>
      </x:c>
      <x:c r="D211" s="38" t="str">
        <x:v>government-tourism</x:v>
      </x:c>
      <x:c r="E211" s="38" t="str">
        <x:v>Official Jordan tourism source identifies mansaf as a traditional Jordanian meal prepared with jameed.</x:v>
      </x:c>
      <x:c r="F211" s="75" t="b">
        <x:v>1</x:v>
      </x:c>
    </x:row>
    <x:row r="212">
      <x:c r="A212" s="38" t="str">
        <x:v>harira</x:v>
      </x:c>
      <x:c r="B212" s="38" t="str">
        <x:v>Moroccan National Tourist Office — Moroccan Food &amp; Drink</x:v>
      </x:c>
      <x:c r="C212" s="38" t="str">
        <x:v>https://visitmorocco.com/en/travel-info/food-drinks</x:v>
      </x:c>
      <x:c r="D212" s="38" t="str">
        <x:v>government-tourism</x:v>
      </x:c>
      <x:c r="E212" s="38" t="str">
        <x:v>Official Morocco tourism source describes harira as a typical Moroccan soup with pulses, tomatoes, pasta, and flour, traditionally eaten during Ramadan.</x:v>
      </x:c>
      <x:c r="F212" s="75" t="b">
        <x:v>1</x:v>
      </x:c>
    </x:row>
    <x:row r="213">
      <x:c r="A213" s="38" t="str">
        <x:v>carbonara</x:v>
      </x:c>
      <x:c r="B213" s="38" t="str">
        <x:v>Italia.it — Traditional Roman food</x:v>
      </x:c>
      <x:c r="C213" s="38" t="str">
        <x:v>https://www.italia.it/en/lazio/rome/things-to-do/traditional-roman-food-districts-of-rome</x:v>
      </x:c>
      <x:c r="D213" s="38" t="str">
        <x:v>government-tourism</x:v>
      </x:c>
      <x:c r="E213" s="38" t="str">
        <x:v>Official Italian tourism source describes carbonara in Rome with spaghetti, eggs, pecorino romano, and guanciale.</x:v>
      </x:c>
      <x:c r="F213" s="75" t="b">
        <x:v>1</x:v>
      </x:c>
    </x:row>
    <x:row r="214">
      <x:c r="A214" s="38" t="str">
        <x:v>french-onion-soup</x:v>
      </x:c>
      <x:c r="B214" s="38" t="str">
        <x:v>France.fr — Onion Soup</x:v>
      </x:c>
      <x:c r="C214" s="38" t="str">
        <x:v>https://www.france.fr/en/article/try-a-french-classic-onion-soup/</x:v>
      </x:c>
      <x:c r="D214" s="38" t="str">
        <x:v>government-tourism</x:v>
      </x:c>
      <x:c r="E214" s="38" t="str">
        <x:v>Official France tourism source supports modern French onion soup with slowly browned onions, beef stock, bread croutons, and Gruyère.</x:v>
      </x:c>
      <x:c r="F214" s="75" t="b">
        <x:v>1</x:v>
      </x:c>
    </x:row>
    <x:row r="215">
      <x:c r="A215" s="38" t="str">
        <x:v>schnitzel</x:v>
      </x:c>
      <x:c r="B215" s="38" t="str">
        <x:v>Austria.info — Wiener Schnitzel</x:v>
      </x:c>
      <x:c r="C215" s="38" t="str">
        <x:v>https://www.austria.info/en-us/recipes/wiener-schnitzel/</x:v>
      </x:c>
      <x:c r="D215" s="38" t="str">
        <x:v>government-tourism</x:v>
      </x:c>
      <x:c r="E215" s="38" t="str">
        <x:v>Official Austria tourism source supports a thin breaded cutlet fried until golden/crispy; Wiener Schnitzel specifically uses veal.</x:v>
      </x:c>
      <x:c r="F215" s="75" t="b">
        <x:v>1</x:v>
      </x:c>
    </x:row>
    <x:row r="216">
      <x:c r="A216" s="38" t="str">
        <x:v>ceviche</x:v>
      </x:c>
      <x:c r="B216" s="38" t="str">
        <x:v>Peru Travel — Peruvian Fish Ceviche</x:v>
      </x:c>
      <x:c r="C216" s="38" t="str">
        <x:v>https://www.peru.travel/gastronomy/en/recipes/entrees/peruvian-fish-ceviche.html</x:v>
      </x:c>
      <x:c r="D216" s="38" t="str">
        <x:v>government-tourism</x:v>
      </x:c>
      <x:c r="E216" s="38" t="str">
        <x:v>Official Peru Travel source supports fresh fish with lime, onion, chile, cilantro, and related accompaniments.</x:v>
      </x:c>
      <x:c r="F216" s="75" t="b">
        <x:v>1</x:v>
      </x:c>
    </x:row>
    <x:row r="217">
      <x:c r="A217" s="38" t="str">
        <x:v>lobster-roll</x:v>
      </x:c>
      <x:c r="B217" s="38" t="str">
        <x:v>Maine.gov — Lobster Roll</x:v>
      </x:c>
      <x:c r="C217" s="38" t="str">
        <x:v>https://www.maine.gov/sos/maineatlas/explore-the-atlas/lobster-roll</x:v>
      </x:c>
      <x:c r="D217" s="38" t="str">
        <x:v>government-tourism</x:v>
      </x:c>
      <x:c r="E217" s="38" t="str">
        <x:v>Official Maine source supports the lobster roll as a regional dish with Maine and Connecticut serving traditions and contested origin.</x:v>
      </x:c>
      <x:c r="F217" s="75" t="b">
        <x:v>1</x:v>
      </x:c>
    </x:row>
    <x:row r="218">
      <x:c r="A218" s="38" t="str">
        <x:v>lort-cha</x:v>
      </x:c>
      <x:c r="B218" s="38" t="str">
        <x:v>National Geographic — A culinary guide to Cambodia</x:v>
      </x:c>
      <x:c r="C218" s="38" t="str">
        <x:v>https://www.nationalgeographic.com/travel/article/culinary-guide-cambodia-ancient-recipes-street-food</x:v>
      </x:c>
      <x:c r="D218" s="38" t="str">
        <x:v>culinary-reference</x:v>
      </x:c>
      <x:c r="E218" s="38" t="str">
        <x:v>National Geographic Traveller Food describes lort cha in Phnom Penh as short rice noodles stir-fried with bean sprouts, cabbage, garlic, palm sugar, fish sauce and soy sauce, topped with a fried egg.</x:v>
      </x:c>
      <x:c r="F218" s="75" t="b">
        <x:v>1</x:v>
      </x:c>
    </x:row>
    <x:row r="219">
      <x:c r="A219" s="38" t="str">
        <x:v>sinigang</x:v>
      </x:c>
      <x:c r="B219" s="38" t="str">
        <x:v>National Nutrition Council, Philippines — Deconstructing Sinigang</x:v>
      </x:c>
      <x:c r="C219" s="38" t="str">
        <x:v>https://nnc.gov.ph/mindanao-region/deconstructing-sinigang-as-a-complete-dish/</x:v>
      </x:c>
      <x:c r="D219" s="38" t="str">
        <x:v>government-tourism</x:v>
      </x:c>
      <x:c r="E219" s="38" t="str">
        <x:v>Philippine government nutrition source describes sinigang as a sour Filipino soup using fish, chicken, pork or beef with vegetables and multiple possible souring agents, including tamarind.</x:v>
      </x:c>
      <x:c r="F219" s="75" t="b">
        <x:v>1</x:v>
      </x:c>
    </x:row>
    <x:row r="220">
      <x:c r="A220" s="38" t="str">
        <x:v>biryani</x:v>
      </x:c>
      <x:c r="B220" s="38" t="str">
        <x:v>Incredible India — Hyderabadi Biryani</x:v>
      </x:c>
      <x:c r="C220" s="38" t="str">
        <x:v>https://www.incredibleindia.gov.in/en/telangana/hyderabad/the-best-local-foods-in-hyderabad</x:v>
      </x:c>
      <x:c r="D220" s="38" t="str">
        <x:v>government-tourism</x:v>
      </x:c>
      <x:c r="E220" s="38" t="str">
        <x:v>Official India tourism source supports a major Indian biryani tradition built from fragrant rice, meat, aromatic spices and dum-style layering/cooking. The Nom row remains intentionally pan-South-Asian.</x:v>
      </x:c>
      <x:c r="F220" s="75" t="b">
        <x:v>1</x:v>
      </x:c>
    </x:row>
    <x:row r="221">
      <x:c r="A221" s="38" t="str">
        <x:v>tandoori-chicken</x:v>
      </x:c>
      <x:c r="B221" s="38" t="str">
        <x:v>Incredible India — Delhi Food and Cuisine: Tandoori Chicken</x:v>
      </x:c>
      <x:c r="C221" s="38" t="str">
        <x:v>https://www.prod.incredibleindia.gov.in/content/incredible-india-v2/en/destinations/delhi/food-and-cuisine.html</x:v>
      </x:c>
      <x:c r="D221" s="38" t="str">
        <x:v>government-tourism</x:v>
      </x:c>
      <x:c r="E221" s="38" t="str">
        <x:v>Official India tourism source describes tandoori chicken as chicken marinated in yoghurt and spices and roasted in a cylindrical clay tandoor.</x:v>
      </x:c>
      <x:c r="F221" s="75" t="b">
        <x:v>1</x:v>
      </x:c>
    </x:row>
    <x:row r="222">
      <x:c r="A222" s="38" t="str">
        <x:v>rasam</x:v>
      </x:c>
      <x:c r="B222" s="38" t="str">
        <x:v>PubMed — A Comprehensive Review on Rasam</x:v>
      </x:c>
      <x:c r="C222" s="38" t="str">
        <x:v>https://pubmed.ncbi.nlm.nih.gov/28989243/</x:v>
      </x:c>
      <x:c r="D222" s="38" t="str">
        <x:v>culinary-reference</x:v>
      </x:c>
      <x:c r="E222" s="38" t="str">
        <x:v>Peer-reviewed review identifies rasam as a traditional South Indian soup using tamarind, tomato, chili/pepper, cumin, curry leaves, mustard, coriander and other spices.</x:v>
      </x:c>
      <x:c r="F222" s="75" t="b">
        <x:v>1</x:v>
      </x:c>
    </x:row>
    <x:row r="223">
      <x:c r="A223" s="38" t="str">
        <x:v>falafel</x:v>
      </x:c>
      <x:c r="B223" s="38" t="str">
        <x:v>Oxford Companion to Food — Falafel</x:v>
      </x:c>
      <x:c r="C223" s="38" t="str">
        <x:v>https://app.ckbk.com/reference/food77337c06s001e009</x:v>
      </x:c>
      <x:c r="D223" s="38" t="str">
        <x:v>encyclopedia-reference</x:v>
      </x:c>
      <x:c r="E223" s="38" t="str">
        <x:v>Oxford Companion describes falafel as fried patties/croquettes popular across the Middle East, with Egyptian fava-bean versions and chickpea/fava versions common in Lebanon, Syria and Jordan.</x:v>
      </x:c>
      <x:c r="F223" s="75" t="b">
        <x:v>1</x:v>
      </x:c>
    </x:row>
    <x:row r="224">
      <x:c r="A224" s="38" t="str">
        <x:v>manti</x:v>
      </x:c>
      <x:c r="B224" s="38" t="str">
        <x:v>GoTürkiye — Mantı: Traditions, Rituals, and Regional Variations</x:v>
      </x:c>
      <x:c r="C224" s="38" t="str">
        <x:v>https://goturkiye.com/blog/turkish-manti</x:v>
      </x:c>
      <x:c r="D224" s="38" t="str">
        <x:v>government-tourism</x:v>
      </x:c>
      <x:c r="E224" s="38" t="str">
        <x:v>Official Türkiye tourism source describes mantı as small filled dumplings made from thin wheat dough, usually with ground-meat filling and served with yogurt and butter-based sauce, with major regional variation.</x:v>
      </x:c>
      <x:c r="F224" s="75" t="b">
        <x:v>1</x:v>
      </x:c>
    </x:row>
    <x:row r="225">
      <x:c r="A225" s="38" t="str">
        <x:v>jollof-rice</x:v>
      </x:c>
      <x:c r="B225" s="38" t="str">
        <x:v>Ghanaian Journal of Economics — Jollof Rice: A West African culinary and cultural icon</x:v>
      </x:c>
      <x:c r="C225" s="38" t="str">
        <x:v>https://journals.co.za/doi/10.10520/ejc-ghajecon_v12_n1_a4</x:v>
      </x:c>
      <x:c r="D225" s="38" t="str">
        <x:v>culinary-reference</x:v>
      </x:c>
      <x:c r="E225" s="38" t="str">
        <x:v>Academic source describes jollof as a West African rice dish centered on rice, tomatoes, onions and spices; it notes debated origins and close links to Wolof/Senegambian traditions.</x:v>
      </x:c>
      <x:c r="F225" s="75" t="b">
        <x:v>1</x:v>
      </x:c>
    </x:row>
    <x:row r="226">
      <x:c r="A226" s="38" t="str">
        <x:v>doro-wat</x:v>
      </x:c>
      <x:c r="B226" s="38" t="str">
        <x:v>Smithsonian Libraries — Ethiopia: Recipes and Traditions from the Horn of Africa</x:v>
      </x:c>
      <x:c r="C226" s="38" t="str">
        <x:v>https://www.si.edu/object/ethiopia-recipes-and-traditions-horn-africa-yohanis-gebreyesus-jeff-koehler%3Asiris_sil_1109218</x:v>
      </x:c>
      <x:c r="D226" s="38" t="str">
        <x:v>cultural-institution</x:v>
      </x:c>
      <x:c r="E226" s="38" t="str">
        <x:v>Smithsonian Libraries catalog summary identifies doro wat as Ethiopian chicken stewed with berbere; Smithsonian coverage also documents hard-boiled egg and injera service.</x:v>
      </x:c>
      <x:c r="F226" s="75" t="b">
        <x:v>1</x:v>
      </x:c>
    </x:row>
    <x:row r="227">
      <x:c r="A227" s="38" t="str">
        <x:v>tacos-al-pastor</x:v>
      </x:c>
      <x:c r="B227" s="38" t="str">
        <x:v>Mexico City Government — Street Food</x:v>
      </x:c>
      <x:c r="C227" s="38" t="str">
        <x:v>https://mexicocity.cdmx.gob.mx/e/food-basics/street-food/?lang=en</x:v>
      </x:c>
      <x:c r="D227" s="38" t="str">
        <x:v>government-tourism</x:v>
      </x:c>
      <x:c r="E227" s="38" t="str">
        <x:v>Official Mexico City guide identifies tacos al pastor as essential Mexico City street food and links the style to Lebanese immigration. Smithsonian food history further supports pork replacing lamb and later pineapple use.</x:v>
      </x:c>
      <x:c r="F227" s="75" t="b">
        <x:v>1</x:v>
      </x:c>
    </x:row>
    <x:row r="228">
      <x:c r="A228" s="38" t="str">
        <x:v>arroz-con-pollo</x:v>
      </x:c>
      <x:c r="B228" s="38" t="str">
        <x:v>UC Agriculture and Natural Resources — Arroz con Pollo (Colombia)</x:v>
      </x:c>
      <x:c r="C228" s="38" t="str">
        <x:v>https://ucanr.edu/site/agricultura-y-recursos-naturales/sabores-de-nuestras-tierras-0</x:v>
      </x:c>
      <x:c r="D228" s="38" t="str">
        <x:v>culinary-reference</x:v>
      </x:c>
      <x:c r="E228" s="38" t="str">
        <x:v>University of California Agriculture and Natural Resources provides a Colombian arroz con pollo preparation using chicken, rice, broth, vegetables, aromatics and seasonings, supporting the Colombia catalog grouping.</x:v>
      </x:c>
      <x:c r="F228" s="75" t="b">
        <x:v>1</x:v>
      </x:c>
    </x:row>
    <x:row r="229">
      <x:c r="A229" s="38" t="str">
        <x:v>macaroni-and-cheese</x:v>
      </x:c>
      <x:c r="B229" s="38" t="str">
        <x:v>Smithsonian Magazine — A Brief History of America's Appetite for Macaroni and Cheese</x:v>
      </x:c>
      <x:c r="C229" s="38" t="str">
        <x:v>https://www.smithsonianmag.com/history/brief-history-americas-appetite-for-macaroni-cheese-180969185/</x:v>
      </x:c>
      <x:c r="D229" s="38" t="str">
        <x:v>cultural-institution</x:v>
      </x:c>
      <x:c r="E229" s="38" t="str">
        <x:v>Smithsonian history source documents macaroni and cheese as a long-standing American staple while also noting older European roots and U.S. popularization.</x:v>
      </x:c>
      <x:c r="F229" s="75" t="b">
        <x:v>1</x:v>
      </x:c>
    </x:row>
    <x:row r="230">
      <x:c r="A230" s="38" t="str">
        <x:v>gumbo</x:v>
      </x:c>
      <x:c r="B230" s="38" t="str">
        <x:v>Explore Louisiana — Guide to Gumbo</x:v>
      </x:c>
      <x:c r="C230" s="38" t="str">
        <x:v>https://www.explorelouisiana.com/culinary/dish/louisiana-gumbo</x:v>
      </x:c>
      <x:c r="D230" s="38" t="str">
        <x:v>government-tourism</x:v>
      </x:c>
      <x:c r="E230" s="38" t="str">
        <x:v>Official Louisiana tourism source describes gumbo as a Louisiana stew using strongly flavored stock, roux and/or okra/filé, aromatics and meat or seafood, commonly served with rice.</x:v>
      </x:c>
      <x:c r="F230" s="75" t="b">
        <x:v>1</x:v>
      </x:c>
    </x:row>
    <x:row r="231">
      <x:c r="A231" s="38" t="str">
        <x:v>tacos-al-pastor</x:v>
      </x:c>
      <x:c r="B231" s="38" t="str">
        <x:v>Smithsonian Magazine — Where Did the Taco Come From?</x:v>
      </x:c>
      <x:c r="C231" s="38" t="str">
        <x:v>https://www.smithsonianmag.com/arts-culture/where-did-the-taco-come-from-81228162/</x:v>
      </x:c>
      <x:c r="D231" s="38" t="str">
        <x:v>cultural-institution</x:v>
      </x:c>
      <x:c r="E231" s="38" t="str">
        <x:v>Smithsonian interview with food historian Jeffrey Pilcher supports the Lebanese-migrant influence, transition from lamb to pork, and later pineapple association in tacos al pastor.</x:v>
      </x:c>
      <x:c r="F231" s="75" t="b">
        <x:v>1</x:v>
      </x:c>
    </x:row>
    <x:row r="232">
      <x:c r="A232" s="38"/>
      <x:c r="B232" s="38"/>
      <x:c r="C232" s="38"/>
      <x:c r="D232" s="38"/>
      <x:c r="E232" s="38"/>
      <x:c r="F232" s="38"/>
    </x:row>
    <x:row r="233">
      <x:c r="A233" s="38"/>
      <x:c r="B233" s="38"/>
      <x:c r="C233" s="38"/>
      <x:c r="D233" s="38"/>
      <x:c r="E233" s="38"/>
      <x:c r="F233" s="38"/>
    </x:row>
    <x:row r="234">
      <x:c r="A234" s="38"/>
      <x:c r="B234" s="38"/>
      <x:c r="C234" s="38"/>
      <x:c r="D234" s="38"/>
      <x:c r="E234" s="38"/>
      <x:c r="F234" s="38"/>
    </x:row>
    <x:row r="235">
      <x:c r="A235" s="38"/>
      <x:c r="B235" s="38"/>
      <x:c r="C235" s="38"/>
      <x:c r="D235" s="38"/>
      <x:c r="E235" s="38"/>
      <x:c r="F235" s="38"/>
    </x:row>
    <x:row r="236">
      <x:c r="A236" s="38"/>
      <x:c r="B236" s="38"/>
      <x:c r="C236" s="38"/>
      <x:c r="D236" s="38"/>
      <x:c r="E236" s="38"/>
      <x:c r="F236" s="38"/>
    </x:row>
    <x:row r="237">
      <x:c r="A237" s="38"/>
      <x:c r="B237" s="38"/>
      <x:c r="C237" s="38"/>
      <x:c r="D237" s="38"/>
      <x:c r="E237" s="38"/>
      <x:c r="F237" s="38"/>
    </x:row>
    <x:row r="238">
      <x:c r="A238" s="38"/>
      <x:c r="B238" s="38"/>
      <x:c r="C238" s="38"/>
      <x:c r="D238" s="38"/>
      <x:c r="E238" s="38"/>
      <x:c r="F238" s="38"/>
    </x:row>
    <x:row r="239">
      <x:c r="A239" s="38"/>
      <x:c r="B239" s="38"/>
      <x:c r="C239" s="38"/>
      <x:c r="D239" s="38"/>
      <x:c r="E239" s="38"/>
      <x:c r="F239" s="38"/>
    </x:row>
    <x:row r="240">
      <x:c r="A240" s="38"/>
      <x:c r="B240" s="38"/>
      <x:c r="C240" s="38"/>
      <x:c r="D240" s="38"/>
      <x:c r="E240" s="38"/>
      <x:c r="F240" s="38"/>
    </x:row>
    <x:row r="241">
      <x:c r="A241" s="38"/>
      <x:c r="B241" s="38"/>
      <x:c r="C241" s="38"/>
      <x:c r="D241" s="38"/>
      <x:c r="E241" s="38"/>
      <x:c r="F241" s="38"/>
    </x:row>
    <x:row r="242">
      <x:c r="A242" s="38"/>
      <x:c r="B242" s="38"/>
      <x:c r="C242" s="38"/>
      <x:c r="D242" s="38"/>
      <x:c r="E242" s="38"/>
      <x:c r="F242" s="38"/>
    </x:row>
    <x:row r="243">
      <x:c r="A243" s="38"/>
      <x:c r="B243" s="38"/>
      <x:c r="C243" s="38"/>
      <x:c r="D243" s="38"/>
      <x:c r="E243" s="38"/>
      <x:c r="F243" s="38"/>
    </x:row>
    <x:row r="244">
      <x:c r="A244" s="38"/>
      <x:c r="B244" s="38"/>
      <x:c r="C244" s="38"/>
      <x:c r="D244" s="38"/>
      <x:c r="E244" s="38"/>
      <x:c r="F244" s="38"/>
    </x:row>
    <x:row r="245">
      <x:c r="A245" s="38"/>
      <x:c r="B245" s="38"/>
      <x:c r="C245" s="38"/>
      <x:c r="D245" s="38"/>
      <x:c r="E245" s="38"/>
      <x:c r="F245" s="38"/>
    </x:row>
    <x:row r="246">
      <x:c r="A246" s="38"/>
      <x:c r="B246" s="38"/>
      <x:c r="C246" s="38"/>
      <x:c r="D246" s="38"/>
      <x:c r="E246" s="38"/>
      <x:c r="F246" s="38"/>
    </x:row>
    <x:row r="247">
      <x:c r="A247" s="38"/>
      <x:c r="B247" s="38"/>
      <x:c r="C247" s="38"/>
      <x:c r="D247" s="38"/>
      <x:c r="E247" s="38"/>
      <x:c r="F247" s="38"/>
    </x:row>
    <x:row r="248">
      <x:c r="A248" s="38"/>
      <x:c r="B248" s="38"/>
      <x:c r="C248" s="38"/>
      <x:c r="D248" s="38"/>
      <x:c r="E248" s="38"/>
      <x:c r="F248" s="38"/>
    </x:row>
    <x:row r="249">
      <x:c r="A249" s="38"/>
      <x:c r="B249" s="38"/>
      <x:c r="C249" s="38"/>
      <x:c r="D249" s="38"/>
      <x:c r="E249" s="38"/>
      <x:c r="F249" s="38"/>
    </x:row>
    <x:row r="250">
      <x:c r="A250" s="38"/>
      <x:c r="B250" s="38"/>
      <x:c r="C250" s="38"/>
      <x:c r="D250" s="38"/>
      <x:c r="E250" s="38"/>
      <x:c r="F250" s="38"/>
    </x:row>
    <x:row r="251">
      <x:c r="A251" s="38"/>
      <x:c r="B251" s="38"/>
      <x:c r="C251" s="38"/>
      <x:c r="D251" s="38"/>
      <x:c r="E251" s="38"/>
      <x:c r="F251" s="38"/>
    </x:row>
    <x:row r="252">
      <x:c r="A252" s="38"/>
      <x:c r="B252" s="38"/>
      <x:c r="C252" s="38"/>
      <x:c r="D252" s="38"/>
      <x:c r="E252" s="38"/>
      <x:c r="F252" s="38"/>
    </x:row>
    <x:row r="253">
      <x:c r="A253" s="38"/>
      <x:c r="B253" s="38"/>
      <x:c r="C253" s="38"/>
      <x:c r="D253" s="38"/>
      <x:c r="E253" s="38"/>
      <x:c r="F253" s="38"/>
    </x:row>
    <x:row r="254">
      <x:c r="A254" s="38"/>
      <x:c r="B254" s="38"/>
      <x:c r="C254" s="38"/>
      <x:c r="D254" s="38"/>
      <x:c r="E254" s="38"/>
      <x:c r="F254" s="38"/>
    </x:row>
    <x:row r="255">
      <x:c r="A255" s="38"/>
      <x:c r="B255" s="38"/>
      <x:c r="C255" s="38"/>
      <x:c r="D255" s="38"/>
      <x:c r="E255" s="38"/>
      <x:c r="F255" s="38"/>
    </x:row>
    <x:row r="256">
      <x:c r="A256" s="38"/>
      <x:c r="B256" s="38"/>
      <x:c r="C256" s="38"/>
      <x:c r="D256" s="38"/>
      <x:c r="E256" s="38"/>
      <x:c r="F256" s="38"/>
    </x:row>
    <x:row r="257">
      <x:c r="A257" s="38"/>
      <x:c r="B257" s="38"/>
      <x:c r="C257" s="38"/>
      <x:c r="D257" s="38"/>
      <x:c r="E257" s="38"/>
      <x:c r="F257" s="38"/>
    </x:row>
    <x:row r="258">
      <x:c r="A258" s="38"/>
      <x:c r="B258" s="38"/>
      <x:c r="C258" s="38"/>
      <x:c r="D258" s="38"/>
      <x:c r="E258" s="38"/>
      <x:c r="F258" s="38"/>
    </x:row>
    <x:row r="259">
      <x:c r="A259" s="38"/>
      <x:c r="B259" s="38"/>
      <x:c r="C259" s="38"/>
      <x:c r="D259" s="38"/>
      <x:c r="E259" s="38"/>
      <x:c r="F259" s="38"/>
    </x:row>
    <x:row r="260">
      <x:c r="A260" s="38"/>
      <x:c r="B260" s="38"/>
      <x:c r="C260" s="38"/>
      <x:c r="D260" s="38"/>
      <x:c r="E260" s="38"/>
      <x:c r="F260" s="38"/>
    </x:row>
    <x:row r="261">
      <x:c r="A261" s="38"/>
      <x:c r="B261" s="38"/>
      <x:c r="C261" s="38"/>
      <x:c r="D261" s="38"/>
      <x:c r="E261" s="38"/>
      <x:c r="F261" s="38"/>
    </x:row>
    <x:row r="262">
      <x:c r="A262" s="38"/>
      <x:c r="B262" s="38"/>
      <x:c r="C262" s="38"/>
      <x:c r="D262" s="38"/>
      <x:c r="E262" s="38"/>
      <x:c r="F262" s="38"/>
    </x:row>
    <x:row r="263">
      <x:c r="A263" s="38"/>
      <x:c r="B263" s="38"/>
      <x:c r="C263" s="38"/>
      <x:c r="D263" s="38"/>
      <x:c r="E263" s="38"/>
      <x:c r="F263" s="38"/>
    </x:row>
    <x:row r="264">
      <x:c r="A264" s="38"/>
      <x:c r="B264" s="38"/>
      <x:c r="C264" s="38"/>
      <x:c r="D264" s="38"/>
      <x:c r="E264" s="38"/>
      <x:c r="F264" s="38"/>
    </x:row>
    <x:row r="265">
      <x:c r="A265" s="38"/>
      <x:c r="B265" s="38"/>
      <x:c r="C265" s="38"/>
      <x:c r="D265" s="38"/>
      <x:c r="E265" s="38"/>
      <x:c r="F265" s="38"/>
    </x:row>
    <x:row r="266">
      <x:c r="A266" s="38"/>
      <x:c r="B266" s="38"/>
      <x:c r="C266" s="38"/>
      <x:c r="D266" s="38"/>
      <x:c r="E266" s="38"/>
      <x:c r="F266" s="38"/>
    </x:row>
    <x:row r="267">
      <x:c r="A267" s="38"/>
      <x:c r="B267" s="38"/>
      <x:c r="C267" s="38"/>
      <x:c r="D267" s="38"/>
      <x:c r="E267" s="38"/>
      <x:c r="F267" s="38"/>
    </x:row>
    <x:row r="268">
      <x:c r="A268" s="38"/>
      <x:c r="B268" s="38"/>
      <x:c r="C268" s="38"/>
      <x:c r="D268" s="38"/>
      <x:c r="E268" s="38"/>
      <x:c r="F268" s="38"/>
    </x:row>
    <x:row r="269">
      <x:c r="A269" s="38"/>
      <x:c r="B269" s="38"/>
      <x:c r="C269" s="38"/>
      <x:c r="D269" s="38"/>
      <x:c r="E269" s="38"/>
      <x:c r="F269" s="38"/>
    </x:row>
    <x:row r="270">
      <x:c r="A270" s="38"/>
      <x:c r="B270" s="38"/>
      <x:c r="C270" s="38"/>
      <x:c r="D270" s="38"/>
      <x:c r="E270" s="38"/>
      <x:c r="F270" s="38"/>
    </x:row>
    <x:row r="271">
      <x:c r="A271" s="38"/>
      <x:c r="B271" s="38"/>
      <x:c r="C271" s="38"/>
      <x:c r="D271" s="38"/>
      <x:c r="E271" s="38"/>
      <x:c r="F271" s="38"/>
    </x:row>
    <x:row r="272">
      <x:c r="A272" s="38"/>
      <x:c r="B272" s="38"/>
      <x:c r="C272" s="38"/>
      <x:c r="D272" s="38"/>
      <x:c r="E272" s="38"/>
      <x:c r="F272" s="38"/>
    </x:row>
    <x:row r="273">
      <x:c r="A273" s="38"/>
      <x:c r="B273" s="38"/>
      <x:c r="C273" s="38"/>
      <x:c r="D273" s="38"/>
      <x:c r="E273" s="38"/>
      <x:c r="F273" s="38"/>
    </x:row>
    <x:row r="274">
      <x:c r="A274" s="38"/>
      <x:c r="B274" s="38"/>
      <x:c r="C274" s="38"/>
      <x:c r="D274" s="38"/>
      <x:c r="E274" s="38"/>
      <x:c r="F274" s="38"/>
    </x:row>
    <x:row r="275">
      <x:c r="A275" s="38"/>
      <x:c r="B275" s="38"/>
      <x:c r="C275" s="38"/>
      <x:c r="D275" s="38"/>
      <x:c r="E275" s="38"/>
      <x:c r="F275" s="38"/>
    </x:row>
    <x:row r="276">
      <x:c r="A276" s="38"/>
      <x:c r="B276" s="38"/>
      <x:c r="C276" s="38"/>
      <x:c r="D276" s="38"/>
      <x:c r="E276" s="38"/>
      <x:c r="F276" s="38"/>
    </x:row>
    <x:row r="277">
      <x:c r="A277" s="38"/>
      <x:c r="B277" s="38"/>
      <x:c r="C277" s="38"/>
      <x:c r="D277" s="38"/>
      <x:c r="E277" s="38"/>
      <x:c r="F277" s="38"/>
    </x:row>
    <x:row r="278">
      <x:c r="A278" s="38"/>
      <x:c r="B278" s="38"/>
      <x:c r="C278" s="38"/>
      <x:c r="D278" s="38"/>
      <x:c r="E278" s="38"/>
      <x:c r="F278" s="38"/>
    </x:row>
    <x:row r="279">
      <x:c r="A279" s="38"/>
      <x:c r="B279" s="38"/>
      <x:c r="C279" s="38"/>
      <x:c r="D279" s="38"/>
      <x:c r="E279" s="38"/>
      <x:c r="F279" s="38"/>
    </x:row>
    <x:row r="280">
      <x:c r="A280" s="38"/>
      <x:c r="B280" s="38"/>
      <x:c r="C280" s="38"/>
      <x:c r="D280" s="38"/>
      <x:c r="E280" s="38"/>
      <x:c r="F280" s="38"/>
    </x:row>
    <x:row r="281">
      <x:c r="A281" s="38"/>
      <x:c r="B281" s="38"/>
      <x:c r="C281" s="38"/>
      <x:c r="D281" s="38"/>
      <x:c r="E281" s="38"/>
      <x:c r="F281" s="38"/>
    </x:row>
    <x:row r="282">
      <x:c r="A282" s="38"/>
      <x:c r="B282" s="38"/>
      <x:c r="C282" s="38"/>
      <x:c r="D282" s="38"/>
      <x:c r="E282" s="38"/>
      <x:c r="F282" s="38"/>
    </x:row>
    <x:row r="283">
      <x:c r="A283" s="38"/>
      <x:c r="B283" s="38"/>
      <x:c r="C283" s="38"/>
      <x:c r="D283" s="38"/>
      <x:c r="E283" s="38"/>
      <x:c r="F283" s="38"/>
    </x:row>
    <x:row r="284">
      <x:c r="A284" s="38"/>
      <x:c r="B284" s="38"/>
      <x:c r="C284" s="38"/>
      <x:c r="D284" s="38"/>
      <x:c r="E284" s="38"/>
      <x:c r="F284" s="38"/>
    </x:row>
    <x:row r="285">
      <x:c r="A285" s="38"/>
      <x:c r="B285" s="38"/>
      <x:c r="C285" s="38"/>
      <x:c r="D285" s="38"/>
      <x:c r="E285" s="38"/>
      <x:c r="F285" s="38"/>
    </x:row>
    <x:row r="286">
      <x:c r="A286" s="38"/>
      <x:c r="B286" s="38"/>
      <x:c r="C286" s="38"/>
      <x:c r="D286" s="38"/>
      <x:c r="E286" s="38"/>
      <x:c r="F286" s="38"/>
    </x:row>
    <x:row r="287">
      <x:c r="A287" s="38"/>
      <x:c r="B287" s="38"/>
      <x:c r="C287" s="38"/>
      <x:c r="D287" s="38"/>
      <x:c r="E287" s="38"/>
      <x:c r="F287" s="38"/>
    </x:row>
    <x:row r="288">
      <x:c r="A288" s="38"/>
      <x:c r="B288" s="38"/>
      <x:c r="C288" s="38"/>
      <x:c r="D288" s="38"/>
      <x:c r="E288" s="38"/>
      <x:c r="F288" s="38"/>
    </x:row>
    <x:row r="289">
      <x:c r="A289" s="38"/>
      <x:c r="B289" s="38"/>
      <x:c r="C289" s="38"/>
      <x:c r="D289" s="38"/>
      <x:c r="E289" s="38"/>
      <x:c r="F289" s="38"/>
    </x:row>
    <x:row r="290">
      <x:c r="A290" s="38"/>
      <x:c r="B290" s="38"/>
      <x:c r="C290" s="38"/>
      <x:c r="D290" s="38"/>
      <x:c r="E290" s="38"/>
      <x:c r="F290" s="38"/>
    </x:row>
    <x:row r="291">
      <x:c r="A291" s="38"/>
      <x:c r="B291" s="38"/>
      <x:c r="C291" s="38"/>
      <x:c r="D291" s="38"/>
      <x:c r="E291" s="38"/>
      <x:c r="F291" s="38"/>
    </x:row>
    <x:row r="292">
      <x:c r="A292" s="38"/>
      <x:c r="B292" s="38"/>
      <x:c r="C292" s="38"/>
      <x:c r="D292" s="38"/>
      <x:c r="E292" s="38"/>
      <x:c r="F292" s="38"/>
    </x:row>
    <x:row r="293">
      <x:c r="A293" s="38"/>
      <x:c r="B293" s="38"/>
      <x:c r="C293" s="38"/>
      <x:c r="D293" s="38"/>
      <x:c r="E293" s="38"/>
      <x:c r="F293" s="38"/>
    </x:row>
    <x:row r="294">
      <x:c r="A294" s="38"/>
      <x:c r="B294" s="38"/>
      <x:c r="C294" s="38"/>
      <x:c r="D294" s="38"/>
      <x:c r="E294" s="38"/>
      <x:c r="F294" s="38"/>
    </x:row>
    <x:row r="295">
      <x:c r="A295" s="38"/>
      <x:c r="B295" s="38"/>
      <x:c r="C295" s="38"/>
      <x:c r="D295" s="38"/>
      <x:c r="E295" s="38"/>
      <x:c r="F295" s="38"/>
    </x:row>
    <x:row r="296">
      <x:c r="A296" s="38"/>
      <x:c r="B296" s="38"/>
      <x:c r="C296" s="38"/>
      <x:c r="D296" s="38"/>
      <x:c r="E296" s="38"/>
      <x:c r="F296" s="38"/>
    </x:row>
    <x:row r="297">
      <x:c r="A297" s="38"/>
      <x:c r="B297" s="38"/>
      <x:c r="C297" s="38"/>
      <x:c r="D297" s="38"/>
      <x:c r="E297" s="38"/>
      <x:c r="F297" s="38"/>
    </x:row>
    <x:row r="298">
      <x:c r="A298" s="38"/>
      <x:c r="B298" s="38"/>
      <x:c r="C298" s="38"/>
      <x:c r="D298" s="38"/>
      <x:c r="E298" s="38"/>
      <x:c r="F298" s="38"/>
    </x:row>
    <x:row r="299">
      <x:c r="A299" s="38"/>
      <x:c r="B299" s="38"/>
      <x:c r="C299" s="38"/>
      <x:c r="D299" s="38"/>
      <x:c r="E299" s="38"/>
      <x:c r="F299" s="38"/>
    </x:row>
    <x:row r="300">
      <x:c r="A300" s="38"/>
      <x:c r="B300" s="38"/>
      <x:c r="C300" s="38"/>
      <x:c r="D300" s="38"/>
      <x:c r="E300" s="38"/>
      <x:c r="F300" s="38"/>
    </x:row>
    <x:row r="301">
      <x:c r="A301" s="38"/>
      <x:c r="B301" s="38"/>
      <x:c r="C301" s="38"/>
      <x:c r="D301" s="38"/>
      <x:c r="E301" s="38"/>
      <x:c r="F301" s="38"/>
    </x:row>
    <x:row r="302">
      <x:c r="A302" s="38"/>
      <x:c r="B302" s="38"/>
      <x:c r="C302" s="38"/>
      <x:c r="D302" s="38"/>
      <x:c r="E302" s="38"/>
      <x:c r="F302" s="38"/>
    </x:row>
    <x:row r="303">
      <x:c r="A303" s="38"/>
      <x:c r="B303" s="38"/>
      <x:c r="C303" s="38"/>
      <x:c r="D303" s="38"/>
      <x:c r="E303" s="38"/>
      <x:c r="F303" s="38"/>
    </x:row>
    <x:row r="304">
      <x:c r="A304" s="38"/>
      <x:c r="B304" s="38"/>
      <x:c r="C304" s="38"/>
      <x:c r="D304" s="38"/>
      <x:c r="E304" s="38"/>
      <x:c r="F304" s="38"/>
    </x:row>
    <x:row r="305">
      <x:c r="A305" s="38"/>
      <x:c r="B305" s="38"/>
      <x:c r="C305" s="38"/>
      <x:c r="D305" s="38"/>
      <x:c r="E305" s="38"/>
      <x:c r="F305" s="38"/>
    </x:row>
    <x:row r="306">
      <x:c r="A306" s="38"/>
      <x:c r="B306" s="38"/>
      <x:c r="C306" s="38"/>
      <x:c r="D306" s="38"/>
      <x:c r="E306" s="38"/>
      <x:c r="F306" s="38"/>
    </x:row>
    <x:row r="307">
      <x:c r="A307" s="38"/>
      <x:c r="B307" s="38"/>
      <x:c r="C307" s="38"/>
      <x:c r="D307" s="38"/>
      <x:c r="E307" s="38"/>
      <x:c r="F307" s="38"/>
    </x:row>
    <x:row r="308">
      <x:c r="A308" s="38"/>
      <x:c r="B308" s="38"/>
      <x:c r="C308" s="38"/>
      <x:c r="D308" s="38"/>
      <x:c r="E308" s="38"/>
      <x:c r="F308" s="38"/>
    </x:row>
    <x:row r="309">
      <x:c r="A309" s="38"/>
      <x:c r="B309" s="38"/>
      <x:c r="C309" s="38"/>
      <x:c r="D309" s="38"/>
      <x:c r="E309" s="38"/>
      <x:c r="F309" s="38"/>
    </x:row>
    <x:row r="310">
      <x:c r="A310" s="38"/>
      <x:c r="B310" s="38"/>
      <x:c r="C310" s="38"/>
      <x:c r="D310" s="38"/>
      <x:c r="E310" s="38"/>
      <x:c r="F310" s="38"/>
    </x:row>
    <x:row r="311">
      <x:c r="A311" s="38"/>
      <x:c r="B311" s="38"/>
      <x:c r="C311" s="38"/>
      <x:c r="D311" s="38"/>
      <x:c r="E311" s="38"/>
      <x:c r="F311" s="38"/>
    </x:row>
    <x:row r="312">
      <x:c r="A312" s="38"/>
      <x:c r="B312" s="38"/>
      <x:c r="C312" s="38"/>
      <x:c r="D312" s="38"/>
      <x:c r="E312" s="38"/>
      <x:c r="F312" s="38"/>
    </x:row>
    <x:row r="313">
      <x:c r="A313" s="38"/>
      <x:c r="B313" s="38"/>
      <x:c r="C313" s="38"/>
      <x:c r="D313" s="38"/>
      <x:c r="E313" s="38"/>
      <x:c r="F313" s="38"/>
    </x:row>
    <x:row r="314">
      <x:c r="A314" s="38"/>
      <x:c r="B314" s="38"/>
      <x:c r="C314" s="38"/>
      <x:c r="D314" s="38"/>
      <x:c r="E314" s="38"/>
      <x:c r="F314" s="38"/>
    </x:row>
    <x:row r="315">
      <x:c r="A315" s="38"/>
      <x:c r="B315" s="38"/>
      <x:c r="C315" s="38"/>
      <x:c r="D315" s="38"/>
      <x:c r="E315" s="38"/>
      <x:c r="F315" s="38"/>
    </x:row>
    <x:row r="316">
      <x:c r="A316" s="38"/>
      <x:c r="B316" s="38"/>
      <x:c r="C316" s="38"/>
      <x:c r="D316" s="38"/>
      <x:c r="E316" s="38"/>
      <x:c r="F316" s="38"/>
    </x:row>
    <x:row r="317">
      <x:c r="A317" s="38"/>
      <x:c r="B317" s="38"/>
      <x:c r="C317" s="38"/>
      <x:c r="D317" s="38"/>
      <x:c r="E317" s="38"/>
      <x:c r="F317" s="38"/>
    </x:row>
    <x:row r="318">
      <x:c r="A318" s="38"/>
      <x:c r="B318" s="38"/>
      <x:c r="C318" s="38"/>
      <x:c r="D318" s="38"/>
      <x:c r="E318" s="38"/>
      <x:c r="F318" s="38"/>
    </x:row>
    <x:row r="319">
      <x:c r="A319" s="38"/>
      <x:c r="B319" s="38"/>
      <x:c r="C319" s="38"/>
      <x:c r="D319" s="38"/>
      <x:c r="E319" s="38"/>
      <x:c r="F319" s="38"/>
    </x:row>
    <x:row r="320">
      <x:c r="A320" s="38"/>
      <x:c r="B320" s="38"/>
      <x:c r="C320" s="38"/>
      <x:c r="D320" s="38"/>
      <x:c r="E320" s="38"/>
      <x:c r="F320" s="38"/>
    </x:row>
    <x:row r="321">
      <x:c r="A321" s="38"/>
      <x:c r="B321" s="38"/>
      <x:c r="C321" s="38"/>
      <x:c r="D321" s="38"/>
      <x:c r="E321" s="38"/>
      <x:c r="F321" s="38"/>
    </x:row>
    <x:row r="322">
      <x:c r="A322" s="38"/>
      <x:c r="B322" s="38"/>
      <x:c r="C322" s="38"/>
      <x:c r="D322" s="38"/>
      <x:c r="E322" s="38"/>
      <x:c r="F322" s="38"/>
    </x:row>
    <x:row r="323">
      <x:c r="A323" s="38"/>
      <x:c r="B323" s="38"/>
      <x:c r="C323" s="38"/>
      <x:c r="D323" s="38"/>
      <x:c r="E323" s="38"/>
      <x:c r="F323" s="38"/>
    </x:row>
    <x:row r="324">
      <x:c r="A324" s="38"/>
      <x:c r="B324" s="38"/>
      <x:c r="C324" s="38"/>
      <x:c r="D324" s="38"/>
      <x:c r="E324" s="38"/>
      <x:c r="F324" s="38"/>
    </x:row>
    <x:row r="325">
      <x:c r="A325" s="38"/>
      <x:c r="B325" s="38"/>
      <x:c r="C325" s="38"/>
      <x:c r="D325" s="38"/>
      <x:c r="E325" s="38"/>
      <x:c r="F325" s="38"/>
    </x:row>
    <x:row r="326">
      <x:c r="A326" s="38"/>
      <x:c r="B326" s="38"/>
      <x:c r="C326" s="38"/>
      <x:c r="D326" s="38"/>
      <x:c r="E326" s="38"/>
      <x:c r="F326" s="38"/>
    </x:row>
    <x:row r="327">
      <x:c r="A327" s="38"/>
      <x:c r="B327" s="38"/>
      <x:c r="C327" s="38"/>
      <x:c r="D327" s="38"/>
      <x:c r="E327" s="38"/>
      <x:c r="F327" s="38"/>
    </x:row>
    <x:row r="328">
      <x:c r="A328" s="38"/>
      <x:c r="B328" s="38"/>
      <x:c r="C328" s="38"/>
      <x:c r="D328" s="38"/>
      <x:c r="E328" s="38"/>
      <x:c r="F328" s="38"/>
    </x:row>
    <x:row r="329">
      <x:c r="A329" s="38"/>
      <x:c r="B329" s="38"/>
      <x:c r="C329" s="38"/>
      <x:c r="D329" s="38"/>
      <x:c r="E329" s="38"/>
      <x:c r="F329" s="38"/>
    </x:row>
    <x:row r="330">
      <x:c r="A330" s="38"/>
      <x:c r="B330" s="38"/>
      <x:c r="C330" s="38"/>
      <x:c r="D330" s="38"/>
      <x:c r="E330" s="38"/>
      <x:c r="F330" s="38"/>
    </x:row>
    <x:row r="331">
      <x:c r="A331" s="38"/>
      <x:c r="B331" s="38"/>
      <x:c r="C331" s="38"/>
      <x:c r="D331" s="38"/>
      <x:c r="E331" s="38"/>
      <x:c r="F331" s="38"/>
    </x:row>
    <x:row r="332">
      <x:c r="A332" s="38"/>
      <x:c r="B332" s="38"/>
      <x:c r="C332" s="38"/>
      <x:c r="D332" s="38"/>
      <x:c r="E332" s="38"/>
      <x:c r="F332" s="38"/>
    </x:row>
    <x:row r="333">
      <x:c r="A333" s="38"/>
      <x:c r="B333" s="38"/>
      <x:c r="C333" s="38"/>
      <x:c r="D333" s="38"/>
      <x:c r="E333" s="38"/>
      <x:c r="F333" s="38"/>
    </x:row>
    <x:row r="334">
      <x:c r="A334" s="38"/>
      <x:c r="B334" s="38"/>
      <x:c r="C334" s="38"/>
      <x:c r="D334" s="38"/>
      <x:c r="E334" s="38"/>
      <x:c r="F334" s="38"/>
    </x:row>
    <x:row r="335">
      <x:c r="A335" s="38"/>
      <x:c r="B335" s="38"/>
      <x:c r="C335" s="38"/>
      <x:c r="D335" s="38"/>
      <x:c r="E335" s="38"/>
      <x:c r="F335" s="38"/>
    </x:row>
    <x:row r="336">
      <x:c r="A336" s="38"/>
      <x:c r="B336" s="38"/>
      <x:c r="C336" s="38"/>
      <x:c r="D336" s="38"/>
      <x:c r="E336" s="38"/>
      <x:c r="F336" s="38"/>
    </x:row>
    <x:row r="337">
      <x:c r="A337" s="38"/>
      <x:c r="B337" s="38"/>
      <x:c r="C337" s="38"/>
      <x:c r="D337" s="38"/>
      <x:c r="E337" s="38"/>
      <x:c r="F337" s="38"/>
    </x:row>
    <x:row r="338">
      <x:c r="A338" s="38"/>
      <x:c r="B338" s="38"/>
      <x:c r="C338" s="38"/>
      <x:c r="D338" s="38"/>
      <x:c r="E338" s="38"/>
      <x:c r="F338" s="38"/>
    </x:row>
    <x:row r="339">
      <x:c r="A339" s="38"/>
      <x:c r="B339" s="38"/>
      <x:c r="C339" s="38"/>
      <x:c r="D339" s="38"/>
      <x:c r="E339" s="38"/>
      <x:c r="F339" s="38"/>
    </x:row>
    <x:row r="340">
      <x:c r="A340" s="38"/>
      <x:c r="B340" s="38"/>
      <x:c r="C340" s="38"/>
      <x:c r="D340" s="38"/>
      <x:c r="E340" s="38"/>
      <x:c r="F340" s="38"/>
    </x:row>
    <x:row r="341">
      <x:c r="A341" s="38"/>
      <x:c r="B341" s="38"/>
      <x:c r="C341" s="38"/>
      <x:c r="D341" s="38"/>
      <x:c r="E341" s="38"/>
      <x:c r="F341" s="38"/>
    </x:row>
    <x:row r="342">
      <x:c r="A342" s="38"/>
      <x:c r="B342" s="38"/>
      <x:c r="C342" s="38"/>
      <x:c r="D342" s="38"/>
      <x:c r="E342" s="38"/>
      <x:c r="F342" s="38"/>
    </x:row>
    <x:row r="343">
      <x:c r="A343" s="38"/>
      <x:c r="B343" s="38"/>
      <x:c r="C343" s="38"/>
      <x:c r="D343" s="38"/>
      <x:c r="E343" s="38"/>
      <x:c r="F343" s="38"/>
    </x:row>
    <x:row r="344">
      <x:c r="A344" s="38"/>
      <x:c r="B344" s="38"/>
      <x:c r="C344" s="38"/>
      <x:c r="D344" s="38"/>
      <x:c r="E344" s="38"/>
      <x:c r="F344" s="38"/>
    </x:row>
    <x:row r="345">
      <x:c r="A345" s="38"/>
      <x:c r="B345" s="38"/>
      <x:c r="C345" s="38"/>
      <x:c r="D345" s="38"/>
      <x:c r="E345" s="38"/>
      <x:c r="F345" s="38"/>
    </x:row>
    <x:row r="346">
      <x:c r="A346" s="38"/>
      <x:c r="B346" s="38"/>
      <x:c r="C346" s="38"/>
      <x:c r="D346" s="38"/>
      <x:c r="E346" s="38"/>
      <x:c r="F346" s="38"/>
    </x:row>
    <x:row r="347">
      <x:c r="A347" s="38"/>
      <x:c r="B347" s="38"/>
      <x:c r="C347" s="38"/>
      <x:c r="D347" s="38"/>
      <x:c r="E347" s="38"/>
      <x:c r="F347" s="38"/>
    </x:row>
    <x:row r="348">
      <x:c r="A348" s="38"/>
      <x:c r="B348" s="38"/>
      <x:c r="C348" s="38"/>
      <x:c r="D348" s="38"/>
      <x:c r="E348" s="38"/>
      <x:c r="F348" s="38"/>
    </x:row>
    <x:row r="349">
      <x:c r="A349" s="38"/>
      <x:c r="B349" s="38"/>
      <x:c r="C349" s="38"/>
      <x:c r="D349" s="38"/>
      <x:c r="E349" s="38"/>
      <x:c r="F349" s="38"/>
    </x:row>
    <x:row r="350">
      <x:c r="A350" s="38"/>
      <x:c r="B350" s="38"/>
      <x:c r="C350" s="38"/>
      <x:c r="D350" s="38"/>
      <x:c r="E350" s="38"/>
      <x:c r="F350" s="38"/>
    </x:row>
    <x:row r="351">
      <x:c r="A351" s="38"/>
      <x:c r="B351" s="38"/>
      <x:c r="C351" s="38"/>
      <x:c r="D351" s="38"/>
      <x:c r="E351" s="38"/>
      <x:c r="F351" s="38"/>
    </x:row>
    <x:row r="352">
      <x:c r="A352" s="38"/>
      <x:c r="B352" s="38"/>
      <x:c r="C352" s="38"/>
      <x:c r="D352" s="38"/>
      <x:c r="E352" s="38"/>
      <x:c r="F352" s="38"/>
    </x:row>
    <x:row r="353">
      <x:c r="A353" s="38"/>
      <x:c r="B353" s="38"/>
      <x:c r="C353" s="38"/>
      <x:c r="D353" s="38"/>
      <x:c r="E353" s="38"/>
      <x:c r="F353" s="38"/>
    </x:row>
    <x:row r="354">
      <x:c r="A354" s="38"/>
      <x:c r="B354" s="38"/>
      <x:c r="C354" s="38"/>
      <x:c r="D354" s="38"/>
      <x:c r="E354" s="38"/>
      <x:c r="F354" s="38"/>
    </x:row>
    <x:row r="355">
      <x:c r="A355" s="38"/>
      <x:c r="B355" s="38"/>
      <x:c r="C355" s="38"/>
      <x:c r="D355" s="38"/>
      <x:c r="E355" s="38"/>
      <x:c r="F355" s="38"/>
    </x:row>
    <x:row r="356">
      <x:c r="A356" s="38"/>
      <x:c r="B356" s="38"/>
      <x:c r="C356" s="38"/>
      <x:c r="D356" s="38"/>
      <x:c r="E356" s="38"/>
      <x:c r="F356" s="38"/>
    </x:row>
    <x:row r="357">
      <x:c r="A357" s="38"/>
      <x:c r="B357" s="38"/>
      <x:c r="C357" s="38"/>
      <x:c r="D357" s="38"/>
      <x:c r="E357" s="38"/>
      <x:c r="F357" s="38"/>
    </x:row>
    <x:row r="358">
      <x:c r="A358" s="38"/>
      <x:c r="B358" s="38"/>
      <x:c r="C358" s="38"/>
      <x:c r="D358" s="38"/>
      <x:c r="E358" s="38"/>
      <x:c r="F358" s="38"/>
    </x:row>
    <x:row r="359">
      <x:c r="A359" s="38"/>
      <x:c r="B359" s="38"/>
      <x:c r="C359" s="38"/>
      <x:c r="D359" s="38"/>
      <x:c r="E359" s="38"/>
      <x:c r="F359" s="38"/>
    </x:row>
    <x:row r="360">
      <x:c r="A360" s="38"/>
      <x:c r="B360" s="38"/>
      <x:c r="C360" s="38"/>
      <x:c r="D360" s="38"/>
      <x:c r="E360" s="38"/>
      <x:c r="F360" s="38"/>
    </x:row>
    <x:row r="361">
      <x:c r="A361" s="38"/>
      <x:c r="B361" s="38"/>
      <x:c r="C361" s="38"/>
      <x:c r="D361" s="38"/>
      <x:c r="E361" s="38"/>
      <x:c r="F361" s="38"/>
    </x:row>
    <x:row r="362">
      <x:c r="A362" s="38"/>
      <x:c r="B362" s="38"/>
      <x:c r="C362" s="38"/>
      <x:c r="D362" s="38"/>
      <x:c r="E362" s="38"/>
      <x:c r="F362" s="38"/>
    </x:row>
    <x:row r="363">
      <x:c r="A363" s="38"/>
      <x:c r="B363" s="38"/>
      <x:c r="C363" s="38"/>
      <x:c r="D363" s="38"/>
      <x:c r="E363" s="38"/>
      <x:c r="F363" s="38"/>
    </x:row>
    <x:row r="364">
      <x:c r="A364" s="38"/>
      <x:c r="B364" s="38"/>
      <x:c r="C364" s="38"/>
      <x:c r="D364" s="38"/>
      <x:c r="E364" s="38"/>
      <x:c r="F364" s="38"/>
    </x:row>
    <x:row r="365">
      <x:c r="A365" s="38"/>
      <x:c r="B365" s="38"/>
      <x:c r="C365" s="38"/>
      <x:c r="D365" s="38"/>
      <x:c r="E365" s="38"/>
      <x:c r="F365" s="38"/>
    </x:row>
    <x:row r="366">
      <x:c r="A366" s="38"/>
      <x:c r="B366" s="38"/>
      <x:c r="C366" s="38"/>
      <x:c r="D366" s="38"/>
      <x:c r="E366" s="38"/>
      <x:c r="F366" s="38"/>
    </x:row>
    <x:row r="367">
      <x:c r="A367" s="38"/>
      <x:c r="B367" s="38"/>
      <x:c r="C367" s="38"/>
      <x:c r="D367" s="38"/>
      <x:c r="E367" s="38"/>
      <x:c r="F367" s="38"/>
    </x:row>
    <x:row r="368">
      <x:c r="A368" s="38"/>
      <x:c r="B368" s="38"/>
      <x:c r="C368" s="38"/>
      <x:c r="D368" s="38"/>
      <x:c r="E368" s="38"/>
      <x:c r="F368" s="38"/>
    </x:row>
    <x:row r="369">
      <x:c r="A369" s="38"/>
      <x:c r="B369" s="38"/>
      <x:c r="C369" s="38"/>
      <x:c r="D369" s="38"/>
      <x:c r="E369" s="38"/>
      <x:c r="F369" s="38"/>
    </x:row>
    <x:row r="370">
      <x:c r="A370" s="38"/>
      <x:c r="B370" s="38"/>
      <x:c r="C370" s="38"/>
      <x:c r="D370" s="38"/>
      <x:c r="E370" s="38"/>
      <x:c r="F370" s="38"/>
    </x:row>
    <x:row r="371">
      <x:c r="A371" s="38"/>
      <x:c r="B371" s="38"/>
      <x:c r="C371" s="38"/>
      <x:c r="D371" s="38"/>
      <x:c r="E371" s="38"/>
      <x:c r="F371" s="38"/>
    </x:row>
    <x:row r="372">
      <x:c r="A372" s="38"/>
      <x:c r="B372" s="38"/>
      <x:c r="C372" s="38"/>
      <x:c r="D372" s="38"/>
      <x:c r="E372" s="38"/>
      <x:c r="F372" s="38"/>
    </x:row>
    <x:row r="373">
      <x:c r="A373" s="38"/>
      <x:c r="B373" s="38"/>
      <x:c r="C373" s="38"/>
      <x:c r="D373" s="38"/>
      <x:c r="E373" s="38"/>
      <x:c r="F373" s="38"/>
    </x:row>
    <x:row r="374">
      <x:c r="A374" s="38"/>
      <x:c r="B374" s="38"/>
      <x:c r="C374" s="38"/>
      <x:c r="D374" s="38"/>
      <x:c r="E374" s="38"/>
      <x:c r="F374" s="38"/>
    </x:row>
    <x:row r="375">
      <x:c r="A375" s="38"/>
      <x:c r="B375" s="38"/>
      <x:c r="C375" s="38"/>
      <x:c r="D375" s="38"/>
      <x:c r="E375" s="38"/>
      <x:c r="F375" s="38"/>
    </x:row>
    <x:row r="376">
      <x:c r="A376" s="38"/>
      <x:c r="B376" s="38"/>
      <x:c r="C376" s="38"/>
      <x:c r="D376" s="38"/>
      <x:c r="E376" s="38"/>
      <x:c r="F376" s="38"/>
    </x:row>
    <x:row r="377">
      <x:c r="A377" s="38"/>
      <x:c r="B377" s="38"/>
      <x:c r="C377" s="38"/>
      <x:c r="D377" s="38"/>
      <x:c r="E377" s="38"/>
      <x:c r="F377" s="38"/>
    </x:row>
    <x:row r="378">
      <x:c r="A378" s="38"/>
      <x:c r="B378" s="38"/>
      <x:c r="C378" s="38"/>
      <x:c r="D378" s="38"/>
      <x:c r="E378" s="38"/>
      <x:c r="F378" s="38"/>
    </x:row>
    <x:row r="379">
      <x:c r="A379" s="38"/>
      <x:c r="B379" s="38"/>
      <x:c r="C379" s="38"/>
      <x:c r="D379" s="38"/>
      <x:c r="E379" s="38"/>
      <x:c r="F379" s="38"/>
    </x:row>
    <x:row r="380">
      <x:c r="A380" s="38"/>
      <x:c r="B380" s="38"/>
      <x:c r="C380" s="38"/>
      <x:c r="D380" s="38"/>
      <x:c r="E380" s="38"/>
      <x:c r="F380" s="38"/>
    </x:row>
    <x:row r="381">
      <x:c r="A381" s="38"/>
      <x:c r="B381" s="38"/>
      <x:c r="C381" s="38"/>
      <x:c r="D381" s="38"/>
      <x:c r="E381" s="38"/>
      <x:c r="F381" s="38"/>
    </x:row>
    <x:row r="382">
      <x:c r="A382" s="38"/>
      <x:c r="B382" s="38"/>
      <x:c r="C382" s="38"/>
      <x:c r="D382" s="38"/>
      <x:c r="E382" s="38"/>
      <x:c r="F382" s="38"/>
    </x:row>
    <x:row r="383">
      <x:c r="A383" s="38"/>
      <x:c r="B383" s="38"/>
      <x:c r="C383" s="38"/>
      <x:c r="D383" s="38"/>
      <x:c r="E383" s="38"/>
      <x:c r="F383" s="38"/>
    </x:row>
    <x:row r="384">
      <x:c r="A384" s="38"/>
      <x:c r="B384" s="38"/>
      <x:c r="C384" s="38"/>
      <x:c r="D384" s="38"/>
      <x:c r="E384" s="38"/>
      <x:c r="F384" s="38"/>
    </x:row>
    <x:row r="385">
      <x:c r="A385" s="38"/>
      <x:c r="B385" s="38"/>
      <x:c r="C385" s="38"/>
      <x:c r="D385" s="38"/>
      <x:c r="E385" s="38"/>
      <x:c r="F385" s="38"/>
    </x:row>
    <x:row r="386">
      <x:c r="A386" s="38"/>
      <x:c r="B386" s="38"/>
      <x:c r="C386" s="38"/>
      <x:c r="D386" s="38"/>
      <x:c r="E386" s="38"/>
      <x:c r="F386" s="38"/>
    </x:row>
    <x:row r="387">
      <x:c r="A387" s="38"/>
      <x:c r="B387" s="38"/>
      <x:c r="C387" s="38"/>
      <x:c r="D387" s="38"/>
      <x:c r="E387" s="38"/>
      <x:c r="F387" s="38"/>
    </x:row>
    <x:row r="388">
      <x:c r="A388" s="38"/>
      <x:c r="B388" s="38"/>
      <x:c r="C388" s="38"/>
      <x:c r="D388" s="38"/>
      <x:c r="E388" s="38"/>
      <x:c r="F388" s="38"/>
    </x:row>
    <x:row r="389">
      <x:c r="A389" s="38"/>
      <x:c r="B389" s="38"/>
      <x:c r="C389" s="38"/>
      <x:c r="D389" s="38"/>
      <x:c r="E389" s="38"/>
      <x:c r="F389" s="38"/>
    </x:row>
    <x:row r="390">
      <x:c r="A390" s="38"/>
      <x:c r="B390" s="38"/>
      <x:c r="C390" s="38"/>
      <x:c r="D390" s="38"/>
      <x:c r="E390" s="38"/>
      <x:c r="F390" s="38"/>
    </x:row>
    <x:row r="391">
      <x:c r="A391" s="38"/>
      <x:c r="B391" s="38"/>
      <x:c r="C391" s="38"/>
      <x:c r="D391" s="38"/>
      <x:c r="E391" s="38"/>
      <x:c r="F391" s="38"/>
    </x:row>
    <x:row r="392">
      <x:c r="A392" s="38"/>
      <x:c r="B392" s="38"/>
      <x:c r="C392" s="38"/>
      <x:c r="D392" s="38"/>
      <x:c r="E392" s="38"/>
      <x:c r="F392" s="38"/>
    </x:row>
    <x:row r="393">
      <x:c r="A393" s="38"/>
      <x:c r="B393" s="38"/>
      <x:c r="C393" s="38"/>
      <x:c r="D393" s="38"/>
      <x:c r="E393" s="38"/>
      <x:c r="F393" s="38"/>
    </x:row>
    <x:row r="394">
      <x:c r="A394" s="38"/>
      <x:c r="B394" s="38"/>
      <x:c r="C394" s="38"/>
      <x:c r="D394" s="38"/>
      <x:c r="E394" s="38"/>
      <x:c r="F394" s="38"/>
    </x:row>
    <x:row r="395">
      <x:c r="A395" s="38"/>
      <x:c r="B395" s="38"/>
      <x:c r="C395" s="38"/>
      <x:c r="D395" s="38"/>
      <x:c r="E395" s="38"/>
      <x:c r="F395" s="38"/>
    </x:row>
    <x:row r="396">
      <x:c r="A396" s="38"/>
      <x:c r="B396" s="38"/>
      <x:c r="C396" s="38"/>
      <x:c r="D396" s="38"/>
      <x:c r="E396" s="38"/>
      <x:c r="F396" s="38"/>
    </x:row>
    <x:row r="397">
      <x:c r="A397" s="38"/>
      <x:c r="B397" s="38"/>
      <x:c r="C397" s="38"/>
      <x:c r="D397" s="38"/>
      <x:c r="E397" s="38"/>
      <x:c r="F397" s="38"/>
    </x:row>
    <x:row r="398">
      <x:c r="A398" s="38"/>
      <x:c r="B398" s="38"/>
      <x:c r="C398" s="38"/>
      <x:c r="D398" s="38"/>
      <x:c r="E398" s="38"/>
      <x:c r="F398" s="38"/>
    </x:row>
    <x:row r="399">
      <x:c r="A399" s="38"/>
      <x:c r="B399" s="38"/>
      <x:c r="C399" s="38"/>
      <x:c r="D399" s="38"/>
      <x:c r="E399" s="38"/>
      <x:c r="F399" s="38"/>
    </x:row>
    <x:row r="400">
      <x:c r="A400" s="38"/>
      <x:c r="B400" s="38"/>
      <x:c r="C400" s="38"/>
      <x:c r="D400" s="38"/>
      <x:c r="E400" s="38"/>
      <x:c r="F400" s="38"/>
    </x:row>
    <x:row r="401">
      <x:c r="A401" s="38"/>
      <x:c r="B401" s="38"/>
      <x:c r="C401" s="38"/>
      <x:c r="D401" s="38"/>
      <x:c r="E401" s="38"/>
      <x:c r="F401" s="38"/>
    </x:row>
    <x:row r="402">
      <x:c r="A402" s="38"/>
      <x:c r="B402" s="38"/>
      <x:c r="C402" s="38"/>
      <x:c r="D402" s="38"/>
      <x:c r="E402" s="38"/>
      <x:c r="F402" s="38"/>
    </x:row>
    <x:row r="403">
      <x:c r="A403" s="38"/>
      <x:c r="B403" s="38"/>
      <x:c r="C403" s="38"/>
      <x:c r="D403" s="38"/>
      <x:c r="E403" s="38"/>
      <x:c r="F403" s="38"/>
    </x:row>
    <x:row r="404">
      <x:c r="A404" s="38"/>
      <x:c r="B404" s="38"/>
      <x:c r="C404" s="38"/>
      <x:c r="D404" s="38"/>
      <x:c r="E404" s="38"/>
      <x:c r="F404" s="38"/>
    </x:row>
  </x:sheetData>
  <x:mergeCells>
    <x:mergeCell ref="A1:F1"/>
    <x:mergeCell ref="A2:F2"/>
  </x:mergeCells>
  <x:dataValidations count="2">
    <x:dataValidation type="list" sqref="D5:D404">
      <x:formula1>"cultural-institution,government-tourism,encyclopedia-reference,culinary-reference,editorial-recipe"</x:formula1>
    </x:dataValidation>
    <x:dataValidation type="list" sqref="F5:F404">
      <x:formula1>"true,false"</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28" hidden="0" customWidth="1"/>
    <x:col min="4" max="4" width="22" hidden="0" customWidth="1"/>
    <x:col min="5" max="5" width="24" hidden="0" customWidth="1"/>
    <x:col min="7" max="7" width="20" hidden="0" customWidth="1"/>
    <x:col min="9" max="9" width="20" hidden="0" customWidth="1"/>
    <x:col min="11" max="11" width="18" hidden="0" customWidth="1"/>
    <x:col min="12" max="12" width="28" hidden="0" customWidth="1"/>
    <x:col min="14" max="14" width="18" hidden="0" customWidth="1"/>
  </x:cols>
  <x:sheetData>
    <x:row r="1">
      <x:c r="A1" s="3" t="str">
        <x:v>Nom Catalog — Allowed Values &amp; Rules</x:v>
      </x:c>
      <x:c r="B1" s="3"/>
      <x:c r="C1" s="3"/>
      <x:c r="D1" s="3"/>
      <x:c r="E1" s="3"/>
      <x:c r="F1" s="3"/>
      <x:c r="G1" s="3"/>
      <x:c r="H1" s="3"/>
      <x:c r="I1" s="3"/>
      <x:c r="J1" s="3"/>
      <x:c r="K1" s="3"/>
      <x:c r="L1" s="3"/>
      <x:c r="M1" s="3"/>
      <x:c r="N1" s="3"/>
    </x:row>
    <x:row r="2" ht="34" customHeight="1">
      <x:c r="A2" s="45" t="str">
        <x:v>Use these controlled values in Dishes/Images/Sources. 'anything' and 'surprise-me' are session behaviors and must not appear as dish attributes.</x:v>
      </x:c>
      <x:c r="B2" s="45"/>
      <x:c r="C2" s="45"/>
      <x:c r="D2" s="45"/>
      <x:c r="E2" s="45"/>
      <x:c r="F2" s="45"/>
      <x:c r="G2" s="45"/>
      <x:c r="H2" s="45"/>
      <x:c r="I2" s="45"/>
      <x:c r="J2" s="45"/>
      <x:c r="K2" s="45"/>
      <x:c r="L2" s="45"/>
      <x:c r="M2" s="45"/>
      <x:c r="N2" s="45"/>
    </x:row>
    <x:row r="4">
      <x:c r="A4" s="17" t="str">
        <x:v>Region ID</x:v>
      </x:c>
      <x:c r="B4" s="17" t="str">
        <x:v>Display Label</x:v>
      </x:c>
      <x:c r="D4" s="17" t="str">
        <x:v>Food Type ID</x:v>
      </x:c>
      <x:c r="E4" s="17" t="str">
        <x:v>Display Label</x:v>
      </x:c>
      <x:c r="G4" s="17" t="str">
        <x:v>Preference Flavors</x:v>
      </x:c>
      <x:c r="H4" s="168" t="str">
        <x:v>V1 Status</x:v>
      </x:c>
      <x:c r="I4" s="17" t="str">
        <x:v>Descriptors</x:v>
      </x:c>
      <x:c r="K4" s="17" t="str">
        <x:v>Adventure Level</x:v>
      </x:c>
      <x:c r="L4" s="17" t="str">
        <x:v>Display Label</x:v>
      </x:c>
      <x:c r="N4" s="17" t="str">
        <x:v>Review Status</x:v>
      </x:c>
    </x:row>
    <x:row r="5">
      <x:c r="A5" t="str">
        <x:v>east-asia</x:v>
      </x:c>
      <x:c r="B5" t="str">
        <x:v>East Asia</x:v>
      </x:c>
      <x:c r="D5" t="str">
        <x:v>noodle</x:v>
      </x:c>
      <x:c r="E5" t="str">
        <x:v>Noodles &amp; Pasta</x:v>
      </x:c>
      <x:c r="G5" t="str">
        <x:v>spicy</x:v>
      </x:c>
      <x:c r="H5" s="168" t="str">
        <x:v>FROZEN</x:v>
      </x:c>
      <x:c r="I5" t="str">
        <x:v>savory</x:v>
      </x:c>
      <x:c r="K5" t="n">
        <x:v>1</x:v>
      </x:c>
      <x:c r="L5" t="str">
        <x:v>Familiar</x:v>
      </x:c>
      <x:c r="N5" t="str">
        <x:v>draft</x:v>
      </x:c>
    </x:row>
    <x:row r="6">
      <x:c r="A6" t="str">
        <x:v>southeast-asia</x:v>
      </x:c>
      <x:c r="B6" t="str">
        <x:v>Southeast Asia</x:v>
      </x:c>
      <x:c r="D6" t="str">
        <x:v>rice</x:v>
      </x:c>
      <x:c r="E6" t="str">
        <x:v>Rice &amp; Starches</x:v>
      </x:c>
      <x:c r="G6" t="str">
        <x:v>comforting</x:v>
      </x:c>
      <x:c r="H6" s="168" t="str">
        <x:v>FROZEN</x:v>
      </x:c>
      <x:c r="I6" t="str">
        <x:v>smoky</x:v>
      </x:c>
      <x:c r="K6" t="n">
        <x:v>2</x:v>
      </x:c>
      <x:c r="L6" t="str">
        <x:v>Try Something Different</x:v>
      </x:c>
      <x:c r="N6" t="str">
        <x:v>needs-review</x:v>
      </x:c>
    </x:row>
    <x:row r="7">
      <x:c r="A7" t="str">
        <x:v>south-asia</x:v>
      </x:c>
      <x:c r="B7" t="str">
        <x:v>South Asia</x:v>
      </x:c>
      <x:c r="D7" t="str">
        <x:v>soup-broth</x:v>
      </x:c>
      <x:c r="E7" t="str">
        <x:v>Soups &amp; Stews</x:v>
      </x:c>
      <x:c r="G7" t="str">
        <x:v>fresh</x:v>
      </x:c>
      <x:c r="H7" s="168" t="str">
        <x:v>FROZEN</x:v>
      </x:c>
      <x:c r="I7" t="str">
        <x:v>bold</x:v>
      </x:c>
      <x:c r="K7" t="n">
        <x:v>3</x:v>
      </x:c>
      <x:c r="L7" t="str">
        <x:v>Feeling Adventurous</x:v>
      </x:c>
      <x:c r="N7" t="str">
        <x:v>approved</x:v>
      </x:c>
    </x:row>
    <x:row r="8">
      <x:c r="A8" t="str">
        <x:v>middle-east</x:v>
      </x:c>
      <x:c r="B8" t="str">
        <x:v>Middle East</x:v>
      </x:c>
      <x:c r="D8" t="str">
        <x:v>grilled-protein</x:v>
      </x:c>
      <x:c r="E8" t="str">
        <x:v>Protein Mains</x:v>
      </x:c>
      <x:c r="G8" t="str">
        <x:v>rich</x:v>
      </x:c>
      <x:c r="H8" s="168" t="str">
        <x:v>FROZEN</x:v>
      </x:c>
      <x:c r="I8" t="str">
        <x:v>light</x:v>
      </x:c>
      <x:c r="N8" t="str">
        <x:v>rejected</x:v>
      </x:c>
    </x:row>
    <x:row r="9">
      <x:c r="A9" t="str">
        <x:v>africa</x:v>
      </x:c>
      <x:c r="B9" t="str">
        <x:v>Africa</x:v>
      </x:c>
      <x:c r="D9" t="str">
        <x:v>handheld</x:v>
      </x:c>
      <x:c r="E9" t="str">
        <x:v>Handhelds &amp; Bites</x:v>
      </x:c>
      <x:c r="G9" t="str">
        <x:v>crispy</x:v>
      </x:c>
      <x:c r="H9" s="168" t="str">
        <x:v>FROZEN</x:v>
      </x:c>
      <x:c r="I9" t="str">
        <x:v>sweet</x:v>
      </x:c>
    </x:row>
    <x:row r="10">
      <x:c r="A10" t="str">
        <x:v>europe</x:v>
      </x:c>
      <x:c r="B10" t="str">
        <x:v>Europe</x:v>
      </x:c>
      <x:c r="G10" t="str">
        <x:v>tangy</x:v>
      </x:c>
      <x:c r="H10" s="168" t="str">
        <x:v>FROZEN</x:v>
      </x:c>
      <x:c r="I10" t="str">
        <x:v>umami</x:v>
      </x:c>
    </x:row>
    <x:row r="11">
      <x:c r="A11" t="str">
        <x:v>latin-america</x:v>
      </x:c>
      <x:c r="B11" t="str">
        <x:v>Latin America &amp; Caribbean</x:v>
      </x:c>
      <x:c r="I11" t="str">
        <x:v>aromatic</x:v>
      </x:c>
    </x:row>
    <x:row r="12">
      <x:c r="A12" t="str">
        <x:v>north-america</x:v>
      </x:c>
      <x:c r="B12" t="str">
        <x:v>North America</x:v>
      </x:c>
      <x:c r="G12" s="165" t="str">
        <x:v>V1 Flavor Taxonomy</x:v>
      </x:c>
      <x:c r="H12" s="165" t="str">
        <x:v>FROZEN</x:v>
      </x:c>
      <x:c r="I12" t="str">
        <x:v>herbal</x:v>
      </x:c>
    </x:row>
    <x:row r="13">
      <x:c r="G13" s="172" t="str">
        <x:v>V1 flavor IDs are fixed: spicy, comforting, fresh, rich, crispy, tangy. Do not add/remove preference flavors without an explicit product-taxonomy change. umami and savory remain descriptors, not V1 discovery preferences.</x:v>
      </x:c>
      <x:c r="H13" s="172"/>
      <x:c r="I13" t="str">
        <x:v>creamy</x:v>
      </x:c>
    </x:row>
    <x:row r="14">
      <x:c r="G14" s="172"/>
      <x:c r="H14" s="172"/>
      <x:c r="I14" t="str">
        <x:v>nutty</x:v>
      </x:c>
    </x:row>
    <x:row r="15">
      <x:c r="G15" s="172"/>
      <x:c r="H15" s="172"/>
      <x:c r="I15" t="str">
        <x:v>charred</x:v>
      </x:c>
    </x:row>
    <x:row r="16">
      <x:c r="A16" s="17" t="str">
        <x:v>Image Providers</x:v>
      </x:c>
      <x:c r="D16" s="17" t="str">
        <x:v>Image Status</x:v>
      </x:c>
      <x:c r="G16" s="17" t="str">
        <x:v>Accepted License</x:v>
      </x:c>
      <x:c r="I16" t="str">
        <x:v>fermented</x:v>
      </x:c>
      <x:c r="K16" s="17" t="str">
        <x:v>ISO Country Codes</x:v>
      </x:c>
    </x:row>
    <x:row r="17">
      <x:c r="A17" t="str">
        <x:v>wikimedia-commons</x:v>
      </x:c>
      <x:c r="D17" t="str">
        <x:v>candidate</x:v>
      </x:c>
      <x:c r="G17" t="str">
        <x:v>Public Domain</x:v>
      </x:c>
      <x:c r="I17" t="str">
        <x:v>garlicky</x:v>
      </x:c>
      <x:c r="K17" t="str">
        <x:v>AD</x:v>
      </x:c>
    </x:row>
    <x:row r="18">
      <x:c r="A18" t="str">
        <x:v>openverse</x:v>
      </x:c>
      <x:c r="D18" t="str">
        <x:v>needs-review</x:v>
      </x:c>
      <x:c r="G18" t="str">
        <x:v>CC0</x:v>
      </x:c>
      <x:c r="I18" t="str">
        <x:v>buttery</x:v>
      </x:c>
      <x:c r="K18" t="str">
        <x:v>AE</x:v>
      </x:c>
    </x:row>
    <x:row r="19">
      <x:c r="A19" t="str">
        <x:v>own</x:v>
      </x:c>
      <x:c r="D19" t="str">
        <x:v>approved</x:v>
      </x:c>
      <x:c r="G19" t="str">
        <x:v>CC BY</x:v>
      </x:c>
      <x:c r="I19" t="str">
        <x:v>earthy</x:v>
      </x:c>
      <x:c r="K19" t="str">
        <x:v>AF</x:v>
      </x:c>
    </x:row>
    <x:row r="20">
      <x:c r="A20" t="str">
        <x:v>generated</x:v>
      </x:c>
      <x:c r="D20" t="str">
        <x:v>downloaded</x:v>
      </x:c>
      <x:c r="G20" t="str">
        <x:v>CC BY-SA</x:v>
      </x:c>
      <x:c r="I20" t="str">
        <x:v>chewy</x:v>
      </x:c>
      <x:c r="K20" t="str">
        <x:v>AG</x:v>
      </x:c>
    </x:row>
    <x:row r="21">
      <x:c r="D21" t="str">
        <x:v>optimized</x:v>
      </x:c>
      <x:c r="G21" t="str">
        <x:v>Own</x:v>
      </x:c>
      <x:c r="I21" t="str">
        <x:v>tender</x:v>
      </x:c>
      <x:c r="K21" t="str">
        <x:v>AI</x:v>
      </x:c>
    </x:row>
    <x:row r="22">
      <x:c r="D22" t="str">
        <x:v>rejected</x:v>
      </x:c>
      <x:c r="G22" t="str">
        <x:v>Generated</x:v>
      </x:c>
      <x:c r="I22" t="str">
        <x:v>juicy</x:v>
      </x:c>
      <x:c r="K22" t="str">
        <x:v>AL</x:v>
      </x:c>
    </x:row>
    <x:row r="23">
      <x:c r="K23" t="str">
        <x:v>AM</x:v>
      </x:c>
    </x:row>
    <x:row r="24">
      <x:c r="K24" t="str">
        <x:v>AO</x:v>
      </x:c>
    </x:row>
    <x:row r="25">
      <x:c r="K25" t="str">
        <x:v>AQ</x:v>
      </x:c>
    </x:row>
    <x:row r="26">
      <x:c r="I26" s="17" t="str">
        <x:v>Source Types</x:v>
      </x:c>
      <x:c r="K26" t="str">
        <x:v>AR</x:v>
      </x:c>
    </x:row>
    <x:row r="27">
      <x:c r="I27" t="str">
        <x:v>cultural-institution</x:v>
      </x:c>
      <x:c r="K27" t="str">
        <x:v>AS</x:v>
      </x:c>
    </x:row>
    <x:row r="28">
      <x:c r="I28" t="str">
        <x:v>government-tourism</x:v>
      </x:c>
      <x:c r="K28" t="str">
        <x:v>AT</x:v>
      </x:c>
    </x:row>
    <x:row r="29">
      <x:c r="I29" t="str">
        <x:v>encyclopedia-reference</x:v>
      </x:c>
      <x:c r="K29" t="str">
        <x:v>AU</x:v>
      </x:c>
    </x:row>
    <x:row r="30">
      <x:c r="I30" t="str">
        <x:v>culinary-reference</x:v>
      </x:c>
      <x:c r="K30" t="str">
        <x:v>AW</x:v>
      </x:c>
    </x:row>
    <x:row r="31">
      <x:c r="I31" t="str">
        <x:v>editorial-recipe</x:v>
      </x:c>
      <x:c r="K31" t="str">
        <x:v>AX</x:v>
      </x:c>
    </x:row>
    <x:row r="32">
      <x:c r="K32" t="str">
        <x:v>AZ</x:v>
      </x:c>
    </x:row>
    <x:row r="33">
      <x:c r="K33" t="str">
        <x:v>BA</x:v>
      </x:c>
    </x:row>
    <x:row r="34">
      <x:c r="K34" t="str">
        <x:v>BB</x:v>
      </x:c>
    </x:row>
    <x:row r="35">
      <x:c r="K35" t="str">
        <x:v>BD</x:v>
      </x:c>
    </x:row>
    <x:row r="36">
      <x:c r="K36" t="str">
        <x:v>BE</x:v>
      </x:c>
    </x:row>
    <x:row r="37">
      <x:c r="K37" t="str">
        <x:v>BF</x:v>
      </x:c>
    </x:row>
    <x:row r="38">
      <x:c r="A38" s="51" t="str">
        <x:v>Approval Rules</x:v>
      </x:c>
      <x:c r="B38" s="51"/>
      <x:c r="C38" s="51"/>
      <x:c r="D38" s="54" t="str">
        <x:v>Description Guidance</x:v>
      </x:c>
      <x:c r="E38" s="54"/>
      <x:c r="F38" s="54"/>
      <x:c r="G38" s="54"/>
      <x:c r="H38" s="54"/>
      <x:c r="K38" t="str">
        <x:v>BG</x:v>
      </x:c>
    </x:row>
    <x:row r="39">
      <x:c r="A39" s="18" t="str">
        <x:v>Rule</x:v>
      </x:c>
      <x:c r="B39" s="18" t="str">
        <x:v>Requirement</x:v>
      </x:c>
      <x:c r="D39" s="18" t="str">
        <x:v>Field</x:v>
      </x:c>
      <x:c r="E39" s="18" t="str">
        <x:v>Guideline</x:v>
      </x:c>
      <x:c r="K39" t="str">
        <x:v>BH</x:v>
      </x:c>
    </x:row>
    <x:row r="40">
      <x:c r="A40" s="38" t="str">
        <x:v>Required metadata</x:v>
      </x:c>
      <x:c r="B40" s="38" t="str">
        <x:v>id, name, countryCode, region, foodType, ≥1 preference flavor, adventureLevel, both descriptions, reviewStatus</x:v>
      </x:c>
      <x:c r="D40" s="38" t="str">
        <x:v>shortDescription</x:v>
      </x:c>
      <x:c r="E40" s="38" t="str">
        <x:v>Target 45–110 characters; factual card copy</x:v>
      </x:c>
      <x:c r="K40" t="str">
        <x:v>BI</x:v>
      </x:c>
    </x:row>
    <x:row r="41">
      <x:c r="A41" s="38" t="str">
        <x:v>Approved source</x:v>
      </x:c>
      <x:c r="B41" s="38" t="str">
        <x:v>At least 1 approved factual source (2 recommended for disputed origin/naming)</x:v>
      </x:c>
      <x:c r="D41" s="38" t="str">
        <x:v>description</x:v>
      </x:c>
      <x:c r="E41" s="38" t="str">
        <x:v>Target 120–320 characters; 1–2 factual sentences</x:v>
      </x:c>
      <x:c r="K41" t="str">
        <x:v>BJ</x:v>
      </x:c>
    </x:row>
    <x:row r="42">
      <x:c r="A42" s="38" t="str">
        <x:v>Primary image</x:v>
      </x:c>
      <x:c r="B42" s="38" t="str">
        <x:v>Exactly 1 approved primary image</x:v>
      </x:c>
      <x:c r="D42" s="38" t="str">
        <x:v>Avoid</x:v>
      </x:c>
      <x:c r="E42" s="38" t="str">
        <x:v>Unsupported health claims, exaggerated marketing, disputed origin claims stated as fact</x:v>
      </x:c>
      <x:c r="K42" t="str">
        <x:v>BL</x:v>
      </x:c>
    </x:row>
    <x:row r="43">
      <x:c r="A43" s="38" t="str">
        <x:v>Image license</x:v>
      </x:c>
      <x:c r="B43" s="38" t="str">
        <x:v>Public Domain, CC0, CC BY, CC BY-SA, Own, or Generated</x:v>
      </x:c>
      <x:c r="D43" s="38" t="str">
        <x:v>Adventure level</x:v>
      </x:c>
      <x:c r="E43" s="38" t="str">
        <x:v>Nom product heuristic; do not describe cuisines as 'strange' or 'exotic'</x:v>
      </x:c>
      <x:c r="K43" t="str">
        <x:v>BM</x:v>
      </x:c>
    </x:row>
    <x:row r="44">
      <x:c r="A44" s="38" t="str">
        <x:v>ID format</x:v>
      </x:c>
      <x:c r="B44" s="38" t="str">
        <x:v>lowercase kebab-case only; e.g. bun-bo-hue</x:v>
      </x:c>
      <x:c r="K44" t="str">
        <x:v>BN</x:v>
      </x:c>
    </x:row>
    <x:row r="45">
      <x:c r="A45" s="38" t="str">
        <x:v>Production eligibility</x:v>
      </x:c>
      <x:c r="B45" s="38" t="str">
        <x:v>reviewStatus = approved AND validationStatus = OK</x:v>
      </x:c>
      <x:c r="K45" t="str">
        <x:v>BO</x:v>
      </x:c>
    </x:row>
    <x:row r="46">
      <x:c r="K46" t="str">
        <x:v>BQ</x:v>
      </x:c>
    </x:row>
    <x:row r="47">
      <x:c r="K47" t="str">
        <x:v>BR</x:v>
      </x:c>
    </x:row>
    <x:row r="48">
      <x:c r="K48" t="str">
        <x:v>BS</x:v>
      </x:c>
    </x:row>
    <x:row r="49">
      <x:c r="K49" t="str">
        <x:v>BT</x:v>
      </x:c>
    </x:row>
    <x:row r="50">
      <x:c r="K50" t="str">
        <x:v>BV</x:v>
      </x:c>
    </x:row>
    <x:row r="51">
      <x:c r="K51" t="str">
        <x:v>BW</x:v>
      </x:c>
    </x:row>
    <x:row r="52">
      <x:c r="K52" t="str">
        <x:v>BY</x:v>
      </x:c>
    </x:row>
    <x:row r="53">
      <x:c r="K53" t="str">
        <x:v>BZ</x:v>
      </x:c>
    </x:row>
    <x:row r="54">
      <x:c r="K54" t="str">
        <x:v>CA</x:v>
      </x:c>
    </x:row>
    <x:row r="55">
      <x:c r="K55" t="str">
        <x:v>CC</x:v>
      </x:c>
    </x:row>
    <x:row r="56">
      <x:c r="K56" t="str">
        <x:v>CD</x:v>
      </x:c>
    </x:row>
    <x:row r="57">
      <x:c r="K57" t="str">
        <x:v>CF</x:v>
      </x:c>
    </x:row>
    <x:row r="58">
      <x:c r="K58" t="str">
        <x:v>CG</x:v>
      </x:c>
    </x:row>
    <x:row r="59">
      <x:c r="K59" t="str">
        <x:v>CH</x:v>
      </x:c>
    </x:row>
    <x:row r="60">
      <x:c r="K60" t="str">
        <x:v>CI</x:v>
      </x:c>
    </x:row>
    <x:row r="61">
      <x:c r="K61" t="str">
        <x:v>CK</x:v>
      </x:c>
    </x:row>
    <x:row r="62">
      <x:c r="K62" t="str">
        <x:v>CL</x:v>
      </x:c>
    </x:row>
    <x:row r="63">
      <x:c r="K63" t="str">
        <x:v>CM</x:v>
      </x:c>
    </x:row>
    <x:row r="64">
      <x:c r="K64" t="str">
        <x:v>CN</x:v>
      </x:c>
    </x:row>
    <x:row r="65">
      <x:c r="K65" t="str">
        <x:v>CO</x:v>
      </x:c>
    </x:row>
    <x:row r="66">
      <x:c r="K66" t="str">
        <x:v>CR</x:v>
      </x:c>
    </x:row>
    <x:row r="67">
      <x:c r="K67" t="str">
        <x:v>CU</x:v>
      </x:c>
    </x:row>
    <x:row r="68">
      <x:c r="K68" t="str">
        <x:v>CV</x:v>
      </x:c>
    </x:row>
    <x:row r="69">
      <x:c r="K69" t="str">
        <x:v>CW</x:v>
      </x:c>
    </x:row>
    <x:row r="70">
      <x:c r="K70" t="str">
        <x:v>CX</x:v>
      </x:c>
    </x:row>
    <x:row r="71">
      <x:c r="K71" t="str">
        <x:v>CY</x:v>
      </x:c>
    </x:row>
    <x:row r="72">
      <x:c r="K72" t="str">
        <x:v>CZ</x:v>
      </x:c>
    </x:row>
    <x:row r="73">
      <x:c r="K73" t="str">
        <x:v>DE</x:v>
      </x:c>
    </x:row>
    <x:row r="74">
      <x:c r="K74" t="str">
        <x:v>DJ</x:v>
      </x:c>
    </x:row>
    <x:row r="75">
      <x:c r="K75" t="str">
        <x:v>DK</x:v>
      </x:c>
    </x:row>
    <x:row r="76">
      <x:c r="K76" t="str">
        <x:v>DM</x:v>
      </x:c>
    </x:row>
    <x:row r="77">
      <x:c r="K77" t="str">
        <x:v>DO</x:v>
      </x:c>
    </x:row>
    <x:row r="78">
      <x:c r="K78" t="str">
        <x:v>DZ</x:v>
      </x:c>
    </x:row>
    <x:row r="79">
      <x:c r="K79" t="str">
        <x:v>EC</x:v>
      </x:c>
    </x:row>
    <x:row r="80">
      <x:c r="K80" t="str">
        <x:v>EE</x:v>
      </x:c>
    </x:row>
    <x:row r="81">
      <x:c r="K81" t="str">
        <x:v>EG</x:v>
      </x:c>
    </x:row>
    <x:row r="82">
      <x:c r="K82" t="str">
        <x:v>EH</x:v>
      </x:c>
    </x:row>
    <x:row r="83">
      <x:c r="K83" t="str">
        <x:v>ER</x:v>
      </x:c>
    </x:row>
    <x:row r="84">
      <x:c r="K84" t="str">
        <x:v>ES</x:v>
      </x:c>
    </x:row>
    <x:row r="85">
      <x:c r="K85" t="str">
        <x:v>ET</x:v>
      </x:c>
    </x:row>
    <x:row r="86">
      <x:c r="K86" t="str">
        <x:v>FI</x:v>
      </x:c>
    </x:row>
    <x:row r="87">
      <x:c r="K87" t="str">
        <x:v>FJ</x:v>
      </x:c>
    </x:row>
    <x:row r="88">
      <x:c r="K88" t="str">
        <x:v>FK</x:v>
      </x:c>
    </x:row>
    <x:row r="89">
      <x:c r="K89" t="str">
        <x:v>FM</x:v>
      </x:c>
    </x:row>
    <x:row r="90">
      <x:c r="K90" t="str">
        <x:v>FO</x:v>
      </x:c>
    </x:row>
    <x:row r="91">
      <x:c r="K91" t="str">
        <x:v>FR</x:v>
      </x:c>
    </x:row>
    <x:row r="92">
      <x:c r="K92" t="str">
        <x:v>GA</x:v>
      </x:c>
    </x:row>
    <x:row r="93">
      <x:c r="K93" t="str">
        <x:v>GB</x:v>
      </x:c>
    </x:row>
    <x:row r="94">
      <x:c r="K94" t="str">
        <x:v>GD</x:v>
      </x:c>
    </x:row>
    <x:row r="95">
      <x:c r="K95" t="str">
        <x:v>GE</x:v>
      </x:c>
    </x:row>
    <x:row r="96">
      <x:c r="K96" t="str">
        <x:v>GF</x:v>
      </x:c>
    </x:row>
    <x:row r="97">
      <x:c r="K97" t="str">
        <x:v>GG</x:v>
      </x:c>
    </x:row>
    <x:row r="98">
      <x:c r="K98" t="str">
        <x:v>GH</x:v>
      </x:c>
    </x:row>
    <x:row r="99">
      <x:c r="K99" t="str">
        <x:v>GI</x:v>
      </x:c>
    </x:row>
    <x:row r="100">
      <x:c r="K100" t="str">
        <x:v>GL</x:v>
      </x:c>
    </x:row>
    <x:row r="101">
      <x:c r="K101" t="str">
        <x:v>GM</x:v>
      </x:c>
    </x:row>
    <x:row r="102">
      <x:c r="K102" t="str">
        <x:v>GN</x:v>
      </x:c>
    </x:row>
    <x:row r="103">
      <x:c r="K103" t="str">
        <x:v>GP</x:v>
      </x:c>
    </x:row>
    <x:row r="104">
      <x:c r="K104" t="str">
        <x:v>GQ</x:v>
      </x:c>
    </x:row>
    <x:row r="105">
      <x:c r="K105" t="str">
        <x:v>GR</x:v>
      </x:c>
    </x:row>
    <x:row r="106">
      <x:c r="K106" t="str">
        <x:v>GS</x:v>
      </x:c>
    </x:row>
    <x:row r="107">
      <x:c r="K107" t="str">
        <x:v>GT</x:v>
      </x:c>
    </x:row>
    <x:row r="108">
      <x:c r="K108" t="str">
        <x:v>GU</x:v>
      </x:c>
    </x:row>
    <x:row r="109">
      <x:c r="K109" t="str">
        <x:v>GW</x:v>
      </x:c>
    </x:row>
    <x:row r="110">
      <x:c r="K110" t="str">
        <x:v>GY</x:v>
      </x:c>
    </x:row>
    <x:row r="111">
      <x:c r="K111" t="str">
        <x:v>HK</x:v>
      </x:c>
    </x:row>
    <x:row r="112">
      <x:c r="K112" t="str">
        <x:v>HM</x:v>
      </x:c>
    </x:row>
    <x:row r="113">
      <x:c r="K113" t="str">
        <x:v>HN</x:v>
      </x:c>
    </x:row>
    <x:row r="114">
      <x:c r="K114" t="str">
        <x:v>HR</x:v>
      </x:c>
    </x:row>
    <x:row r="115">
      <x:c r="K115" t="str">
        <x:v>HT</x:v>
      </x:c>
    </x:row>
    <x:row r="116">
      <x:c r="K116" t="str">
        <x:v>HU</x:v>
      </x:c>
    </x:row>
    <x:row r="117">
      <x:c r="K117" t="str">
        <x:v>ID</x:v>
      </x:c>
    </x:row>
    <x:row r="118">
      <x:c r="K118" t="str">
        <x:v>IE</x:v>
      </x:c>
    </x:row>
    <x:row r="119">
      <x:c r="K119" t="str">
        <x:v>IL</x:v>
      </x:c>
    </x:row>
    <x:row r="120">
      <x:c r="K120" t="str">
        <x:v>IM</x:v>
      </x:c>
    </x:row>
    <x:row r="121">
      <x:c r="K121" t="str">
        <x:v>IN</x:v>
      </x:c>
    </x:row>
    <x:row r="122">
      <x:c r="K122" t="str">
        <x:v>IO</x:v>
      </x:c>
    </x:row>
    <x:row r="123">
      <x:c r="K123" t="str">
        <x:v>IQ</x:v>
      </x:c>
    </x:row>
    <x:row r="124">
      <x:c r="K124" t="str">
        <x:v>IR</x:v>
      </x:c>
    </x:row>
    <x:row r="125">
      <x:c r="K125" t="str">
        <x:v>IS</x:v>
      </x:c>
    </x:row>
    <x:row r="126">
      <x:c r="K126" t="str">
        <x:v>IT</x:v>
      </x:c>
    </x:row>
    <x:row r="127">
      <x:c r="K127" t="str">
        <x:v>JE</x:v>
      </x:c>
    </x:row>
    <x:row r="128">
      <x:c r="K128" t="str">
        <x:v>JM</x:v>
      </x:c>
    </x:row>
    <x:row r="129">
      <x:c r="K129" t="str">
        <x:v>JO</x:v>
      </x:c>
    </x:row>
    <x:row r="130">
      <x:c r="K130" t="str">
        <x:v>JP</x:v>
      </x:c>
    </x:row>
    <x:row r="131">
      <x:c r="K131" t="str">
        <x:v>KE</x:v>
      </x:c>
    </x:row>
    <x:row r="132">
      <x:c r="K132" t="str">
        <x:v>KG</x:v>
      </x:c>
    </x:row>
    <x:row r="133">
      <x:c r="K133" t="str">
        <x:v>KH</x:v>
      </x:c>
    </x:row>
    <x:row r="134">
      <x:c r="K134" t="str">
        <x:v>KI</x:v>
      </x:c>
    </x:row>
    <x:row r="135">
      <x:c r="K135" t="str">
        <x:v>KM</x:v>
      </x:c>
    </x:row>
    <x:row r="136">
      <x:c r="K136" t="str">
        <x:v>KN</x:v>
      </x:c>
    </x:row>
    <x:row r="137">
      <x:c r="K137" t="str">
        <x:v>KP</x:v>
      </x:c>
    </x:row>
    <x:row r="138">
      <x:c r="K138" t="str">
        <x:v>KR</x:v>
      </x:c>
    </x:row>
    <x:row r="139">
      <x:c r="K139" t="str">
        <x:v>KW</x:v>
      </x:c>
    </x:row>
    <x:row r="140">
      <x:c r="K140" t="str">
        <x:v>KY</x:v>
      </x:c>
    </x:row>
    <x:row r="141">
      <x:c r="K141" t="str">
        <x:v>KZ</x:v>
      </x:c>
    </x:row>
    <x:row r="142">
      <x:c r="K142" t="str">
        <x:v>LA</x:v>
      </x:c>
    </x:row>
    <x:row r="143">
      <x:c r="K143" t="str">
        <x:v>LB</x:v>
      </x:c>
    </x:row>
    <x:row r="144">
      <x:c r="K144" t="str">
        <x:v>LC</x:v>
      </x:c>
    </x:row>
    <x:row r="145">
      <x:c r="K145" t="str">
        <x:v>LI</x:v>
      </x:c>
    </x:row>
    <x:row r="146">
      <x:c r="K146" t="str">
        <x:v>LK</x:v>
      </x:c>
    </x:row>
    <x:row r="147">
      <x:c r="K147" t="str">
        <x:v>LR</x:v>
      </x:c>
    </x:row>
    <x:row r="148">
      <x:c r="K148" t="str">
        <x:v>LS</x:v>
      </x:c>
    </x:row>
    <x:row r="149">
      <x:c r="K149" t="str">
        <x:v>LT</x:v>
      </x:c>
    </x:row>
    <x:row r="150">
      <x:c r="K150" t="str">
        <x:v>LU</x:v>
      </x:c>
    </x:row>
    <x:row r="151">
      <x:c r="K151" t="str">
        <x:v>LV</x:v>
      </x:c>
    </x:row>
    <x:row r="152">
      <x:c r="K152" t="str">
        <x:v>LY</x:v>
      </x:c>
    </x:row>
    <x:row r="153">
      <x:c r="K153" t="str">
        <x:v>MA</x:v>
      </x:c>
    </x:row>
    <x:row r="154">
      <x:c r="K154" t="str">
        <x:v>MC</x:v>
      </x:c>
    </x:row>
    <x:row r="155">
      <x:c r="K155" t="str">
        <x:v>MD</x:v>
      </x:c>
    </x:row>
    <x:row r="156">
      <x:c r="K156" t="str">
        <x:v>ME</x:v>
      </x:c>
    </x:row>
    <x:row r="157">
      <x:c r="K157" t="str">
        <x:v>MF</x:v>
      </x:c>
    </x:row>
    <x:row r="158">
      <x:c r="K158" t="str">
        <x:v>MG</x:v>
      </x:c>
    </x:row>
    <x:row r="159">
      <x:c r="K159" t="str">
        <x:v>MH</x:v>
      </x:c>
    </x:row>
    <x:row r="160">
      <x:c r="K160" t="str">
        <x:v>MK</x:v>
      </x:c>
    </x:row>
    <x:row r="161">
      <x:c r="K161" t="str">
        <x:v>ML</x:v>
      </x:c>
    </x:row>
    <x:row r="162">
      <x:c r="K162" t="str">
        <x:v>MM</x:v>
      </x:c>
    </x:row>
    <x:row r="163">
      <x:c r="K163" t="str">
        <x:v>MN</x:v>
      </x:c>
    </x:row>
    <x:row r="164">
      <x:c r="K164" t="str">
        <x:v>MO</x:v>
      </x:c>
    </x:row>
    <x:row r="165">
      <x:c r="K165" t="str">
        <x:v>MP</x:v>
      </x:c>
    </x:row>
    <x:row r="166">
      <x:c r="K166" t="str">
        <x:v>MQ</x:v>
      </x:c>
    </x:row>
    <x:row r="167">
      <x:c r="K167" t="str">
        <x:v>MR</x:v>
      </x:c>
    </x:row>
    <x:row r="168">
      <x:c r="K168" t="str">
        <x:v>MS</x:v>
      </x:c>
    </x:row>
    <x:row r="169">
      <x:c r="K169" t="str">
        <x:v>MT</x:v>
      </x:c>
    </x:row>
    <x:row r="170">
      <x:c r="K170" t="str">
        <x:v>MU</x:v>
      </x:c>
    </x:row>
    <x:row r="171">
      <x:c r="K171" t="str">
        <x:v>MV</x:v>
      </x:c>
    </x:row>
    <x:row r="172">
      <x:c r="K172" t="str">
        <x:v>MW</x:v>
      </x:c>
    </x:row>
    <x:row r="173">
      <x:c r="K173" t="str">
        <x:v>MX</x:v>
      </x:c>
    </x:row>
    <x:row r="174">
      <x:c r="K174" t="str">
        <x:v>MY</x:v>
      </x:c>
    </x:row>
    <x:row r="175">
      <x:c r="K175" t="str">
        <x:v>MZ</x:v>
      </x:c>
    </x:row>
    <x:row r="176">
      <x:c r="K176" t="str">
        <x:v>NA</x:v>
      </x:c>
    </x:row>
    <x:row r="177">
      <x:c r="K177" t="str">
        <x:v>NC</x:v>
      </x:c>
    </x:row>
    <x:row r="178">
      <x:c r="K178" t="str">
        <x:v>NE</x:v>
      </x:c>
    </x:row>
    <x:row r="179">
      <x:c r="K179" t="str">
        <x:v>NF</x:v>
      </x:c>
    </x:row>
    <x:row r="180">
      <x:c r="K180" t="str">
        <x:v>NG</x:v>
      </x:c>
    </x:row>
    <x:row r="181">
      <x:c r="K181" t="str">
        <x:v>NI</x:v>
      </x:c>
    </x:row>
    <x:row r="182">
      <x:c r="K182" t="str">
        <x:v>NL</x:v>
      </x:c>
    </x:row>
    <x:row r="183">
      <x:c r="K183" t="str">
        <x:v>NO</x:v>
      </x:c>
    </x:row>
    <x:row r="184">
      <x:c r="K184" t="str">
        <x:v>NP</x:v>
      </x:c>
    </x:row>
    <x:row r="185">
      <x:c r="K185" t="str">
        <x:v>NR</x:v>
      </x:c>
    </x:row>
    <x:row r="186">
      <x:c r="K186" t="str">
        <x:v>NU</x:v>
      </x:c>
    </x:row>
    <x:row r="187">
      <x:c r="K187" t="str">
        <x:v>NZ</x:v>
      </x:c>
    </x:row>
    <x:row r="188">
      <x:c r="K188" t="str">
        <x:v>OM</x:v>
      </x:c>
    </x:row>
    <x:row r="189">
      <x:c r="K189" t="str">
        <x:v>PA</x:v>
      </x:c>
    </x:row>
    <x:row r="190">
      <x:c r="K190" t="str">
        <x:v>PE</x:v>
      </x:c>
    </x:row>
    <x:row r="191">
      <x:c r="K191" t="str">
        <x:v>PF</x:v>
      </x:c>
    </x:row>
    <x:row r="192">
      <x:c r="K192" t="str">
        <x:v>PG</x:v>
      </x:c>
    </x:row>
    <x:row r="193">
      <x:c r="K193" t="str">
        <x:v>PH</x:v>
      </x:c>
    </x:row>
    <x:row r="194">
      <x:c r="K194" t="str">
        <x:v>PK</x:v>
      </x:c>
    </x:row>
    <x:row r="195">
      <x:c r="K195" t="str">
        <x:v>PL</x:v>
      </x:c>
    </x:row>
    <x:row r="196">
      <x:c r="K196" t="str">
        <x:v>PM</x:v>
      </x:c>
    </x:row>
    <x:row r="197">
      <x:c r="K197" t="str">
        <x:v>PN</x:v>
      </x:c>
    </x:row>
    <x:row r="198">
      <x:c r="K198" t="str">
        <x:v>PR</x:v>
      </x:c>
    </x:row>
    <x:row r="199">
      <x:c r="K199" t="str">
        <x:v>PS</x:v>
      </x:c>
    </x:row>
    <x:row r="200">
      <x:c r="K200" t="str">
        <x:v>PT</x:v>
      </x:c>
    </x:row>
    <x:row r="201">
      <x:c r="K201" t="str">
        <x:v>PW</x:v>
      </x:c>
    </x:row>
    <x:row r="202">
      <x:c r="K202" t="str">
        <x:v>PY</x:v>
      </x:c>
    </x:row>
    <x:row r="203">
      <x:c r="K203" t="str">
        <x:v>QA</x:v>
      </x:c>
    </x:row>
    <x:row r="204">
      <x:c r="K204" t="str">
        <x:v>RE</x:v>
      </x:c>
    </x:row>
    <x:row r="205">
      <x:c r="K205" t="str">
        <x:v>RO</x:v>
      </x:c>
    </x:row>
    <x:row r="206">
      <x:c r="K206" t="str">
        <x:v>RS</x:v>
      </x:c>
    </x:row>
    <x:row r="207">
      <x:c r="K207" t="str">
        <x:v>RU</x:v>
      </x:c>
    </x:row>
    <x:row r="208">
      <x:c r="K208" t="str">
        <x:v>RW</x:v>
      </x:c>
    </x:row>
    <x:row r="209">
      <x:c r="K209" t="str">
        <x:v>SA</x:v>
      </x:c>
    </x:row>
    <x:row r="210">
      <x:c r="K210" t="str">
        <x:v>SB</x:v>
      </x:c>
    </x:row>
    <x:row r="211">
      <x:c r="K211" t="str">
        <x:v>SC</x:v>
      </x:c>
    </x:row>
    <x:row r="212">
      <x:c r="K212" t="str">
        <x:v>SD</x:v>
      </x:c>
    </x:row>
    <x:row r="213">
      <x:c r="K213" t="str">
        <x:v>SE</x:v>
      </x:c>
    </x:row>
    <x:row r="214">
      <x:c r="K214" t="str">
        <x:v>SG</x:v>
      </x:c>
    </x:row>
    <x:row r="215">
      <x:c r="K215" t="str">
        <x:v>SH</x:v>
      </x:c>
    </x:row>
    <x:row r="216">
      <x:c r="K216" t="str">
        <x:v>SI</x:v>
      </x:c>
    </x:row>
    <x:row r="217">
      <x:c r="K217" t="str">
        <x:v>SJ</x:v>
      </x:c>
    </x:row>
    <x:row r="218">
      <x:c r="K218" t="str">
        <x:v>SK</x:v>
      </x:c>
    </x:row>
    <x:row r="219">
      <x:c r="K219" t="str">
        <x:v>SL</x:v>
      </x:c>
    </x:row>
    <x:row r="220">
      <x:c r="K220" t="str">
        <x:v>SM</x:v>
      </x:c>
    </x:row>
    <x:row r="221">
      <x:c r="K221" t="str">
        <x:v>SN</x:v>
      </x:c>
    </x:row>
    <x:row r="222">
      <x:c r="K222" t="str">
        <x:v>SO</x:v>
      </x:c>
    </x:row>
    <x:row r="223">
      <x:c r="K223" t="str">
        <x:v>SR</x:v>
      </x:c>
    </x:row>
    <x:row r="224">
      <x:c r="K224" t="str">
        <x:v>SS</x:v>
      </x:c>
    </x:row>
    <x:row r="225">
      <x:c r="K225" t="str">
        <x:v>ST</x:v>
      </x:c>
    </x:row>
    <x:row r="226">
      <x:c r="K226" t="str">
        <x:v>SV</x:v>
      </x:c>
    </x:row>
    <x:row r="227">
      <x:c r="K227" t="str">
        <x:v>SX</x:v>
      </x:c>
    </x:row>
    <x:row r="228">
      <x:c r="K228" t="str">
        <x:v>SY</x:v>
      </x:c>
    </x:row>
    <x:row r="229">
      <x:c r="K229" t="str">
        <x:v>SZ</x:v>
      </x:c>
    </x:row>
    <x:row r="230">
      <x:c r="K230" t="str">
        <x:v>TC</x:v>
      </x:c>
    </x:row>
    <x:row r="231">
      <x:c r="K231" t="str">
        <x:v>TD</x:v>
      </x:c>
    </x:row>
    <x:row r="232">
      <x:c r="K232" t="str">
        <x:v>TF</x:v>
      </x:c>
    </x:row>
    <x:row r="233">
      <x:c r="K233" t="str">
        <x:v>TG</x:v>
      </x:c>
    </x:row>
    <x:row r="234">
      <x:c r="K234" t="str">
        <x:v>TH</x:v>
      </x:c>
    </x:row>
    <x:row r="235">
      <x:c r="K235" t="str">
        <x:v>TJ</x:v>
      </x:c>
    </x:row>
    <x:row r="236">
      <x:c r="K236" t="str">
        <x:v>TK</x:v>
      </x:c>
    </x:row>
    <x:row r="237">
      <x:c r="K237" t="str">
        <x:v>TL</x:v>
      </x:c>
    </x:row>
    <x:row r="238">
      <x:c r="K238" t="str">
        <x:v>TM</x:v>
      </x:c>
    </x:row>
    <x:row r="239">
      <x:c r="K239" t="str">
        <x:v>TN</x:v>
      </x:c>
    </x:row>
    <x:row r="240">
      <x:c r="K240" t="str">
        <x:v>TO</x:v>
      </x:c>
    </x:row>
    <x:row r="241">
      <x:c r="K241" t="str">
        <x:v>TR</x:v>
      </x:c>
    </x:row>
    <x:row r="242">
      <x:c r="K242" t="str">
        <x:v>TT</x:v>
      </x:c>
    </x:row>
    <x:row r="243">
      <x:c r="K243" t="str">
        <x:v>TV</x:v>
      </x:c>
    </x:row>
    <x:row r="244">
      <x:c r="K244" t="str">
        <x:v>TW</x:v>
      </x:c>
    </x:row>
    <x:row r="245">
      <x:c r="K245" t="str">
        <x:v>TZ</x:v>
      </x:c>
    </x:row>
    <x:row r="246">
      <x:c r="K246" t="str">
        <x:v>UA</x:v>
      </x:c>
    </x:row>
    <x:row r="247">
      <x:c r="K247" t="str">
        <x:v>UG</x:v>
      </x:c>
    </x:row>
    <x:row r="248">
      <x:c r="K248" t="str">
        <x:v>UM</x:v>
      </x:c>
    </x:row>
    <x:row r="249">
      <x:c r="K249" t="str">
        <x:v>US</x:v>
      </x:c>
    </x:row>
    <x:row r="250">
      <x:c r="K250" t="str">
        <x:v>UY</x:v>
      </x:c>
    </x:row>
    <x:row r="251">
      <x:c r="K251" t="str">
        <x:v>UZ</x:v>
      </x:c>
    </x:row>
    <x:row r="252">
      <x:c r="K252" t="str">
        <x:v>VA</x:v>
      </x:c>
    </x:row>
    <x:row r="253">
      <x:c r="K253" t="str">
        <x:v>VC</x:v>
      </x:c>
    </x:row>
    <x:row r="254">
      <x:c r="K254" t="str">
        <x:v>VE</x:v>
      </x:c>
    </x:row>
    <x:row r="255">
      <x:c r="K255" t="str">
        <x:v>VG</x:v>
      </x:c>
    </x:row>
    <x:row r="256">
      <x:c r="K256" t="str">
        <x:v>VI</x:v>
      </x:c>
    </x:row>
    <x:row r="257">
      <x:c r="K257" t="str">
        <x:v>VN</x:v>
      </x:c>
    </x:row>
    <x:row r="258">
      <x:c r="K258" t="str">
        <x:v>VU</x:v>
      </x:c>
    </x:row>
    <x:row r="259">
      <x:c r="K259" t="str">
        <x:v>WF</x:v>
      </x:c>
    </x:row>
    <x:row r="260">
      <x:c r="K260" t="str">
        <x:v>WS</x:v>
      </x:c>
    </x:row>
    <x:row r="261">
      <x:c r="K261" t="str">
        <x:v>YE</x:v>
      </x:c>
    </x:row>
    <x:row r="262">
      <x:c r="K262" t="str">
        <x:v>YT</x:v>
      </x:c>
    </x:row>
    <x:row r="263">
      <x:c r="K263" t="str">
        <x:v>ZA</x:v>
      </x:c>
    </x:row>
    <x:row r="264">
      <x:c r="K264" t="str">
        <x:v>ZM</x:v>
      </x:c>
    </x:row>
    <x:row r="265">
      <x:c r="K265" t="str">
        <x:v>ZW</x:v>
      </x:c>
    </x:row>
  </x:sheetData>
  <x:mergeCells>
    <x:mergeCell ref="A1:N1"/>
    <x:mergeCell ref="A2:N2"/>
    <x:mergeCell ref="A38:H38"/>
    <x:mergeCell ref="D38:H38"/>
    <x:mergeCell ref="G13:H15"/>
  </x:mergeCells>
  <x:pageMargins left="0.7" right="0.7" top="0.75" bottom="0.75" header="0.3" footer="0.3"/>
</x:worksheet>
</file>

<file path=xl/worksheets/sheet5.xml><?xml version="1.0" encoding="utf-8"?>
<x:worksheet xmlns:x="http://schemas.openxmlformats.org/spreadsheetml/2006/main">
  <x:sheetFormatPr defaultRowHeight="15"/>
  <x:cols>
    <x:col min="1" max="1" width="26" hidden="0" customWidth="1"/>
    <x:col min="2" max="2" width="18" hidden="0" customWidth="1"/>
    <x:col min="3" max="3" width="24" hidden="0" customWidth="1"/>
    <x:col min="4" max="4" width="22" hidden="0" customWidth="1"/>
    <x:col min="5" max="5" width="15" hidden="0" customWidth="1"/>
    <x:col min="6" max="6" width="16" hidden="0" customWidth="1"/>
    <x:col min="7" max="7" width="12" hidden="0" customWidth="1"/>
    <x:col min="8" max="8" width="12" hidden="0" customWidth="1"/>
  </x:cols>
  <x:sheetData>
    <x:row r="1">
      <x:c r="A1" s="70" t="str">
        <x:v>Nom Catalog Coverage Dashboard</x:v>
      </x:c>
      <x:c r="B1" s="70"/>
      <x:c r="C1" s="70"/>
      <x:c r="D1" s="70"/>
      <x:c r="E1" s="70"/>
      <x:c r="F1" s="70"/>
      <x:c r="G1" s="70"/>
      <x:c r="H1" s="70"/>
    </x:row>
    <x:row r="2">
      <x:c r="A2" s="59" t="str">
        <x:v>Counts approved dishes only unless noted. Use this dashboard to find coverage gaps before expanding the production catalog.</x:v>
      </x:c>
      <x:c r="B2" s="59"/>
      <x:c r="C2" s="59"/>
      <x:c r="D2" s="59"/>
      <x:c r="E2" s="59"/>
      <x:c r="F2" s="59"/>
      <x:c r="G2" s="59"/>
      <x:c r="H2" s="59"/>
    </x:row>
    <x:row r="3">
      <x:c r="A3" s="28"/>
      <x:c r="B3" s="28"/>
      <x:c r="C3" s="28"/>
      <x:c r="D3" s="28"/>
      <x:c r="E3" s="28"/>
      <x:c r="F3" s="28"/>
      <x:c r="G3" s="28"/>
      <x:c r="H3" s="28"/>
    </x:row>
    <x:row r="4">
      <x:c r="A4" s="71" t="str">
        <x:v>Metric</x:v>
      </x:c>
      <x:c r="B4" s="71" t="str">
        <x:v>Value</x:v>
      </x:c>
      <x:c r="C4" s="71" t="str">
        <x:v>Target / Meaning</x:v>
      </x:c>
      <x:c r="D4" s="71" t="str">
        <x:v>Status</x:v>
      </x:c>
      <x:c r="E4" s="28"/>
      <x:c r="F4" s="28"/>
      <x:c r="G4" s="28"/>
      <x:c r="H4" s="28"/>
    </x:row>
    <x:row r="5">
      <x:c r="A5" s="28" t="str">
        <x:v>Catalog rows</x:v>
      </x:c>
      <x:c r="B5" s="28" t="n">
        <x:f>COUNTIF(Dishes!$A$5:$A$205,"&lt;&gt;")</x:f>
        <x:v>201</x:v>
      </x:c>
      <x:c r="C5" s="28" t="str">
        <x:v>Any nonblank dish row</x:v>
      </x:c>
      <x:c r="D5" s="28" t="str">
        <x:f>IF(B5=0,"START",IF(B5&lt;100,"BUILDING","GOOD"))</x:f>
        <x:v>GOOD</x:v>
      </x:c>
      <x:c r="E5" s="28"/>
      <x:c r="F5" s="28"/>
      <x:c r="G5" s="28"/>
      <x:c r="H5" s="28"/>
    </x:row>
    <x:row r="6">
      <x:c r="A6" s="28" t="str">
        <x:v>Approved dishes</x:v>
      </x:c>
      <x:c r="B6" s="28" t="n">
        <x:f>COUNTIF(Dishes!$Q$5:$Q$205,"approved")</x:f>
        <x:v>0</x:v>
      </x:c>
      <x:c r="C6" s="28" t="str">
        <x:v>Production-ready after validation</x:v>
      </x:c>
      <x:c r="D6" s="28" t="str">
        <x:f>IF(B6&gt;=160,"TARGET MET",IF(B6&gt;=100,"GOOD","BUILDING"))</x:f>
        <x:v>BUILDING</x:v>
      </x:c>
      <x:c r="E6" s="28"/>
      <x:c r="F6" s="28"/>
      <x:c r="G6" s="28"/>
      <x:c r="H6" s="28"/>
    </x:row>
    <x:row r="7">
      <x:c r="A7" s="28" t="str">
        <x:v>Needs review</x:v>
      </x:c>
      <x:c r="B7" s="28" t="n">
        <x:f>COUNTIF(Dishes!$Q$5:$Q$205,"needs-review")</x:f>
        <x:v>201</x:v>
      </x:c>
      <x:c r="C7" s="28" t="str">
        <x:v>Rows requiring human review</x:v>
      </x:c>
      <x:c r="D7" s="28" t="str">
        <x:f>IF(B7=0,"CLEAR",B7&amp;" TO REVIEW")</x:f>
        <x:v>201 TO REVIEW</x:v>
      </x:c>
      <x:c r="E7" s="28"/>
      <x:c r="F7" s="28"/>
      <x:c r="G7" s="28"/>
      <x:c r="H7" s="28"/>
    </x:row>
    <x:row r="8">
      <x:c r="A8" s="28" t="str">
        <x:v>Validation issues</x:v>
      </x:c>
      <x:c r="B8" s="28" t="n">
        <x:f>COUNTIFS(Dishes!$A$5:$A$205,"&lt;&gt;",Dishes!$S$5:$S$205,"&lt;&gt;OK")</x:f>
        <x:v>0</x:v>
      </x:c>
      <x:c r="C8" s="28" t="str">
        <x:v>Nonblank rows not currently OK</x:v>
      </x:c>
      <x:c r="D8" s="28" t="str">
        <x:f>IF(B8=0,"CLEAR",B8&amp;" ISSUES")</x:f>
        <x:v>CLEAR</x:v>
      </x:c>
      <x:c r="E8" s="28"/>
      <x:c r="F8" s="28"/>
      <x:c r="G8" s="28"/>
      <x:c r="H8" s="28"/>
    </x:row>
    <x:row r="9">
      <x:c r="A9" s="28" t="str">
        <x:v>Approved coverage target</x:v>
      </x:c>
      <x:c r="B9" s="28" t="n">
        <x:v>160</x:v>
      </x:c>
      <x:c r="C9" s="28" t="str">
        <x:v>Initial target met; 201 entries after splitting Lumpia into fried and fresh variants</x:v>
      </x:c>
      <x:c r="D9" s="28" t="str">
        <x:f>IF(B6&gt;=B9,"MET",B9-B6&amp;" TO GO")</x:f>
        <x:v>160 TO GO</x:v>
      </x:c>
      <x:c r="E9" s="28"/>
      <x:c r="F9" s="28"/>
      <x:c r="G9" s="28"/>
      <x:c r="H9" s="28"/>
    </x:row>
    <x:row r="10">
      <x:c r="A10" s="28"/>
      <x:c r="B10" s="28"/>
      <x:c r="C10" s="28"/>
      <x:c r="D10" s="28"/>
      <x:c r="E10" s="28"/>
      <x:c r="F10" s="28"/>
      <x:c r="G10" s="28"/>
      <x:c r="H10" s="28"/>
    </x:row>
    <x:row r="11">
      <x:c r="A11" s="28"/>
      <x:c r="B11" s="28"/>
      <x:c r="C11" s="28"/>
      <x:c r="D11" s="28"/>
      <x:c r="E11" s="28"/>
      <x:c r="F11" s="28"/>
      <x:c r="G11" s="28"/>
      <x:c r="H11" s="28"/>
    </x:row>
    <x:row r="12">
      <x:c r="A12" s="72" t="str">
        <x:v>Region</x:v>
      </x:c>
      <x:c r="B12" s="72" t="str">
        <x:v>Noodles</x:v>
      </x:c>
      <x:c r="C12" s="72" t="str">
        <x:v>Rice</x:v>
      </x:c>
      <x:c r="D12" s="72" t="str">
        <x:v>Soup/Broth</x:v>
      </x:c>
      <x:c r="E12" s="72" t="str">
        <x:v>Grilled/Protein</x:v>
      </x:c>
      <x:c r="F12" s="72" t="str">
        <x:v>Handheld</x:v>
      </x:c>
      <x:c r="G12" s="72" t="str">
        <x:v>Total</x:v>
      </x:c>
      <x:c r="H12" s="28"/>
    </x:row>
    <x:row r="13">
      <x:c r="A13" s="28" t="str">
        <x:v>East Asia</x:v>
      </x:c>
      <x:c r="B13" s="28" t="n">
        <x:f>COUNTIFS(Dishes!$E$5:$E$205,"east-asia",Dishes!$F$5:$F$205,"noodle",Dishes!$Q$5:$Q$205,"approved")</x:f>
        <x:v>0</x:v>
      </x:c>
      <x:c r="C13" s="28" t="n">
        <x:f>COUNTIFS(Dishes!$E$5:$E$205,"east-asia",Dishes!$F$5:$F$205,"rice",Dishes!$Q$5:$Q$205,"approved")</x:f>
        <x:v>0</x:v>
      </x:c>
      <x:c r="D13" s="28" t="n">
        <x:f>COUNTIFS(Dishes!$E$5:$E$205,"east-asia",Dishes!$F$5:$F$205,"soup-broth",Dishes!$Q$5:$Q$205,"approved")</x:f>
        <x:v>0</x:v>
      </x:c>
      <x:c r="E13" s="28" t="n">
        <x:f>COUNTIFS(Dishes!$E$5:$E$205,"east-asia",Dishes!$F$5:$F$205,"grilled-protein",Dishes!$Q$5:$Q$205,"approved")</x:f>
        <x:v>0</x:v>
      </x:c>
      <x:c r="F13" s="28" t="n">
        <x:f>COUNTIFS(Dishes!$E$5:$E$205,"east-asia",Dishes!$F$5:$F$205,"handheld",Dishes!$Q$5:$Q$205,"approved")</x:f>
        <x:v>0</x:v>
      </x:c>
      <x:c r="G13" s="28" t="n">
        <x:f>SUM(B13:F13)</x:f>
        <x:v>0</x:v>
      </x:c>
      <x:c r="H13" s="28"/>
    </x:row>
    <x:row r="14">
      <x:c r="A14" s="28" t="str">
        <x:v>Southeast Asia</x:v>
      </x:c>
      <x:c r="B14" s="28" t="n">
        <x:f>COUNTIFS(Dishes!$E$5:$E$205,"southeast-asia",Dishes!$F$5:$F$205,"noodle",Dishes!$Q$5:$Q$205,"approved")</x:f>
        <x:v>0</x:v>
      </x:c>
      <x:c r="C14" s="28" t="n">
        <x:f>COUNTIFS(Dishes!$E$5:$E$205,"southeast-asia",Dishes!$F$5:$F$205,"rice",Dishes!$Q$5:$Q$205,"approved")</x:f>
        <x:v>0</x:v>
      </x:c>
      <x:c r="D14" s="28" t="n">
        <x:f>COUNTIFS(Dishes!$E$5:$E$205,"southeast-asia",Dishes!$F$5:$F$205,"soup-broth",Dishes!$Q$5:$Q$205,"approved")</x:f>
        <x:v>0</x:v>
      </x:c>
      <x:c r="E14" s="28" t="n">
        <x:f>COUNTIFS(Dishes!$E$5:$E$205,"southeast-asia",Dishes!$F$5:$F$205,"grilled-protein",Dishes!$Q$5:$Q$205,"approved")</x:f>
        <x:v>0</x:v>
      </x:c>
      <x:c r="F14" s="28" t="n">
        <x:f>COUNTIFS(Dishes!$E$5:$E$205,"southeast-asia",Dishes!$F$5:$F$205,"handheld",Dishes!$Q$5:$Q$205,"approved")</x:f>
        <x:v>0</x:v>
      </x:c>
      <x:c r="G14" s="28" t="n">
        <x:f>SUM(B14:F14)</x:f>
        <x:v>0</x:v>
      </x:c>
      <x:c r="H14" s="28"/>
    </x:row>
    <x:row r="15">
      <x:c r="A15" s="28" t="str">
        <x:v>South Asia</x:v>
      </x:c>
      <x:c r="B15" s="28" t="n">
        <x:f>COUNTIFS(Dishes!$E$5:$E$205,"south-asia",Dishes!$F$5:$F$205,"noodle",Dishes!$Q$5:$Q$205,"approved")</x:f>
        <x:v>0</x:v>
      </x:c>
      <x:c r="C15" s="28" t="n">
        <x:f>COUNTIFS(Dishes!$E$5:$E$205,"south-asia",Dishes!$F$5:$F$205,"rice",Dishes!$Q$5:$Q$205,"approved")</x:f>
        <x:v>0</x:v>
      </x:c>
      <x:c r="D15" s="28" t="n">
        <x:f>COUNTIFS(Dishes!$E$5:$E$205,"south-asia",Dishes!$F$5:$F$205,"soup-broth",Dishes!$Q$5:$Q$205,"approved")</x:f>
        <x:v>0</x:v>
      </x:c>
      <x:c r="E15" s="28" t="n">
        <x:f>COUNTIFS(Dishes!$E$5:$E$205,"south-asia",Dishes!$F$5:$F$205,"grilled-protein",Dishes!$Q$5:$Q$205,"approved")</x:f>
        <x:v>0</x:v>
      </x:c>
      <x:c r="F15" s="28" t="n">
        <x:f>COUNTIFS(Dishes!$E$5:$E$205,"south-asia",Dishes!$F$5:$F$205,"handheld",Dishes!$Q$5:$Q$205,"approved")</x:f>
        <x:v>0</x:v>
      </x:c>
      <x:c r="G15" s="28" t="n">
        <x:f>SUM(B15:F15)</x:f>
        <x:v>0</x:v>
      </x:c>
      <x:c r="H15" s="28"/>
    </x:row>
    <x:row r="16">
      <x:c r="A16" s="28" t="str">
        <x:v>Middle East</x:v>
      </x:c>
      <x:c r="B16" s="28" t="n">
        <x:f>COUNTIFS(Dishes!$E$5:$E$205,"middle-east",Dishes!$F$5:$F$205,"noodle",Dishes!$Q$5:$Q$205,"approved")</x:f>
        <x:v>0</x:v>
      </x:c>
      <x:c r="C16" s="28" t="n">
        <x:f>COUNTIFS(Dishes!$E$5:$E$205,"middle-east",Dishes!$F$5:$F$205,"rice",Dishes!$Q$5:$Q$205,"approved")</x:f>
        <x:v>0</x:v>
      </x:c>
      <x:c r="D16" s="28" t="n">
        <x:f>COUNTIFS(Dishes!$E$5:$E$205,"middle-east",Dishes!$F$5:$F$205,"soup-broth",Dishes!$Q$5:$Q$205,"approved")</x:f>
        <x:v>0</x:v>
      </x:c>
      <x:c r="E16" s="28" t="n">
        <x:f>COUNTIFS(Dishes!$E$5:$E$205,"middle-east",Dishes!$F$5:$F$205,"grilled-protein",Dishes!$Q$5:$Q$205,"approved")</x:f>
        <x:v>0</x:v>
      </x:c>
      <x:c r="F16" s="28" t="n">
        <x:f>COUNTIFS(Dishes!$E$5:$E$205,"middle-east",Dishes!$F$5:$F$205,"handheld",Dishes!$Q$5:$Q$205,"approved")</x:f>
        <x:v>0</x:v>
      </x:c>
      <x:c r="G16" s="28" t="n">
        <x:f>SUM(B16:F16)</x:f>
        <x:v>0</x:v>
      </x:c>
      <x:c r="H16" s="28"/>
    </x:row>
    <x:row r="17">
      <x:c r="A17" s="28" t="str">
        <x:v>Africa</x:v>
      </x:c>
      <x:c r="B17" s="28" t="n">
        <x:f>COUNTIFS(Dishes!$E$5:$E$205,"africa",Dishes!$F$5:$F$205,"noodle",Dishes!$Q$5:$Q$205,"approved")</x:f>
        <x:v>0</x:v>
      </x:c>
      <x:c r="C17" s="28" t="n">
        <x:f>COUNTIFS(Dishes!$E$5:$E$205,"africa",Dishes!$F$5:$F$205,"rice",Dishes!$Q$5:$Q$205,"approved")</x:f>
        <x:v>0</x:v>
      </x:c>
      <x:c r="D17" s="28" t="n">
        <x:f>COUNTIFS(Dishes!$E$5:$E$205,"africa",Dishes!$F$5:$F$205,"soup-broth",Dishes!$Q$5:$Q$205,"approved")</x:f>
        <x:v>0</x:v>
      </x:c>
      <x:c r="E17" s="28" t="n">
        <x:f>COUNTIFS(Dishes!$E$5:$E$205,"africa",Dishes!$F$5:$F$205,"grilled-protein",Dishes!$Q$5:$Q$205,"approved")</x:f>
        <x:v>0</x:v>
      </x:c>
      <x:c r="F17" s="28" t="n">
        <x:f>COUNTIFS(Dishes!$E$5:$E$205,"africa",Dishes!$F$5:$F$205,"handheld",Dishes!$Q$5:$Q$205,"approved")</x:f>
        <x:v>0</x:v>
      </x:c>
      <x:c r="G17" s="28" t="n">
        <x:f>SUM(B17:F17)</x:f>
        <x:v>0</x:v>
      </x:c>
      <x:c r="H17" s="28"/>
    </x:row>
    <x:row r="18">
      <x:c r="A18" s="28" t="str">
        <x:v>Europe</x:v>
      </x:c>
      <x:c r="B18" s="28" t="n">
        <x:f>COUNTIFS(Dishes!$E$5:$E$205,"europe",Dishes!$F$5:$F$205,"noodle",Dishes!$Q$5:$Q$205,"approved")</x:f>
        <x:v>0</x:v>
      </x:c>
      <x:c r="C18" s="28" t="n">
        <x:f>COUNTIFS(Dishes!$E$5:$E$205,"europe",Dishes!$F$5:$F$205,"rice",Dishes!$Q$5:$Q$205,"approved")</x:f>
        <x:v>0</x:v>
      </x:c>
      <x:c r="D18" s="28" t="n">
        <x:f>COUNTIFS(Dishes!$E$5:$E$205,"europe",Dishes!$F$5:$F$205,"soup-broth",Dishes!$Q$5:$Q$205,"approved")</x:f>
        <x:v>0</x:v>
      </x:c>
      <x:c r="E18" s="28" t="n">
        <x:f>COUNTIFS(Dishes!$E$5:$E$205,"europe",Dishes!$F$5:$F$205,"grilled-protein",Dishes!$Q$5:$Q$205,"approved")</x:f>
        <x:v>0</x:v>
      </x:c>
      <x:c r="F18" s="28" t="n">
        <x:f>COUNTIFS(Dishes!$E$5:$E$205,"europe",Dishes!$F$5:$F$205,"handheld",Dishes!$Q$5:$Q$205,"approved")</x:f>
        <x:v>0</x:v>
      </x:c>
      <x:c r="G18" s="28" t="n">
        <x:f>SUM(B18:F18)</x:f>
        <x:v>0</x:v>
      </x:c>
      <x:c r="H18" s="28"/>
    </x:row>
    <x:row r="19">
      <x:c r="A19" s="28" t="str">
        <x:v>Latin America &amp; Caribbean</x:v>
      </x:c>
      <x:c r="B19" s="28" t="n">
        <x:f>COUNTIFS(Dishes!$E$5:$E$205,"latin-america",Dishes!$F$5:$F$205,"noodle",Dishes!$Q$5:$Q$205,"approved")</x:f>
        <x:v>0</x:v>
      </x:c>
      <x:c r="C19" s="28" t="n">
        <x:f>COUNTIFS(Dishes!$E$5:$E$205,"latin-america",Dishes!$F$5:$F$205,"rice",Dishes!$Q$5:$Q$205,"approved")</x:f>
        <x:v>0</x:v>
      </x:c>
      <x:c r="D19" s="28" t="n">
        <x:f>COUNTIFS(Dishes!$E$5:$E$205,"latin-america",Dishes!$F$5:$F$205,"soup-broth",Dishes!$Q$5:$Q$205,"approved")</x:f>
        <x:v>0</x:v>
      </x:c>
      <x:c r="E19" s="28" t="n">
        <x:f>COUNTIFS(Dishes!$E$5:$E$205,"latin-america",Dishes!$F$5:$F$205,"grilled-protein",Dishes!$Q$5:$Q$205,"approved")</x:f>
        <x:v>0</x:v>
      </x:c>
      <x:c r="F19" s="28" t="n">
        <x:f>COUNTIFS(Dishes!$E$5:$E$205,"latin-america",Dishes!$F$5:$F$205,"handheld",Dishes!$Q$5:$Q$205,"approved")</x:f>
        <x:v>0</x:v>
      </x:c>
      <x:c r="G19" s="28" t="n">
        <x:f>SUM(B19:F19)</x:f>
        <x:v>0</x:v>
      </x:c>
      <x:c r="H19" s="28"/>
    </x:row>
    <x:row r="20">
      <x:c r="A20" s="28" t="str">
        <x:v>North America</x:v>
      </x:c>
      <x:c r="B20" s="28" t="n">
        <x:f>COUNTIFS(Dishes!$E$5:$E$205,"north-america",Dishes!$F$5:$F$205,"noodle",Dishes!$Q$5:$Q$205,"approved")</x:f>
        <x:v>0</x:v>
      </x:c>
      <x:c r="C20" s="28" t="n">
        <x:f>COUNTIFS(Dishes!$E$5:$E$205,"north-america",Dishes!$F$5:$F$205,"rice",Dishes!$Q$5:$Q$205,"approved")</x:f>
        <x:v>0</x:v>
      </x:c>
      <x:c r="D20" s="28" t="n">
        <x:f>COUNTIFS(Dishes!$E$5:$E$205,"north-america",Dishes!$F$5:$F$205,"soup-broth",Dishes!$Q$5:$Q$205,"approved")</x:f>
        <x:v>0</x:v>
      </x:c>
      <x:c r="E20" s="28" t="n">
        <x:f>COUNTIFS(Dishes!$E$5:$E$205,"north-america",Dishes!$F$5:$F$205,"grilled-protein",Dishes!$Q$5:$Q$205,"approved")</x:f>
        <x:v>0</x:v>
      </x:c>
      <x:c r="F20" s="28" t="n">
        <x:f>COUNTIFS(Dishes!$E$5:$E$205,"north-america",Dishes!$F$5:$F$205,"handheld",Dishes!$Q$5:$Q$205,"approved")</x:f>
        <x:v>0</x:v>
      </x:c>
      <x:c r="G20" s="28" t="n">
        <x:f>SUM(B20:F20)</x:f>
        <x:v>0</x:v>
      </x:c>
      <x:c r="H20" s="28"/>
    </x:row>
    <x:row r="21">
      <x:c r="A21" s="71" t="str">
        <x:v>Preference Flavor</x:v>
      </x:c>
      <x:c r="B21" s="71" t="str">
        <x:v>Approved Dishes</x:v>
      </x:c>
      <x:c r="C21" s="71" t="str">
        <x:v>Share of Approved</x:v>
      </x:c>
      <x:c r="D21" s="71" t="str">
        <x:v>Suggested Floor</x:v>
      </x:c>
      <x:c r="E21" s="71" t="str">
        <x:v>Gap</x:v>
      </x:c>
      <x:c r="F21" s="71" t="str">
        <x:v>Status</x:v>
      </x:c>
      <x:c r="G21" s="28"/>
      <x:c r="H21" s="28"/>
    </x:row>
    <x:row r="22">
      <x:c r="A22" s="28" t="str">
        <x:v>spicy</x:v>
      </x:c>
      <x:c r="B22" s="28" t="n">
        <x:f>SUMPRODUCT(--(Dishes!$Q$5:$Q$205="approved"),--(((Dishes!$G$5:$G$205="spicy")+(Dishes!$H$5:$H$205="spicy")+(Dishes!$I$5:$I$205="spicy"))&gt;0))</x:f>
        <x:v>0</x:v>
      </x:c>
      <x:c r="C22" s="73" t="n">
        <x:f>IF($B$6=0,0,B22/$B$6)</x:f>
        <x:v>0</x:v>
      </x:c>
      <x:c r="D22" s="28" t="n">
        <x:v>20</x:v>
      </x:c>
      <x:c r="E22" s="28" t="n">
        <x:f>MAX(0,D22-B22)</x:f>
        <x:v>20</x:v>
      </x:c>
      <x:c r="F22" s="28" t="str">
        <x:f>IF(E22=0,"OK","ADD "&amp;E22)</x:f>
        <x:v>ADD 20</x:v>
      </x:c>
      <x:c r="G22" s="28"/>
      <x:c r="H22" s="28"/>
    </x:row>
    <x:row r="23">
      <x:c r="A23" s="28" t="str">
        <x:v>comforting</x:v>
      </x:c>
      <x:c r="B23" s="28" t="n">
        <x:f>SUMPRODUCT(--(Dishes!$Q$5:$Q$205="approved"),--(((Dishes!$G$5:$G$205="comforting")+(Dishes!$H$5:$H$205="comforting")+(Dishes!$I$5:$I$205="comforting"))&gt;0))</x:f>
        <x:v>0</x:v>
      </x:c>
      <x:c r="C23" s="73" t="n">
        <x:f>IF($B$6=0,0,B23/$B$6)</x:f>
        <x:v>0</x:v>
      </x:c>
      <x:c r="D23" s="28" t="n">
        <x:v>20</x:v>
      </x:c>
      <x:c r="E23" s="28" t="n">
        <x:f>MAX(0,D23-B23)</x:f>
        <x:v>20</x:v>
      </x:c>
      <x:c r="F23" s="28" t="str">
        <x:f>IF(E23=0,"OK","ADD "&amp;E23)</x:f>
        <x:v>ADD 20</x:v>
      </x:c>
      <x:c r="G23" s="28"/>
      <x:c r="H23" s="28"/>
    </x:row>
    <x:row r="24">
      <x:c r="A24" s="28" t="str">
        <x:v>fresh</x:v>
      </x:c>
      <x:c r="B24" s="28" t="n">
        <x:f>SUMPRODUCT(--(Dishes!$Q$5:$Q$205="approved"),--(((Dishes!$G$5:$G$205="fresh")+(Dishes!$H$5:$H$205="fresh")+(Dishes!$I$5:$I$205="fresh"))&gt;0))</x:f>
        <x:v>0</x:v>
      </x:c>
      <x:c r="C24" s="73" t="n">
        <x:f>IF($B$6=0,0,B24/$B$6)</x:f>
        <x:v>0</x:v>
      </x:c>
      <x:c r="D24" s="28" t="n">
        <x:v>20</x:v>
      </x:c>
      <x:c r="E24" s="28" t="n">
        <x:f>MAX(0,D24-B24)</x:f>
        <x:v>20</x:v>
      </x:c>
      <x:c r="F24" s="28" t="str">
        <x:f>IF(E24=0,"OK","ADD "&amp;E24)</x:f>
        <x:v>ADD 20</x:v>
      </x:c>
      <x:c r="G24" s="28"/>
      <x:c r="H24" s="28"/>
    </x:row>
    <x:row r="25">
      <x:c r="A25" s="28" t="str">
        <x:v>rich</x:v>
      </x:c>
      <x:c r="B25" s="28" t="n">
        <x:f>SUMPRODUCT(--(Dishes!$Q$5:$Q$205="approved"),--(((Dishes!$G$5:$G$205="rich")+(Dishes!$H$5:$H$205="rich")+(Dishes!$I$5:$I$205="rich"))&gt;0))</x:f>
        <x:v>0</x:v>
      </x:c>
      <x:c r="C25" s="73" t="n">
        <x:f>IF($B$6=0,0,B25/$B$6)</x:f>
        <x:v>0</x:v>
      </x:c>
      <x:c r="D25" s="28" t="n">
        <x:v>20</x:v>
      </x:c>
      <x:c r="E25" s="28" t="n">
        <x:f>MAX(0,D25-B25)</x:f>
        <x:v>20</x:v>
      </x:c>
      <x:c r="F25" s="28" t="str">
        <x:f>IF(E25=0,"OK","ADD "&amp;E25)</x:f>
        <x:v>ADD 20</x:v>
      </x:c>
      <x:c r="G25" s="28"/>
      <x:c r="H25" s="28"/>
    </x:row>
    <x:row r="26">
      <x:c r="A26" s="28" t="str">
        <x:v>crispy</x:v>
      </x:c>
      <x:c r="B26" s="28" t="n">
        <x:f>SUMPRODUCT(--(Dishes!$Q$5:$Q$205="approved"),--(((Dishes!$G$5:$G$205="crispy")+(Dishes!$H$5:$H$205="crispy")+(Dishes!$I$5:$I$205="crispy"))&gt;0))</x:f>
        <x:v>0</x:v>
      </x:c>
      <x:c r="C26" s="73" t="n">
        <x:f>IF($B$6=0,0,B26/$B$6)</x:f>
        <x:v>0</x:v>
      </x:c>
      <x:c r="D26" s="28" t="n">
        <x:v>20</x:v>
      </x:c>
      <x:c r="E26" s="28" t="n">
        <x:f>MAX(0,D26-B26)</x:f>
        <x:v>20</x:v>
      </x:c>
      <x:c r="F26" s="28" t="str">
        <x:f>IF(E26=0,"OK","ADD "&amp;E26)</x:f>
        <x:v>ADD 20</x:v>
      </x:c>
      <x:c r="G26" s="28"/>
      <x:c r="H26" s="28"/>
    </x:row>
    <x:row r="27">
      <x:c r="A27" s="28" t="str">
        <x:v>tangy</x:v>
      </x:c>
      <x:c r="B27" s="28" t="n">
        <x:f>SUMPRODUCT(--(Dishes!$Q$5:$Q$205="approved"),--(((Dishes!$G$5:$G$205="tangy")+(Dishes!$H$5:$H$205="tangy")+(Dishes!$I$5:$I$205="tangy"))&gt;0))</x:f>
        <x:v>0</x:v>
      </x:c>
      <x:c r="C27" s="73" t="n">
        <x:f>IF($B$6=0,0,B27/$B$6)</x:f>
        <x:v>0</x:v>
      </x:c>
      <x:c r="D27" s="28" t="n">
        <x:v>20</x:v>
      </x:c>
      <x:c r="E27" s="28" t="n">
        <x:f>MAX(0,D27-B27)</x:f>
        <x:v>20</x:v>
      </x:c>
      <x:c r="F27" s="28" t="str">
        <x:f>IF(E27=0,"OK","ADD "&amp;E27)</x:f>
        <x:v>ADD 20</x:v>
      </x:c>
      <x:c r="G27" s="28"/>
      <x:c r="H27" s="28"/>
    </x:row>
    <x:row r="28">
      <x:c r="A28" s="28"/>
      <x:c r="B28" s="28"/>
      <x:c r="C28" s="28"/>
      <x:c r="D28" s="28"/>
      <x:c r="E28" s="28"/>
      <x:c r="F28" s="28"/>
      <x:c r="G28" s="28"/>
      <x:c r="H28" s="28"/>
    </x:row>
    <x:row r="29">
      <x:c r="A29" s="28"/>
      <x:c r="B29" s="28"/>
      <x:c r="C29" s="28"/>
      <x:c r="D29" s="28"/>
      <x:c r="E29" s="28"/>
      <x:c r="F29" s="28"/>
      <x:c r="G29" s="28"/>
      <x:c r="H29" s="28"/>
    </x:row>
    <x:row r="30">
      <x:c r="A30" s="28"/>
      <x:c r="B30" s="28"/>
      <x:c r="C30" s="28"/>
      <x:c r="D30" s="28"/>
      <x:c r="E30" s="28"/>
      <x:c r="F30" s="28"/>
      <x:c r="G30" s="28"/>
      <x:c r="H30" s="28"/>
    </x:row>
    <x:row r="31">
      <x:c r="A31" s="71" t="str">
        <x:v>Adventure Level</x:v>
      </x:c>
      <x:c r="B31" s="71" t="str">
        <x:v>Meaning</x:v>
      </x:c>
      <x:c r="C31" s="71" t="str">
        <x:v>Approved Dishes</x:v>
      </x:c>
      <x:c r="D31" s="71" t="str">
        <x:v>Suggested Floor</x:v>
      </x:c>
      <x:c r="E31" s="71" t="str">
        <x:v>Gap</x:v>
      </x:c>
      <x:c r="F31" s="28"/>
      <x:c r="G31" s="28"/>
      <x:c r="H31" s="28"/>
    </x:row>
    <x:row r="32">
      <x:c r="A32" s="28" t="n">
        <x:v>1</x:v>
      </x:c>
      <x:c r="B32" s="28" t="str">
        <x:v>Familiar</x:v>
      </x:c>
      <x:c r="C32" s="28" t="n">
        <x:f>COUNTIFS(Dishes!$N$5:$N$205,1,Dishes!$Q$5:$Q$205,"approved")</x:f>
        <x:v>0</x:v>
      </x:c>
      <x:c r="D32" s="28" t="n">
        <x:v>25</x:v>
      </x:c>
      <x:c r="E32" s="28" t="n">
        <x:f>MAX(0,D32-C32)</x:f>
        <x:v>25</x:v>
      </x:c>
      <x:c r="F32" s="28"/>
      <x:c r="G32" s="28"/>
      <x:c r="H32" s="28"/>
    </x:row>
    <x:row r="33">
      <x:c r="A33" s="28" t="n">
        <x:v>2</x:v>
      </x:c>
      <x:c r="B33" s="28" t="str">
        <x:v>Try Something Different</x:v>
      </x:c>
      <x:c r="C33" s="28" t="n">
        <x:f>COUNTIFS(Dishes!$N$5:$N$204,2,Dishes!$Q$5:$Q$204,"approved")</x:f>
        <x:v>0</x:v>
      </x:c>
      <x:c r="D33" s="28" t="n">
        <x:v>25</x:v>
      </x:c>
      <x:c r="E33" s="28" t="n">
        <x:f>MAX(0,D33-C33)</x:f>
        <x:v>25</x:v>
      </x:c>
      <x:c r="F33" s="28"/>
      <x:c r="G33" s="28"/>
      <x:c r="H33" s="28"/>
    </x:row>
    <x:row r="34">
      <x:c r="A34" s="28" t="n">
        <x:v>3</x:v>
      </x:c>
      <x:c r="B34" s="28" t="str">
        <x:v>Feeling Adventurous</x:v>
      </x:c>
      <x:c r="C34" s="28" t="n">
        <x:f>COUNTIFS(Dishes!$N$5:$N$204,3,Dishes!$Q$5:$Q$204,"approved")</x:f>
        <x:v>0</x:v>
      </x:c>
      <x:c r="D34" s="28" t="n">
        <x:v>25</x:v>
      </x:c>
      <x:c r="E34" s="28" t="n">
        <x:f>MAX(0,D34-C34)</x:f>
        <x:v>25</x:v>
      </x:c>
      <x:c r="F34" s="28"/>
      <x:c r="G34" s="28"/>
      <x:c r="H34" s="28"/>
    </x:row>
    <x:row r="35">
      <x:c r="A35" s="28"/>
      <x:c r="B35" s="28"/>
      <x:c r="C35" s="28"/>
      <x:c r="D35" s="28"/>
      <x:c r="E35" s="28"/>
      <x:c r="F35" s="28"/>
      <x:c r="G35" s="28"/>
      <x:c r="H35" s="28"/>
    </x:row>
    <x:row r="36">
      <x:c r="A36" s="28"/>
      <x:c r="B36" s="28"/>
      <x:c r="C36" s="28"/>
      <x:c r="D36" s="28"/>
      <x:c r="E36" s="28"/>
      <x:c r="F36" s="28"/>
      <x:c r="G36" s="28"/>
      <x:c r="H36" s="28"/>
    </x:row>
    <x:row r="37">
      <x:c r="A37" s="28"/>
      <x:c r="B37" s="28"/>
      <x:c r="C37" s="28"/>
      <x:c r="D37" s="28"/>
      <x:c r="E37" s="28"/>
      <x:c r="F37" s="28"/>
      <x:c r="G37" s="28"/>
      <x:c r="H37" s="28"/>
    </x:row>
    <x:row r="38">
      <x:c r="A38" s="74" t="str">
        <x:v>Validation Reminder</x:v>
      </x:c>
      <x:c r="B38" s="74" t="str">
        <x:v>Rule</x:v>
      </x:c>
      <x:c r="C38" s="74" t="str">
        <x:v>What to do</x:v>
      </x:c>
      <x:c r="D38" s="74" t="str">
        <x:v>Severity</x:v>
      </x:c>
      <x:c r="E38" s="28"/>
      <x:c r="F38" s="28"/>
      <x:c r="G38" s="28"/>
      <x:c r="H38" s="28"/>
    </x:row>
    <x:row r="39">
      <x:c r="A39" s="28" t="str">
        <x:v>Region × type gap</x:v>
      </x:c>
      <x:c r="B39" s="28" t="str">
        <x:v>0 approved dishes in a cell</x:v>
      </x:c>
      <x:c r="C39" s="28" t="str">
        <x:v>Add only culturally sensible candidates; do not force artificial equality</x:v>
      </x:c>
      <x:c r="D39" s="28" t="str">
        <x:v>Warning</x:v>
      </x:c>
      <x:c r="E39" s="28"/>
      <x:c r="F39" s="28"/>
      <x:c r="G39" s="28"/>
      <x:c r="H39" s="28"/>
    </x:row>
    <x:row r="40">
      <x:c r="A40" s="28" t="str">
        <x:v>Flavor gap</x:v>
      </x:c>
      <x:c r="B40" s="28" t="str">
        <x:v>Below suggested floor</x:v>
      </x:c>
      <x:c r="C40" s="28" t="str">
        <x:v>Research more dishes genuinely matching that preference</x:v>
      </x:c>
      <x:c r="D40" s="28" t="str">
        <x:v>Warning</x:v>
      </x:c>
      <x:c r="E40" s="28"/>
      <x:c r="F40" s="28"/>
      <x:c r="G40" s="28"/>
      <x:c r="H40" s="28"/>
    </x:row>
    <x:row r="41">
      <x:c r="A41" s="28" t="str">
        <x:v>Approved row issue</x:v>
      </x:c>
      <x:c r="B41" s="28" t="str">
        <x:v>validationStatus is not OK</x:v>
      </x:c>
      <x:c r="C41" s="28" t="str">
        <x:v>Fix source/image/duplicate issue before production</x:v>
      </x:c>
      <x:c r="D41" s="28" t="str">
        <x:v>Blocker</x:v>
      </x:c>
      <x:c r="E41" s="28"/>
      <x:c r="F41" s="28"/>
      <x:c r="G41" s="28"/>
      <x:c r="H41" s="28"/>
    </x:row>
    <x:row r="42">
      <x:c r="A42" s="28" t="str">
        <x:v>Duplicate dish</x:v>
      </x:c>
      <x:c r="B42" s="28" t="str">
        <x:v>Same dish or alternate spelling entered twice</x:v>
      </x:c>
      <x:c r="C42" s="28" t="str">
        <x:v>Use aliases and human review</x:v>
      </x:c>
      <x:c r="D42" s="28" t="str">
        <x:v>Blocker</x:v>
      </x:c>
      <x:c r="E42" s="28"/>
      <x:c r="F42" s="28"/>
      <x:c r="G42" s="28"/>
      <x:c r="H42" s="28"/>
    </x:row>
    <x:row r="43">
      <x:c r="A43" s="28" t="str">
        <x:v>Image rights</x:v>
      </x:c>
      <x:c r="B43" s="28" t="str">
        <x:v>License unknown or disallowed</x:v>
      </x:c>
      <x:c r="C43" s="28" t="str">
        <x:v>Replace with approved licensed/owned/generated image</x:v>
      </x:c>
      <x:c r="D43" s="28" t="str">
        <x:v>Blocker</x:v>
      </x:c>
      <x:c r="E43" s="28"/>
      <x:c r="F43" s="28"/>
      <x:c r="G43" s="28"/>
      <x:c r="H43" s="28"/>
    </x:row>
    <x:row r="44">
      <x:c r="A44" s="28"/>
      <x:c r="B44" s="28"/>
      <x:c r="C44" s="28"/>
      <x:c r="D44" s="28"/>
      <x:c r="E44" s="28"/>
      <x:c r="F44" s="28"/>
      <x:c r="G44" s="28"/>
      <x:c r="H44" s="28"/>
    </x:row>
    <x:row r="45">
      <x:c r="A45" s="28"/>
      <x:c r="B45" s="28"/>
      <x:c r="C45" s="28"/>
      <x:c r="D45" s="28"/>
      <x:c r="E45" s="28"/>
      <x:c r="F45" s="28"/>
      <x:c r="G45" s="28"/>
      <x:c r="H45" s="28"/>
    </x:row>
  </x:sheetData>
  <x:mergeCells>
    <x:mergeCell ref="A1:H1"/>
    <x:mergeCell ref="A2:H2"/>
  </x:mergeCells>
  <x:conditionalFormatting sqref="B13:F20">
    <x:cfRule type="colorScale" priority="1">
      <x:colorScale>
        <x:cfvo type="min"/>
        <x:cfvo type="percentile" val="50"/>
        <x:cfvo type="max"/>
        <x:color rgb="FFFDE2E2"/>
        <x:color rgb="FFFFF1CC"/>
        <x:color rgb="FFDDF6E5"/>
      </x:colorScale>
    </x:cfRule>
  </x:conditionalFormatting>
  <x:conditionalFormatting sqref="D5:D9">
    <x:cfRule type="expression" dxfId="9" priority="2">
      <x:formula>OR(LEFT(D5,5)="CLEAR",D5="GOOD",D5="TARGET MET",D5="MET")</x:formula>
    </x:cfRule>
    <x:cfRule type="expression" dxfId="10" priority="3">
      <x:formula>OR(D5="START",D5="BUILDING",ISNUMBER(SEARCH("TO ",D5)),ISNUMBER(SEARCH("ISSUES",D5)))</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24" hidden="0" customWidth="1"/>
    <x:col min="3" max="3" width="18" hidden="0" customWidth="1"/>
    <x:col min="4" max="4" width="20" hidden="0" customWidth="1"/>
    <x:col min="5" max="5" width="38" hidden="0" customWidth="1"/>
    <x:col min="6" max="6" width="24" hidden="0" customWidth="1"/>
    <x:col min="7" max="7" width="24" hidden="0" customWidth="1"/>
    <x:col min="8" max="8" width="18" hidden="0" customWidth="1"/>
    <x:col min="9" max="9" width="38" hidden="0" customWidth="1"/>
  </x:cols>
  <x:sheetData>
    <x:row r="1" ht="28" customHeight="1">
      <x:c r="A1" s="86" t="str">
        <x:v>Nom Catalog Audit — 201-Entry V1 (Flavor Taxonomy Frozen)</x:v>
      </x:c>
      <x:c r="B1" s="86"/>
      <x:c r="C1" s="86"/>
      <x:c r="D1" s="86"/>
      <x:c r="E1" s="86"/>
      <x:c r="F1" s="86"/>
      <x:c r="G1" s="86"/>
      <x:c r="H1" s="86"/>
      <x:c r="I1" s="38"/>
    </x:row>
    <x:row r="2" ht="34" customHeight="1">
      <x:c r="A2" s="38" t="str">
        <x:v>Current candidate-level audit after the final high-confidence flavor pass. The six V1 preference flavors are frozen; remaining coverage differences should be tested with users rather than artificially equalized.</x:v>
      </x:c>
      <x:c r="B2" s="38"/>
      <x:c r="C2" s="38"/>
      <x:c r="D2" s="38"/>
      <x:c r="E2" s="38"/>
      <x:c r="F2" s="38"/>
      <x:c r="G2" s="38"/>
      <x:c r="H2" s="38"/>
      <x:c r="I2" s="38"/>
    </x:row>
    <x:row r="3">
      <x:c r="A3" s="38"/>
      <x:c r="B3" s="38"/>
      <x:c r="C3" s="38"/>
      <x:c r="D3" s="38"/>
      <x:c r="E3" s="38"/>
      <x:c r="F3" s="38"/>
      <x:c r="G3" s="38"/>
      <x:c r="H3" s="38"/>
      <x:c r="I3" s="38"/>
    </x:row>
    <x:row r="4">
      <x:c r="A4" s="84" t="str">
        <x:v>Metric</x:v>
      </x:c>
      <x:c r="B4" s="84" t="str">
        <x:v>Value</x:v>
      </x:c>
      <x:c r="C4" s="84" t="str">
        <x:v>Why it matters</x:v>
      </x:c>
      <x:c r="D4" s="84" t="str">
        <x:v>Status</x:v>
      </x:c>
      <x:c r="E4" s="38"/>
      <x:c r="F4" s="84" t="str">
        <x:v>foodType ID</x:v>
      </x:c>
      <x:c r="G4" s="84" t="str">
        <x:v>Old label</x:v>
      </x:c>
      <x:c r="H4" s="84" t="str">
        <x:v>New V1 label</x:v>
      </x:c>
      <x:c r="I4" s="84" t="str">
        <x:v>Reason</x:v>
      </x:c>
    </x:row>
    <x:row r="5">
      <x:c r="A5" s="38" t="str">
        <x:v>Catalog dishes</x:v>
      </x:c>
      <x:c r="B5" s="38" t="n">
        <x:f>COUNTIF(Dishes!$A$5:$A$205,"&lt;&gt;")</x:f>
        <x:v>201</x:v>
      </x:c>
      <x:c r="C5" s="38" t="str">
        <x:v>V1 candidate catalog size</x:v>
      </x:c>
      <x:c r="D5" s="38" t="str">
        <x:f>IF(B5&gt;=200,"GOOD","CHECK")</x:f>
        <x:v>GOOD</x:v>
      </x:c>
      <x:c r="E5" s="38"/>
      <x:c r="F5" s="38" t="str">
        <x:v>noodle</x:v>
      </x:c>
      <x:c r="G5" s="38" t="str">
        <x:v>Noodles</x:v>
      </x:c>
      <x:c r="H5" s="38" t="str">
        <x:v>Noodles &amp; Pasta</x:v>
      </x:c>
      <x:c r="I5" s="38" t="str">
        <x:v>Covers Asian noodles plus European/American pasta dishes.</x:v>
      </x:c>
    </x:row>
    <x:row r="6">
      <x:c r="A6" s="38" t="str">
        <x:v>Taxonomy caveat rows</x:v>
      </x:c>
      <x:c r="B6" s="38" t="n">
        <x:v>47</x:v>
      </x:c>
      <x:c r="C6" s="38" t="str">
        <x:v>Rows whose notes explicitly mention a category compromise</x:v>
      </x:c>
      <x:c r="D6" s="38" t="str">
        <x:v>AUDITED</x:v>
      </x:c>
      <x:c r="E6" s="38"/>
      <x:c r="F6" s="38" t="str">
        <x:v>rice</x:v>
      </x:c>
      <x:c r="G6" s="38" t="str">
        <x:v>Rice</x:v>
      </x:c>
      <x:c r="H6" s="38" t="str">
        <x:v>Rice &amp; Starches</x:v>
      </x:c>
      <x:c r="I6" s="38" t="str">
        <x:v>Covers rice plus couscous, freekeh, attiéké, maftoul, mofongo, etc.</x:v>
      </x:c>
    </x:row>
    <x:row r="7">
      <x:c r="A7" s="38" t="str">
        <x:v>Rich + comforting pair</x:v>
      </x:c>
      <x:c r="B7" s="38" t="n">
        <x:f>SUMPRODUCT(--(((Dishes!$G$5:$G$205="rich")+(Dishes!$H$5:$H$205="rich")+(Dishes!$I$5:$I$205="rich"))&gt;0),--(((Dishes!$G$5:$G$205="comforting")+(Dishes!$H$5:$H$205="comforting")+(Dishes!$I$5:$I$205="comforting"))&gt;0))</x:f>
        <x:v>36</x:v>
      </x:c>
      <x:c r="C7" s="38" t="str">
        <x:v>Rows using both high-frequency preference tags</x:v>
      </x:c>
      <x:c r="D7" s="38" t="str">
        <x:v>REVIEW</x:v>
      </x:c>
      <x:c r="E7" s="38"/>
      <x:c r="F7" s="38" t="str">
        <x:v>soup-broth</x:v>
      </x:c>
      <x:c r="G7" s="38" t="str">
        <x:v>Soup / Broth</x:v>
      </x:c>
      <x:c r="H7" s="38" t="str">
        <x:v>Soups &amp; Stews</x:v>
      </x:c>
      <x:c r="I7" s="38" t="str">
        <x:v>Fits hot pots, thick stews, porridges, chowders, and brothy soups.</x:v>
      </x:c>
    </x:row>
    <x:row r="8">
      <x:c r="A8" s="38" t="str">
        <x:v>Regions represented</x:v>
      </x:c>
      <x:c r="B8" s="38" t="n">
        <x:v>8</x:v>
      </x:c>
      <x:c r="C8" s="38" t="str">
        <x:v>All planned Nom regions</x:v>
      </x:c>
      <x:c r="D8" s="38" t="str">
        <x:v>GOOD</x:v>
      </x:c>
      <x:c r="E8" s="38"/>
      <x:c r="F8" s="38" t="str">
        <x:v>grilled-protein</x:v>
      </x:c>
      <x:c r="G8" s="38" t="str">
        <x:v>Grilled / Protein</x:v>
      </x:c>
      <x:c r="H8" s="38" t="str">
        <x:v>Protein Mains</x:v>
      </x:c>
      <x:c r="I8" s="38" t="str">
        <x:v>Removes the false implication that every protein dish is grilled.</x:v>
      </x:c>
    </x:row>
    <x:row r="9">
      <x:c r="A9" s="38" t="str">
        <x:v>Food-type IDs</x:v>
      </x:c>
      <x:c r="B9" s="38" t="n">
        <x:v>5</x:v>
      </x:c>
      <x:c r="C9" s="38" t="str">
        <x:v>Current recommender dimensions preserved</x:v>
      </x:c>
      <x:c r="D9" s="38" t="str">
        <x:v>GOOD</x:v>
      </x:c>
      <x:c r="E9" s="38"/>
      <x:c r="F9" s="38" t="str">
        <x:v>handheld</x:v>
      </x:c>
      <x:c r="G9" s="38" t="str">
        <x:v>Handheld</x:v>
      </x:c>
      <x:c r="H9" s="38" t="str">
        <x:v>Handhelds &amp; Bites</x:v>
      </x:c>
      <x:c r="I9" s="38" t="str">
        <x:v>Better fits dumplings, pastries, rolls, fritters, and snack-style foods.</x:v>
      </x:c>
    </x:row>
    <x:row r="10">
      <x:c r="A10" s="38"/>
      <x:c r="B10" s="38"/>
      <x:c r="C10" s="38"/>
      <x:c r="D10" s="38"/>
      <x:c r="E10" s="38"/>
      <x:c r="F10" s="38"/>
      <x:c r="G10" s="38"/>
      <x:c r="H10" s="38"/>
      <x:c r="I10" s="38"/>
    </x:row>
    <x:row r="11">
      <x:c r="A11" s="38"/>
      <x:c r="B11" s="38"/>
      <x:c r="C11" s="38"/>
      <x:c r="D11" s="38"/>
      <x:c r="E11" s="38"/>
      <x:c r="F11" s="38"/>
      <x:c r="G11" s="38"/>
      <x:c r="H11" s="38"/>
      <x:c r="I11" s="38"/>
    </x:row>
    <x:row r="12">
      <x:c r="A12" s="84" t="str">
        <x:v>Region ID</x:v>
      </x:c>
      <x:c r="B12" s="84" t="str">
        <x:v>Display label</x:v>
      </x:c>
      <x:c r="C12" s="84" t="str">
        <x:v>Candidate dishes</x:v>
      </x:c>
      <x:c r="D12" s="84" t="str">
        <x:v>Share</x:v>
      </x:c>
      <x:c r="E12" s="38"/>
      <x:c r="F12" s="84" t="str">
        <x:v>foodType ID</x:v>
      </x:c>
      <x:c r="G12" s="84" t="str">
        <x:v>V1 display label</x:v>
      </x:c>
      <x:c r="H12" s="84" t="str">
        <x:v>Candidate dishes</x:v>
      </x:c>
      <x:c r="I12" s="84" t="str">
        <x:v>Share</x:v>
      </x:c>
    </x:row>
    <x:row r="13">
      <x:c r="A13" s="38" t="str">
        <x:v>east-asia</x:v>
      </x:c>
      <x:c r="B13" s="38" t="str">
        <x:v>East Asia</x:v>
      </x:c>
      <x:c r="C13" s="38" t="n">
        <x:f>COUNTIF(Dishes!$E$5:$E$205,A13)</x:f>
        <x:v>25</x:v>
      </x:c>
      <x:c r="D13" s="87" t="n">
        <x:f>C13/$B$5</x:f>
        <x:v>0.12437810945273632</x:v>
      </x:c>
      <x:c r="E13" s="38"/>
      <x:c r="F13" s="38" t="str">
        <x:v>noodle</x:v>
      </x:c>
      <x:c r="G13" s="38" t="str">
        <x:v>Noodles &amp; Pasta</x:v>
      </x:c>
      <x:c r="H13" s="38" t="n">
        <x:f>COUNTIF(Dishes!$F$5:$F$205,F13)</x:f>
        <x:v>34</x:v>
      </x:c>
      <x:c r="I13" s="87" t="n">
        <x:f>H13/$B$5</x:f>
        <x:v>0.1691542288557214</x:v>
      </x:c>
    </x:row>
    <x:row r="14">
      <x:c r="A14" s="38" t="str">
        <x:v>southeast-asia</x:v>
      </x:c>
      <x:c r="B14" s="38" t="str">
        <x:v>Southeast Asia</x:v>
      </x:c>
      <x:c r="C14" s="38" t="n">
        <x:f>COUNTIF(Dishes!$E$5:$E$205,A14)</x:f>
        <x:v>29</x:v>
      </x:c>
      <x:c r="D14" s="87" t="n">
        <x:f>C14/$B$5</x:f>
        <x:v>0.14427860696517414</x:v>
      </x:c>
      <x:c r="E14" s="38"/>
      <x:c r="F14" s="38" t="str">
        <x:v>rice</x:v>
      </x:c>
      <x:c r="G14" s="38" t="str">
        <x:v>Rice &amp; Starches</x:v>
      </x:c>
      <x:c r="H14" s="38" t="n">
        <x:f>COUNTIF(Dishes!$F$5:$F$205,F14)</x:f>
        <x:v>41</x:v>
      </x:c>
      <x:c r="I14" s="87" t="n">
        <x:f>H14/$B$5</x:f>
        <x:v>0.20398009950248755</x:v>
      </x:c>
    </x:row>
    <x:row r="15">
      <x:c r="A15" s="38" t="str">
        <x:v>south-asia</x:v>
      </x:c>
      <x:c r="B15" s="38" t="str">
        <x:v>South Asia</x:v>
      </x:c>
      <x:c r="C15" s="38" t="n">
        <x:f>COUNTIF(Dishes!$E$5:$E$205,A15)</x:f>
        <x:v>24</x:v>
      </x:c>
      <x:c r="D15" s="87" t="n">
        <x:f>C15/$B$5</x:f>
        <x:v>0.11940298507462686</x:v>
      </x:c>
      <x:c r="E15" s="38"/>
      <x:c r="F15" s="38" t="str">
        <x:v>soup-broth</x:v>
      </x:c>
      <x:c r="G15" s="38" t="str">
        <x:v>Soups &amp; Stews</x:v>
      </x:c>
      <x:c r="H15" s="38" t="n">
        <x:f>COUNTIF(Dishes!$F$5:$F$205,F15)</x:f>
        <x:v>39</x:v>
      </x:c>
      <x:c r="I15" s="87" t="n">
        <x:f>H15/$B$5</x:f>
        <x:v>0.19402985074626866</x:v>
      </x:c>
    </x:row>
    <x:row r="16">
      <x:c r="A16" s="38" t="str">
        <x:v>middle-east</x:v>
      </x:c>
      <x:c r="B16" s="38" t="str">
        <x:v>Middle East</x:v>
      </x:c>
      <x:c r="C16" s="38" t="n">
        <x:f>COUNTIF(Dishes!$E$5:$E$205,A16)</x:f>
        <x:v>25</x:v>
      </x:c>
      <x:c r="D16" s="87" t="n">
        <x:f>C16/$B$5</x:f>
        <x:v>0.12437810945273632</x:v>
      </x:c>
      <x:c r="E16" s="38"/>
      <x:c r="F16" s="38" t="str">
        <x:v>grilled-protein</x:v>
      </x:c>
      <x:c r="G16" s="38" t="str">
        <x:v>Protein Mains</x:v>
      </x:c>
      <x:c r="H16" s="38" t="n">
        <x:f>COUNTIF(Dishes!$F$5:$F$205,F16)</x:f>
        <x:v>43</x:v>
      </x:c>
      <x:c r="I16" s="87" t="n">
        <x:f>H16/$B$5</x:f>
        <x:v>0.21393034825870647</x:v>
      </x:c>
    </x:row>
    <x:row r="17">
      <x:c r="A17" s="38" t="str">
        <x:v>africa</x:v>
      </x:c>
      <x:c r="B17" s="38" t="str">
        <x:v>Africa</x:v>
      </x:c>
      <x:c r="C17" s="38" t="n">
        <x:f>COUNTIF(Dishes!$E$5:$E$205,A17)</x:f>
        <x:v>26</x:v>
      </x:c>
      <x:c r="D17" s="87" t="n">
        <x:f>C17/$B$5</x:f>
        <x:v>0.12935323383084577</x:v>
      </x:c>
      <x:c r="E17" s="38"/>
      <x:c r="F17" s="38" t="str">
        <x:v>handheld</x:v>
      </x:c>
      <x:c r="G17" s="38" t="str">
        <x:v>Handhelds &amp; Bites</x:v>
      </x:c>
      <x:c r="H17" s="38" t="n">
        <x:f>COUNTIF(Dishes!$F$5:$F$205,F17)</x:f>
        <x:v>44</x:v>
      </x:c>
      <x:c r="I17" s="87" t="n">
        <x:f>H17/$B$5</x:f>
        <x:v>0.21890547263681592</x:v>
      </x:c>
    </x:row>
    <x:row r="18">
      <x:c r="A18" s="38" t="str">
        <x:v>europe</x:v>
      </x:c>
      <x:c r="B18" s="38" t="str">
        <x:v>Europe</x:v>
      </x:c>
      <x:c r="C18" s="38" t="n">
        <x:f>COUNTIF(Dishes!$E$5:$E$205,A18)</x:f>
        <x:v>24</x:v>
      </x:c>
      <x:c r="D18" s="87" t="n">
        <x:f>C18/$B$5</x:f>
        <x:v>0.11940298507462686</x:v>
      </x:c>
      <x:c r="E18" s="38"/>
      <x:c r="F18" s="38"/>
      <x:c r="G18" s="38"/>
      <x:c r="H18" s="38"/>
      <x:c r="I18" s="38"/>
    </x:row>
    <x:row r="19">
      <x:c r="A19" s="38" t="str">
        <x:v>latin-america</x:v>
      </x:c>
      <x:c r="B19" s="38" t="str">
        <x:v>Latin America &amp; Caribbean</x:v>
      </x:c>
      <x:c r="C19" s="38" t="n">
        <x:f>COUNTIF(Dishes!$E$5:$E$205,A19)</x:f>
        <x:v>25</x:v>
      </x:c>
      <x:c r="D19" s="87" t="n">
        <x:f>C19/$B$5</x:f>
        <x:v>0.12437810945273632</x:v>
      </x:c>
      <x:c r="E19" s="38"/>
      <x:c r="F19" s="38"/>
      <x:c r="G19" s="38"/>
      <x:c r="H19" s="38"/>
      <x:c r="I19" s="38"/>
    </x:row>
    <x:row r="20">
      <x:c r="A20" s="38" t="str">
        <x:v>north-america</x:v>
      </x:c>
      <x:c r="B20" s="38" t="str">
        <x:v>North America</x:v>
      </x:c>
      <x:c r="C20" s="38" t="n">
        <x:f>COUNTIF(Dishes!$E$5:$E$205,A20)</x:f>
        <x:v>23</x:v>
      </x:c>
      <x:c r="D20" s="87" t="n">
        <x:f>C20/$B$5</x:f>
        <x:v>0.11442786069651742</x:v>
      </x:c>
      <x:c r="E20" s="38"/>
      <x:c r="F20" s="38"/>
      <x:c r="G20" s="38"/>
      <x:c r="H20" s="38"/>
      <x:c r="I20" s="38"/>
    </x:row>
    <x:row r="21">
      <x:c r="A21" s="38"/>
      <x:c r="B21" s="38"/>
      <x:c r="C21" s="38"/>
      <x:c r="D21" s="38"/>
      <x:c r="E21" s="38"/>
      <x:c r="F21" s="38"/>
      <x:c r="G21" s="38"/>
      <x:c r="H21" s="38"/>
      <x:c r="I21" s="38"/>
    </x:row>
    <x:row r="22">
      <x:c r="A22" s="38"/>
      <x:c r="B22" s="38"/>
      <x:c r="C22" s="38"/>
      <x:c r="D22" s="38"/>
      <x:c r="E22" s="38"/>
      <x:c r="F22" s="38"/>
      <x:c r="G22" s="38"/>
      <x:c r="H22" s="38"/>
      <x:c r="I22" s="38"/>
    </x:row>
    <x:row r="23">
      <x:c r="A23" s="38"/>
      <x:c r="B23" s="38"/>
      <x:c r="C23" s="38"/>
      <x:c r="D23" s="38"/>
      <x:c r="E23" s="38"/>
      <x:c r="F23" s="38"/>
      <x:c r="G23" s="38"/>
      <x:c r="H23" s="38"/>
      <x:c r="I23" s="38"/>
    </x:row>
    <x:row r="24">
      <x:c r="A24" s="84" t="str">
        <x:v>Preference flavor</x:v>
      </x:c>
      <x:c r="B24" s="84" t="str">
        <x:v>Candidate dishes</x:v>
      </x:c>
      <x:c r="C24" s="84" t="str">
        <x:v>Share</x:v>
      </x:c>
      <x:c r="D24" s="84" t="str">
        <x:v>Audit status</x:v>
      </x:c>
      <x:c r="E24" s="84" t="str">
        <x:v>Next action</x:v>
      </x:c>
      <x:c r="F24" s="38"/>
      <x:c r="G24" s="38"/>
      <x:c r="H24" s="38"/>
      <x:c r="I24" s="38"/>
    </x:row>
    <x:row r="25">
      <x:c r="A25" s="38" t="str">
        <x:v>spicy</x:v>
      </x:c>
      <x:c r="B25" s="38" t="n">
        <x:f>SUMPRODUCT(--(((Dishes!$G$5:$G$205=A25)+(Dishes!$H$5:$H$205=A25)+(Dishes!$I$5:$I$205=A25))&gt;0))</x:f>
        <x:v>27</x:v>
      </x:c>
      <x:c r="C25" s="87" t="n">
        <x:f>B25/$B$5</x:f>
        <x:v>0.13432835820895522</x:v>
      </x:c>
      <x:c r="D25" s="38" t="str">
        <x:f>IF(C25&gt;0.5,"OVERUSED — AUDIT",IF(C25&lt;0.18,"LOW — CHECK COVERAGE","HEALTHY"))</x:f>
        <x:v>LOW — CHECK COVERAGE</x:v>
      </x:c>
      <x:c r="E25" s="38" t="str">
        <x:f>IF(D25="OVERUSED — AUDIT","Keep only when strongly defining",IF(D25="LOW — CHECK COVERAGE","Do not force; verify missed legitimate matches","No balancing action needed"))</x:f>
        <x:v>Do not force; verify missed legitimate matches</x:v>
      </x:c>
      <x:c r="F25" s="38"/>
      <x:c r="G25" s="38"/>
      <x:c r="H25" s="38"/>
      <x:c r="I25" s="38"/>
    </x:row>
    <x:row r="26">
      <x:c r="A26" s="38" t="str">
        <x:v>comforting</x:v>
      </x:c>
      <x:c r="B26" s="38" t="n">
        <x:f>SUMPRODUCT(--(((Dishes!$G$5:$G$205=A26)+(Dishes!$H$5:$H$205=A26)+(Dishes!$I$5:$I$205=A26))&gt;0))</x:f>
        <x:v>106</x:v>
      </x:c>
      <x:c r="C26" s="87" t="n">
        <x:f>B26/$B$5</x:f>
        <x:v>0.527363184079602</x:v>
      </x:c>
      <x:c r="D26" s="38" t="str">
        <x:f>IF(C26&gt;0.5,"OVERUSED — AUDIT",IF(C26&lt;0.18,"LOW — CHECK COVERAGE","HEALTHY"))</x:f>
        <x:v>OVERUSED — AUDIT</x:v>
      </x:c>
      <x:c r="E26" s="38" t="str">
        <x:f>IF(D26="OVERUSED — AUDIT","Keep only when strongly defining",IF(D26="LOW — CHECK COVERAGE","Do not force; verify missed legitimate matches","No balancing action needed"))</x:f>
        <x:v>Keep only when strongly defining</x:v>
      </x:c>
      <x:c r="F26" s="38"/>
      <x:c r="G26" s="38"/>
      <x:c r="H26" s="38"/>
      <x:c r="I26" s="38"/>
    </x:row>
    <x:row r="27">
      <x:c r="A27" s="38" t="str">
        <x:v>fresh</x:v>
      </x:c>
      <x:c r="B27" s="38" t="n">
        <x:f>SUMPRODUCT(--(((Dishes!$G$5:$G$205=A27)+(Dishes!$H$5:$H$205=A27)+(Dishes!$I$5:$I$205=A27))&gt;0))</x:f>
        <x:v>37</x:v>
      </x:c>
      <x:c r="C27" s="87" t="n">
        <x:f>B27/$B$5</x:f>
        <x:v>0.18407960199004975</x:v>
      </x:c>
      <x:c r="D27" s="38" t="str">
        <x:f>IF(C27&gt;0.5,"OVERUSED — AUDIT",IF(C27&lt;0.18,"LOW — CHECK COVERAGE","HEALTHY"))</x:f>
        <x:v>HEALTHY</x:v>
      </x:c>
      <x:c r="E27" s="38" t="str">
        <x:f>IF(D27="OVERUSED — AUDIT","Keep only when strongly defining",IF(D27="LOW — CHECK COVERAGE","Do not force; verify missed legitimate matches","No balancing action needed"))</x:f>
        <x:v>No balancing action needed</x:v>
      </x:c>
      <x:c r="F27" s="38"/>
      <x:c r="G27" s="38"/>
      <x:c r="H27" s="38"/>
      <x:c r="I27" s="38"/>
    </x:row>
    <x:row r="28">
      <x:c r="A28" s="38" t="str">
        <x:v>rich</x:v>
      </x:c>
      <x:c r="B28" s="38" t="n">
        <x:f>SUMPRODUCT(--(((Dishes!$G$5:$G$205=A28)+(Dishes!$H$5:$H$205=A28)+(Dishes!$I$5:$I$205=A28))&gt;0))</x:f>
        <x:v>85</x:v>
      </x:c>
      <x:c r="C28" s="87" t="n">
        <x:f>B28/$B$5</x:f>
        <x:v>0.4228855721393035</x:v>
      </x:c>
      <x:c r="D28" s="38" t="str">
        <x:f>IF(C28&gt;0.5,"OVERUSED — AUDIT",IF(C28&lt;0.18,"LOW — CHECK COVERAGE","HEALTHY"))</x:f>
        <x:v>HEALTHY</x:v>
      </x:c>
      <x:c r="E28" s="38" t="str">
        <x:f>IF(D28="OVERUSED — AUDIT","Keep only when strongly defining",IF(D28="LOW — CHECK COVERAGE","Do not force; verify missed legitimate matches","No balancing action needed"))</x:f>
        <x:v>No balancing action needed</x:v>
      </x:c>
      <x:c r="F28" s="38"/>
      <x:c r="G28" s="38"/>
      <x:c r="H28" s="38"/>
      <x:c r="I28" s="38"/>
    </x:row>
    <x:row r="29">
      <x:c r="A29" s="38" t="str">
        <x:v>crispy</x:v>
      </x:c>
      <x:c r="B29" s="38" t="n">
        <x:f>SUMPRODUCT(--(((Dishes!$G$5:$G$205=A29)+(Dishes!$H$5:$H$205=A29)+(Dishes!$I$5:$I$205=A29))&gt;0))</x:f>
        <x:v>27</x:v>
      </x:c>
      <x:c r="C29" s="87" t="n">
        <x:f>B29/$B$5</x:f>
        <x:v>0.13432835820895522</x:v>
      </x:c>
      <x:c r="D29" s="38" t="str">
        <x:f>IF(C29&gt;0.5,"OVERUSED — AUDIT",IF(C29&lt;0.18,"LOW — CHECK COVERAGE","HEALTHY"))</x:f>
        <x:v>LOW — CHECK COVERAGE</x:v>
      </x:c>
      <x:c r="E29" s="38" t="str">
        <x:f>IF(D29="OVERUSED — AUDIT","Keep only when strongly defining",IF(D29="LOW — CHECK COVERAGE","Do not force; verify missed legitimate matches","No balancing action needed"))</x:f>
        <x:v>Do not force; verify missed legitimate matches</x:v>
      </x:c>
      <x:c r="F29" s="38"/>
      <x:c r="G29" s="38"/>
      <x:c r="H29" s="38"/>
      <x:c r="I29" s="38"/>
    </x:row>
    <x:row r="30">
      <x:c r="A30" s="38" t="str">
        <x:v>tangy</x:v>
      </x:c>
      <x:c r="B30" s="38" t="n">
        <x:f>SUMPRODUCT(--(((Dishes!$G$5:$G$205=A30)+(Dishes!$H$5:$H$205=A30)+(Dishes!$I$5:$I$205=A30))&gt;0))</x:f>
        <x:v>25</x:v>
      </x:c>
      <x:c r="C30" s="87" t="n">
        <x:f>B30/$B$5</x:f>
        <x:v>0.12437810945273632</x:v>
      </x:c>
      <x:c r="D30" s="38" t="str">
        <x:f>IF(C30&gt;0.5,"OVERUSED — AUDIT",IF(C30&lt;0.18,"LOW — CHECK COVERAGE","HEALTHY"))</x:f>
        <x:v>LOW — CHECK COVERAGE</x:v>
      </x:c>
      <x:c r="E30" s="38" t="str">
        <x:f>IF(D30="OVERUSED — AUDIT","Keep only when strongly defining",IF(D30="LOW — CHECK COVERAGE","Do not force; verify missed legitimate matches","No balancing action needed"))</x:f>
        <x:v>Do not force; verify missed legitimate matches</x:v>
      </x:c>
      <x:c r="F30" s="38"/>
      <x:c r="G30" s="38"/>
      <x:c r="H30" s="38"/>
      <x:c r="I30" s="38"/>
    </x:row>
    <x:row r="31">
      <x:c r="A31" s="38"/>
      <x:c r="B31" s="38"/>
      <x:c r="C31" s="38"/>
      <x:c r="D31" s="38"/>
      <x:c r="E31" s="38"/>
      <x:c r="F31" s="38"/>
      <x:c r="G31" s="38"/>
      <x:c r="H31" s="38"/>
      <x:c r="I31" s="38"/>
    </x:row>
    <x:row r="32">
      <x:c r="A32" s="38"/>
      <x:c r="B32" s="38"/>
      <x:c r="C32" s="38"/>
      <x:c r="D32" s="38"/>
      <x:c r="E32" s="38"/>
      <x:c r="F32" s="38"/>
      <x:c r="G32" s="38"/>
      <x:c r="H32" s="38"/>
      <x:c r="I32" s="38"/>
    </x:row>
    <x:row r="33">
      <x:c r="A33" s="38"/>
      <x:c r="B33" s="38"/>
      <x:c r="C33" s="38"/>
      <x:c r="D33" s="38"/>
      <x:c r="E33" s="38"/>
      <x:c r="F33" s="38"/>
      <x:c r="G33" s="38"/>
      <x:c r="H33" s="38"/>
      <x:c r="I33" s="38"/>
    </x:row>
    <x:row r="34">
      <x:c r="A34" s="84" t="str">
        <x:v>Region</x:v>
      </x:c>
      <x:c r="B34" s="84" t="str">
        <x:v>Noodles &amp; Pasta</x:v>
      </x:c>
      <x:c r="C34" s="84" t="str">
        <x:v>Rice &amp; Starches</x:v>
      </x:c>
      <x:c r="D34" s="84" t="str">
        <x:v>Soups &amp; Stews</x:v>
      </x:c>
      <x:c r="E34" s="84" t="str">
        <x:v>Protein Mains</x:v>
      </x:c>
      <x:c r="F34" s="84" t="str">
        <x:v>Handhelds &amp; Bites</x:v>
      </x:c>
      <x:c r="G34" s="84" t="str">
        <x:v>Total</x:v>
      </x:c>
      <x:c r="H34" s="38"/>
      <x:c r="I34" s="38"/>
    </x:row>
    <x:row r="35">
      <x:c r="A35" s="38" t="str">
        <x:v>East Asia</x:v>
      </x:c>
      <x:c r="B35" s="38" t="n">
        <x:f>COUNTIFS(Dishes!$E$5:$E$205,"east-asia",Dishes!$F$5:$F$205,"noodle")</x:f>
        <x:v>6</x:v>
      </x:c>
      <x:c r="C35" s="38" t="n">
        <x:f>COUNTIFS(Dishes!$E$5:$E$205,"east-asia",Dishes!$F$5:$F$205,"rice")</x:f>
        <x:v>5</x:v>
      </x:c>
      <x:c r="D35" s="38" t="n">
        <x:f>COUNTIFS(Dishes!$E$5:$E$205,"east-asia",Dishes!$F$5:$F$205,"soup-broth")</x:f>
        <x:v>5</x:v>
      </x:c>
      <x:c r="E35" s="38" t="n">
        <x:f>COUNTIFS(Dishes!$E$5:$E$205,"east-asia",Dishes!$F$5:$F$205,"grilled-protein")</x:f>
        <x:v>4</x:v>
      </x:c>
      <x:c r="F35" s="38" t="n">
        <x:f>COUNTIFS(Dishes!$E$5:$E$205,"east-asia",Dishes!$F$5:$F$205,"handheld")</x:f>
        <x:v>5</x:v>
      </x:c>
      <x:c r="G35" s="38" t="n">
        <x:f>SUM(B35:F35)</x:f>
        <x:v>25</x:v>
      </x:c>
      <x:c r="H35" s="38"/>
      <x:c r="I35" s="38"/>
    </x:row>
    <x:row r="36">
      <x:c r="A36" s="38" t="str">
        <x:v>Southeast Asia</x:v>
      </x:c>
      <x:c r="B36" s="38" t="n">
        <x:f>COUNTIFS(Dishes!$E$5:$E$205,"southeast-asia",Dishes!$F$5:$F$205,"noodle")</x:f>
        <x:v>10</x:v>
      </x:c>
      <x:c r="C36" s="38" t="n">
        <x:f>COUNTIFS(Dishes!$E$5:$E$205,"southeast-asia",Dishes!$F$5:$F$205,"rice")</x:f>
        <x:v>4</x:v>
      </x:c>
      <x:c r="D36" s="38" t="n">
        <x:f>COUNTIFS(Dishes!$E$5:$E$205,"southeast-asia",Dishes!$F$5:$F$205,"soup-broth")</x:f>
        <x:v>4</x:v>
      </x:c>
      <x:c r="E36" s="38" t="n">
        <x:f>COUNTIFS(Dishes!$E$5:$E$205,"southeast-asia",Dishes!$F$5:$F$205,"grilled-protein")</x:f>
        <x:v>6</x:v>
      </x:c>
      <x:c r="F36" s="38" t="n">
        <x:f>COUNTIFS(Dishes!$E$5:$E$205,"southeast-asia",Dishes!$F$5:$F$205,"handheld")</x:f>
        <x:v>5</x:v>
      </x:c>
      <x:c r="G36" s="38" t="n">
        <x:f>SUM(B36:F36)</x:f>
        <x:v>29</x:v>
      </x:c>
      <x:c r="H36" s="38"/>
      <x:c r="I36" s="38"/>
    </x:row>
    <x:row r="37">
      <x:c r="A37" s="38" t="str">
        <x:v>South Asia</x:v>
      </x:c>
      <x:c r="B37" s="38" t="n">
        <x:f>COUNTIFS(Dishes!$E$5:$E$205,"south-asia",Dishes!$F$5:$F$205,"noodle")</x:f>
        <x:v>3</x:v>
      </x:c>
      <x:c r="C37" s="38" t="n">
        <x:f>COUNTIFS(Dishes!$E$5:$E$205,"south-asia",Dishes!$F$5:$F$205,"rice")</x:f>
        <x:v>5</x:v>
      </x:c>
      <x:c r="D37" s="38" t="n">
        <x:f>COUNTIFS(Dishes!$E$5:$E$205,"south-asia",Dishes!$F$5:$F$205,"soup-broth")</x:f>
        <x:v>4</x:v>
      </x:c>
      <x:c r="E37" s="38" t="n">
        <x:f>COUNTIFS(Dishes!$E$5:$E$205,"south-asia",Dishes!$F$5:$F$205,"grilled-protein")</x:f>
        <x:v>6</x:v>
      </x:c>
      <x:c r="F37" s="38" t="n">
        <x:f>COUNTIFS(Dishes!$E$5:$E$205,"south-asia",Dishes!$F$5:$F$205,"handheld")</x:f>
        <x:v>6</x:v>
      </x:c>
      <x:c r="G37" s="38" t="n">
        <x:f>SUM(B37:F37)</x:f>
        <x:v>24</x:v>
      </x:c>
      <x:c r="H37" s="38"/>
      <x:c r="I37" s="38"/>
    </x:row>
    <x:row r="38">
      <x:c r="A38" s="38" t="str">
        <x:v>Middle East</x:v>
      </x:c>
      <x:c r="B38" s="38" t="n">
        <x:f>COUNTIFS(Dishes!$E$5:$E$205,"middle-east",Dishes!$F$5:$F$205,"noodle")</x:f>
        <x:v>2</x:v>
      </x:c>
      <x:c r="C38" s="38" t="n">
        <x:f>COUNTIFS(Dishes!$E$5:$E$205,"middle-east",Dishes!$F$5:$F$205,"rice")</x:f>
        <x:v>7</x:v>
      </x:c>
      <x:c r="D38" s="38" t="n">
        <x:f>COUNTIFS(Dishes!$E$5:$E$205,"middle-east",Dishes!$F$5:$F$205,"soup-broth")</x:f>
        <x:v>4</x:v>
      </x:c>
      <x:c r="E38" s="38" t="n">
        <x:f>COUNTIFS(Dishes!$E$5:$E$205,"middle-east",Dishes!$F$5:$F$205,"grilled-protein")</x:f>
        <x:v>5</x:v>
      </x:c>
      <x:c r="F38" s="38" t="n">
        <x:f>COUNTIFS(Dishes!$E$5:$E$205,"middle-east",Dishes!$F$5:$F$205,"handheld")</x:f>
        <x:v>7</x:v>
      </x:c>
      <x:c r="G38" s="38" t="n">
        <x:f>SUM(B38:F38)</x:f>
        <x:v>25</x:v>
      </x:c>
      <x:c r="H38" s="38"/>
      <x:c r="I38" s="38"/>
    </x:row>
    <x:row r="39">
      <x:c r="A39" s="38" t="str">
        <x:v>Africa</x:v>
      </x:c>
      <x:c r="B39" s="38" t="n">
        <x:f>COUNTIFS(Dishes!$E$5:$E$205,"africa",Dishes!$F$5:$F$205,"noodle")</x:f>
        <x:v>2</x:v>
      </x:c>
      <x:c r="C39" s="38" t="n">
        <x:f>COUNTIFS(Dishes!$E$5:$E$205,"africa",Dishes!$F$5:$F$205,"rice")</x:f>
        <x:v>6</x:v>
      </x:c>
      <x:c r="D39" s="38" t="n">
        <x:f>COUNTIFS(Dishes!$E$5:$E$205,"africa",Dishes!$F$5:$F$205,"soup-broth")</x:f>
        <x:v>6</x:v>
      </x:c>
      <x:c r="E39" s="38" t="n">
        <x:f>COUNTIFS(Dishes!$E$5:$E$205,"africa",Dishes!$F$5:$F$205,"grilled-protein")</x:f>
        <x:v>7</x:v>
      </x:c>
      <x:c r="F39" s="38" t="n">
        <x:f>COUNTIFS(Dishes!$E$5:$E$205,"africa",Dishes!$F$5:$F$205,"handheld")</x:f>
        <x:v>5</x:v>
      </x:c>
      <x:c r="G39" s="38" t="n">
        <x:f>SUM(B39:F39)</x:f>
        <x:v>26</x:v>
      </x:c>
      <x:c r="H39" s="38"/>
      <x:c r="I39" s="38"/>
    </x:row>
    <x:row r="40">
      <x:c r="A40" s="38" t="str">
        <x:v>Europe</x:v>
      </x:c>
      <x:c r="B40" s="38" t="n">
        <x:f>COUNTIFS(Dishes!$E$5:$E$205,"europe",Dishes!$F$5:$F$205,"noodle")</x:f>
        <x:v>5</x:v>
      </x:c>
      <x:c r="C40" s="38" t="n">
        <x:f>COUNTIFS(Dishes!$E$5:$E$205,"europe",Dishes!$F$5:$F$205,"rice")</x:f>
        <x:v>4</x:v>
      </x:c>
      <x:c r="D40" s="38" t="n">
        <x:f>COUNTIFS(Dishes!$E$5:$E$205,"europe",Dishes!$F$5:$F$205,"soup-broth")</x:f>
        <x:v>5</x:v>
      </x:c>
      <x:c r="E40" s="38" t="n">
        <x:f>COUNTIFS(Dishes!$E$5:$E$205,"europe",Dishes!$F$5:$F$205,"grilled-protein")</x:f>
        <x:v>6</x:v>
      </x:c>
      <x:c r="F40" s="38" t="n">
        <x:f>COUNTIFS(Dishes!$E$5:$E$205,"europe",Dishes!$F$5:$F$205,"handheld")</x:f>
        <x:v>4</x:v>
      </x:c>
      <x:c r="G40" s="90" t="n">
        <x:f>SUM(B40:F40)</x:f>
        <x:v>24</x:v>
      </x:c>
      <x:c r="H40" s="90"/>
      <x:c r="I40" s="90"/>
      <x:c r="J40" s="90"/>
      <x:c r="K40" s="90"/>
      <x:c r="L40" s="90"/>
      <x:c r="M40" s="90"/>
    </x:row>
    <x:row r="41">
      <x:c r="A41" s="38" t="str">
        <x:v>Latin America &amp; Caribbean</x:v>
      </x:c>
      <x:c r="B41" s="38" t="n">
        <x:f>COUNTIFS(Dishes!$E$5:$E$205,"latin-america",Dishes!$F$5:$F$205,"noodle")</x:f>
        <x:v>2</x:v>
      </x:c>
      <x:c r="C41" s="38" t="n">
        <x:f>COUNTIFS(Dishes!$E$5:$E$205,"latin-america",Dishes!$F$5:$F$205,"rice")</x:f>
        <x:v>5</x:v>
      </x:c>
      <x:c r="D41" s="38" t="n">
        <x:f>COUNTIFS(Dishes!$E$5:$E$205,"latin-america",Dishes!$F$5:$F$205,"soup-broth")</x:f>
        <x:v>6</x:v>
      </x:c>
      <x:c r="E41" s="38" t="n">
        <x:f>COUNTIFS(Dishes!$E$5:$E$205,"latin-america",Dishes!$F$5:$F$205,"grilled-protein")</x:f>
        <x:v>5</x:v>
      </x:c>
      <x:c r="F41" s="38" t="n">
        <x:f>COUNTIFS(Dishes!$E$5:$E$205,"latin-america",Dishes!$F$5:$F$205,"handheld")</x:f>
        <x:v>7</x:v>
      </x:c>
      <x:c r="G41" s="90" t="n">
        <x:f>SUM(B41:F41)</x:f>
        <x:v>25</x:v>
      </x:c>
      <x:c r="H41" s="90"/>
      <x:c r="I41" s="90"/>
      <x:c r="J41" s="90"/>
      <x:c r="K41" s="90"/>
      <x:c r="L41" s="90"/>
      <x:c r="M41" s="90"/>
    </x:row>
    <x:row r="42">
      <x:c r="A42" s="38" t="str">
        <x:v>North America</x:v>
      </x:c>
      <x:c r="B42" s="38" t="n">
        <x:f>COUNTIFS(Dishes!$E$5:$E$205,"north-america",Dishes!$F$5:$F$205,"noodle")</x:f>
        <x:v>4</x:v>
      </x:c>
      <x:c r="C42" s="38" t="n">
        <x:f>COUNTIFS(Dishes!$E$5:$E$205,"north-america",Dishes!$F$5:$F$205,"rice")</x:f>
        <x:v>5</x:v>
      </x:c>
      <x:c r="D42" s="38" t="n">
        <x:f>COUNTIFS(Dishes!$E$5:$E$205,"north-america",Dishes!$F$5:$F$205,"soup-broth")</x:f>
        <x:v>5</x:v>
      </x:c>
      <x:c r="E42" s="38" t="n">
        <x:f>COUNTIFS(Dishes!$E$5:$E$205,"north-america",Dishes!$F$5:$F$205,"grilled-protein")</x:f>
        <x:v>4</x:v>
      </x:c>
      <x:c r="F42" s="38" t="n">
        <x:f>COUNTIFS(Dishes!$E$5:$E$205,"north-america",Dishes!$F$5:$F$205,"handheld")</x:f>
        <x:v>5</x:v>
      </x:c>
      <x:c r="G42" s="90" t="n">
        <x:f>SUM(B42:F42)</x:f>
        <x:v>23</x:v>
      </x:c>
      <x:c r="H42" s="90"/>
      <x:c r="I42" s="90"/>
      <x:c r="J42" s="90"/>
      <x:c r="K42" s="90"/>
      <x:c r="L42" s="90"/>
      <x:c r="M42" s="90"/>
    </x:row>
    <x:row r="43">
      <x:c r="A43" s="38"/>
      <x:c r="B43" s="38"/>
      <x:c r="C43" s="38"/>
      <x:c r="D43" s="38"/>
      <x:c r="E43" s="38"/>
      <x:c r="F43" s="38"/>
      <x:c r="G43" s="90"/>
      <x:c r="H43" s="90"/>
      <x:c r="I43" s="90"/>
      <x:c r="J43" s="90"/>
      <x:c r="K43" s="90"/>
      <x:c r="L43" s="90"/>
      <x:c r="M43" s="90"/>
    </x:row>
    <x:row r="44">
      <x:c r="A44" s="38"/>
      <x:c r="B44" s="38"/>
      <x:c r="C44" s="38"/>
      <x:c r="D44" s="38"/>
      <x:c r="E44" s="38"/>
      <x:c r="F44" s="38"/>
      <x:c r="G44" s="38"/>
      <x:c r="H44" s="38"/>
      <x:c r="I44" s="38"/>
    </x:row>
    <x:row r="45">
      <x:c r="A45" s="38"/>
      <x:c r="B45" s="38"/>
      <x:c r="C45" s="38"/>
      <x:c r="D45" s="38"/>
      <x:c r="E45" s="38"/>
      <x:c r="F45" s="38"/>
      <x:c r="G45" s="38"/>
      <x:c r="H45" s="38"/>
      <x:c r="I45" s="38"/>
    </x:row>
    <x:row r="46">
      <x:c r="A46" s="84" t="str">
        <x:v>dishId</x:v>
      </x:c>
      <x:c r="B46" s="84" t="str">
        <x:v>Dish</x:v>
      </x:c>
      <x:c r="C46" s="84" t="str">
        <x:v>Current foodType</x:v>
      </x:c>
      <x:c r="D46" s="84" t="str">
        <x:v>Audit result</x:v>
      </x:c>
      <x:c r="E46" s="84" t="str">
        <x:v>Recommended action</x:v>
      </x:c>
      <x:c r="F46" s="84" t="str">
        <x:v>Existing note</x:v>
      </x:c>
      <x:c r="G46" s="38"/>
      <x:c r="H46" s="38"/>
      <x:c r="I46" s="38"/>
    </x:row>
    <x:row r="47" ht="44" customHeight="1">
      <x:c r="A47" s="38" t="str">
        <x:v>masala-dosa</x:v>
      </x:c>
      <x:c r="B47" s="38" t="str">
        <x:v>Masala Dosa</x:v>
      </x:c>
      <x:c r="C47" s="38" t="str">
        <x:v>handheld</x:v>
      </x:c>
      <x:c r="D47" s="38" t="str">
        <x:v>Manual semantic review</x:v>
      </x:c>
      <x:c r="E47" s="38" t="str">
        <x:v>Re-check whether "Handhelds &amp; Bites" matches the user craving; keep needs-review for now.</x:v>
      </x:c>
      <x:c r="F47" s="38" t="str">
        <x:v>Classified as handheld for Nom because the filled crepe functions as the primary portable format; review category if needed.</x:v>
      </x:c>
      <x:c r="G47" s="38"/>
      <x:c r="H47" s="38"/>
      <x:c r="I47" s="38"/>
    </x:row>
    <x:row r="48" ht="44" customHeight="1">
      <x:c r="A48" s="38" t="str">
        <x:v>jianbing</x:v>
      </x:c>
      <x:c r="B48" s="38" t="str">
        <x:v>Jianbing</x:v>
      </x:c>
      <x:c r="C48" s="38" t="str">
        <x:v>handheld</x:v>
      </x:c>
      <x:c r="D48" s="38" t="str">
        <x:v>Manual semantic review</x:v>
      </x:c>
      <x:c r="E48" s="38" t="str">
        <x:v>Re-check whether "Handhelds &amp; Bites" matches the user craving; keep needs-review for now.</x:v>
      </x:c>
      <x:c r="F48" s="38" t="str">
        <x:v>Batch 2 candidate. Classified as handheld for Nom; regional versions vary.</x:v>
      </x:c>
      <x:c r="G48" s="38"/>
      <x:c r="H48" s="38"/>
      <x:c r="I48" s="38"/>
    </x:row>
    <x:row r="49" ht="44" customHeight="1">
      <x:c r="A49" s="38" t="str">
        <x:v>chole-bhature</x:v>
      </x:c>
      <x:c r="B49" s="38" t="str">
        <x:v>Chole Bhature</x:v>
      </x:c>
      <x:c r="C49" s="38" t="str">
        <x:v>handheld</x:v>
      </x:c>
      <x:c r="D49" s="38" t="str">
        <x:v>Manual semantic review</x:v>
      </x:c>
      <x:c r="E49" s="38" t="str">
        <x:v>Re-check whether "Handhelds &amp; Bites" matches the user craving; keep needs-review for now.</x:v>
      </x:c>
      <x:c r="F49" s="38" t="str">
        <x:v>Batch 2 candidate. Handheld classification reflects the fried bread and curry pairing, though the dish is plated.</x:v>
      </x:c>
      <x:c r="G49" s="38"/>
      <x:c r="H49" s="38"/>
      <x:c r="I49" s="38"/>
    </x:row>
    <x:row r="50" ht="44" customHeight="1">
      <x:c r="A50" s="38" t="str">
        <x:v>doro-wat</x:v>
      </x:c>
      <x:c r="B50" s="38" t="str">
        <x:v>Doro Wat</x:v>
      </x:c>
      <x:c r="C50" s="38" t="str">
        <x:v>grilled-protein</x:v>
      </x:c>
      <x:c r="D50" s="38" t="str">
        <x:v>Display-label fix</x:v>
      </x:c>
      <x:c r="E50" s="38" t="str">
        <x:v>Keep ID; "Protein Mains" removes the grilling mismatch.</x:v>
      </x:c>
      <x:c r="F50" s="38" t="str">
        <x:v>Batch 2 candidate. Grilled/Protein is Nom's broad protein category; the dish itself is stewed, not grilled.</x:v>
      </x:c>
      <x:c r="G50" s="38"/>
      <x:c r="H50" s="38"/>
      <x:c r="I50" s="38"/>
    </x:row>
    <x:row r="51" ht="44" customHeight="1">
      <x:c r="A51" s="38" t="str">
        <x:v>goulash</x:v>
      </x:c>
      <x:c r="B51" s="38" t="str">
        <x:v>Goulash</x:v>
      </x:c>
      <x:c r="C51" s="38" t="str">
        <x:v>soup-broth</x:v>
      </x:c>
      <x:c r="D51" s="38" t="str">
        <x:v>Display-label fix</x:v>
      </x:c>
      <x:c r="E51" s="38" t="str">
        <x:v>Keep ID; "Soups &amp; Stews" covers broths, hot pots, porridges, and stews.</x:v>
      </x:c>
      <x:c r="F51" s="38" t="str">
        <x:v>Batch 2 candidate. Soup/Broth reflects traditional gulyás; international versions may be thicker.</x:v>
      </x:c>
      <x:c r="G51" s="38"/>
      <x:c r="H51" s="38"/>
      <x:c r="I51" s="38"/>
    </x:row>
    <x:row r="52" ht="44" customHeight="1">
      <x:c r="A52" s="38" t="str">
        <x:v>pierogi</x:v>
      </x:c>
      <x:c r="B52" s="38" t="str">
        <x:v>Pierogi</x:v>
      </x:c>
      <x:c r="C52" s="38" t="str">
        <x:v>handheld</x:v>
      </x:c>
      <x:c r="D52" s="38" t="str">
        <x:v>Manual semantic review</x:v>
      </x:c>
      <x:c r="E52" s="38" t="str">
        <x:v>Re-check whether "Handhelds &amp; Bites" matches the user craving; keep needs-review for now.</x:v>
      </x:c>
      <x:c r="F52" s="38" t="str">
        <x:v>Batch 2 candidate. Handheld is Nom's closest available category even though pierogi are normally plated.</x:v>
      </x:c>
      <x:c r="G52" s="38"/>
      <x:c r="H52" s="38"/>
      <x:c r="I52" s="38"/>
    </x:row>
    <x:row r="53" ht="44" customHeight="1">
      <x:c r="A53" s="38" t="str">
        <x:v>ceviche</x:v>
      </x:c>
      <x:c r="B53" s="38" t="str">
        <x:v>Ceviche</x:v>
      </x:c>
      <x:c r="C53" s="38" t="str">
        <x:v>grilled-protein</x:v>
      </x:c>
      <x:c r="D53" s="38" t="str">
        <x:v>Display-label fix</x:v>
      </x:c>
      <x:c r="E53" s="38" t="str">
        <x:v>Keep ID; "Protein Mains" removes the grilling mismatch.</x:v>
      </x:c>
      <x:c r="F53" s="38" t="str">
        <x:v>Batch 2 candidate. Grilled/Protein is Nom's broad protein category; the dish is cured, not grilled.</x:v>
      </x:c>
      <x:c r="G53" s="38"/>
      <x:c r="H53" s="38"/>
      <x:c r="I53" s="38"/>
    </x:row>
    <x:row r="54" ht="44" customHeight="1">
      <x:c r="A54" s="38" t="str">
        <x:v>chicken-adobo</x:v>
      </x:c>
      <x:c r="B54" s="38" t="str">
        <x:v>Chicken Adobo</x:v>
      </x:c>
      <x:c r="C54" s="38" t="str">
        <x:v>grilled-protein</x:v>
      </x:c>
      <x:c r="D54" s="38" t="str">
        <x:v>Display-label fix</x:v>
      </x:c>
      <x:c r="E54" s="38" t="str">
        <x:v>Keep ID; "Protein Mains" removes the grilling mismatch.</x:v>
      </x:c>
      <x:c r="F54" s="38" t="str">
        <x:v>Batch 3 candidate. Grilled/Protein is Nom's broad protein category; adobo itself is braised.</x:v>
      </x:c>
      <x:c r="G54" s="38"/>
      <x:c r="H54" s="38"/>
      <x:c r="I54" s="38"/>
    </x:row>
    <x:row r="55" ht="44" customHeight="1">
      <x:c r="A55" s="38" t="str">
        <x:v>laksa</x:v>
      </x:c>
      <x:c r="B55" s="38" t="str">
        <x:v>Laksa</x:v>
      </x:c>
      <x:c r="C55" s="38" t="str">
        <x:v>soup-broth</x:v>
      </x:c>
      <x:c r="D55" s="38" t="str">
        <x:v>Display-label fix</x:v>
      </x:c>
      <x:c r="E55" s="38" t="str">
        <x:v>Keep ID; "Soups &amp; Stews" covers broths, hot pots, porridges, and stews.</x:v>
      </x:c>
      <x:c r="F55" s="38" t="str">
        <x:v>Batch 3 candidate. Soup/Broth is used because the broth defines the experience even though noodles are central.</x:v>
      </x:c>
      <x:c r="G55" s="38"/>
      <x:c r="H55" s="38"/>
      <x:c r="I55" s="38"/>
    </x:row>
    <x:row r="56" ht="44" customHeight="1">
      <x:c r="A56" s="38" t="str">
        <x:v>tonkatsu</x:v>
      </x:c>
      <x:c r="B56" s="38" t="str">
        <x:v>Tonkatsu</x:v>
      </x:c>
      <x:c r="C56" s="38" t="str">
        <x:v>grilled-protein</x:v>
      </x:c>
      <x:c r="D56" s="38" t="str">
        <x:v>Display-label fix</x:v>
      </x:c>
      <x:c r="E56" s="38" t="str">
        <x:v>Keep ID; "Protein Mains" removes the grilling mismatch.</x:v>
      </x:c>
      <x:c r="F56" s="38" t="str">
        <x:v>Batch 3 candidate. Grilled/Protein is Nom's broad protein category; tonkatsu is fried rather than grilled.</x:v>
      </x:c>
      <x:c r="G56" s="38"/>
      <x:c r="H56" s="38"/>
      <x:c r="I56" s="38"/>
    </x:row>
    <x:row r="57" ht="44" customHeight="1">
      <x:c r="A57" s="38" t="str">
        <x:v>bunny-chow</x:v>
      </x:c>
      <x:c r="B57" s="38" t="str">
        <x:v>Bunny Chow</x:v>
      </x:c>
      <x:c r="C57" s="38" t="str">
        <x:v>handheld</x:v>
      </x:c>
      <x:c r="D57" s="38" t="str">
        <x:v>Manual semantic review</x:v>
      </x:c>
      <x:c r="E57" s="38" t="str">
        <x:v>Re-check whether "Handhelds &amp; Bites" matches the user craving; keep needs-review for now.</x:v>
      </x:c>
      <x:c r="F57" s="38" t="str">
        <x:v>Batch 3 candidate. Handheld category reflects the bread vessel, though servings can be substantial and plated.</x:v>
      </x:c>
      <x:c r="G57" s="38"/>
      <x:c r="H57" s="38"/>
      <x:c r="I57" s="38"/>
    </x:row>
    <x:row r="58" ht="44" customHeight="1">
      <x:c r="A58" s="38" t="str">
        <x:v>bobotie</x:v>
      </x:c>
      <x:c r="B58" s="38" t="str">
        <x:v>Bobotie</x:v>
      </x:c>
      <x:c r="C58" s="38" t="str">
        <x:v>grilled-protein</x:v>
      </x:c>
      <x:c r="D58" s="38" t="str">
        <x:v>Display-label fix</x:v>
      </x:c>
      <x:c r="E58" s="38" t="str">
        <x:v>Keep ID; "Protein Mains" removes the grilling mismatch.</x:v>
      </x:c>
      <x:c r="F58" s="38" t="str">
        <x:v>Batch 3 candidate. Grilled/Protein is Nom's broad protein category; bobotie is baked.</x:v>
      </x:c>
      <x:c r="G58" s="38"/>
      <x:c r="H58" s="38"/>
      <x:c r="I58" s="38"/>
    </x:row>
    <x:row r="59" ht="44" customHeight="1">
      <x:c r="A59" s="38" t="str">
        <x:v>schnitzel</x:v>
      </x:c>
      <x:c r="B59" s="38" t="str">
        <x:v>Schnitzel</x:v>
      </x:c>
      <x:c r="C59" s="38" t="str">
        <x:v>grilled-protein</x:v>
      </x:c>
      <x:c r="D59" s="38" t="str">
        <x:v>Display-label fix</x:v>
      </x:c>
      <x:c r="E59" s="38" t="str">
        <x:v>Keep ID; "Protein Mains" removes the grilling mismatch.</x:v>
      </x:c>
      <x:c r="F59" s="38" t="str">
        <x:v>Batch 3 candidate. Grilled/Protein is Nom's broad protein category; schnitzel is fried.</x:v>
      </x:c>
      <x:c r="G59" s="38"/>
      <x:c r="H59" s="38"/>
      <x:c r="I59" s="38"/>
    </x:row>
    <x:row r="60" ht="44" customHeight="1">
      <x:c r="A60" s="38" t="str">
        <x:v>feijoada</x:v>
      </x:c>
      <x:c r="B60" s="38" t="str">
        <x:v>Feijoada</x:v>
      </x:c>
      <x:c r="C60" s="38" t="str">
        <x:v>soup-broth</x:v>
      </x:c>
      <x:c r="D60" s="38" t="str">
        <x:v>Display-label fix</x:v>
      </x:c>
      <x:c r="E60" s="38" t="str">
        <x:v>Keep ID; "Soups &amp; Stews" covers broths, hot pots, porridges, and stews.</x:v>
      </x:c>
      <x:c r="F60" s="38" t="str">
        <x:v>Batch 3 candidate. Soup/Broth is Nom's closest category for this thick stew.</x:v>
      </x:c>
      <x:c r="G60" s="38"/>
      <x:c r="H60" s="38"/>
      <x:c r="I60" s="38"/>
    </x:row>
    <x:row r="61" ht="44" customHeight="1">
      <x:c r="A61" s="38" t="str">
        <x:v>gimbap</x:v>
      </x:c>
      <x:c r="B61" s="38" t="str">
        <x:v>Gimbap</x:v>
      </x:c>
      <x:c r="C61" s="38" t="str">
        <x:v>handheld</x:v>
      </x:c>
      <x:c r="D61" s="38" t="str">
        <x:v>Manual semantic review</x:v>
      </x:c>
      <x:c r="E61" s="38" t="str">
        <x:v>Re-check whether "Handhelds &amp; Bites" matches the user craving; keep needs-review for now.</x:v>
      </x:c>
      <x:c r="F61" s="38" t="str">
        <x:v>Batch 4 candidate. Handheld reflects portable roll format; fillings vary widely.</x:v>
      </x:c>
      <x:c r="G61" s="38"/>
      <x:c r="H61" s="38"/>
      <x:c r="I61" s="38"/>
    </x:row>
    <x:row r="62" ht="44" customHeight="1">
      <x:c r="A62" s="38" t="str">
        <x:v>rendang</x:v>
      </x:c>
      <x:c r="B62" s="38" t="str">
        <x:v>Rendang</x:v>
      </x:c>
      <x:c r="C62" s="38" t="str">
        <x:v>grilled-protein</x:v>
      </x:c>
      <x:c r="D62" s="38" t="str">
        <x:v>Display-label fix</x:v>
      </x:c>
      <x:c r="E62" s="38" t="str">
        <x:v>Keep ID; "Protein Mains" removes the grilling mismatch.</x:v>
      </x:c>
      <x:c r="F62" s="38" t="str">
        <x:v>Batch 4 candidate. Grilled/Protein is Nom's broad protein category; rendang is slow-cooked, not grilled.</x:v>
      </x:c>
      <x:c r="G62" s="38"/>
      <x:c r="H62" s="38"/>
      <x:c r="I62" s="38"/>
    </x:row>
    <x:row r="63" ht="44" customHeight="1">
      <x:c r="A63" s="38" t="str">
        <x:v>kottu-roti</x:v>
      </x:c>
      <x:c r="B63" s="38" t="str">
        <x:v>Kottu Roti</x:v>
      </x:c>
      <x:c r="C63" s="38" t="str">
        <x:v>handheld</x:v>
      </x:c>
      <x:c r="D63" s="38" t="str">
        <x:v>Manual semantic review</x:v>
      </x:c>
      <x:c r="E63" s="38" t="str">
        <x:v>Re-check whether "Handhelds &amp; Bites" matches the user craving; keep needs-review for now.</x:v>
      </x:c>
      <x:c r="F63" s="38" t="str">
        <x:v>Batch 4 candidate. Handheld is Nom's closest available category even though kottu is usually eaten from a plate.</x:v>
      </x:c>
      <x:c r="G63" s="38"/>
      <x:c r="H63" s="38"/>
      <x:c r="I63" s="38"/>
    </x:row>
    <x:row r="64" ht="44" customHeight="1">
      <x:c r="A64" s="38" t="str">
        <x:v>fesenjan</x:v>
      </x:c>
      <x:c r="B64" s="38" t="str">
        <x:v>Fesenjan</x:v>
      </x:c>
      <x:c r="C64" s="38" t="str">
        <x:v>grilled-protein</x:v>
      </x:c>
      <x:c r="D64" s="38" t="str">
        <x:v>Display-label fix</x:v>
      </x:c>
      <x:c r="E64" s="38" t="str">
        <x:v>Keep ID; "Protein Mains" removes the grilling mismatch.</x:v>
      </x:c>
      <x:c r="F64" s="38" t="str">
        <x:v>Batch 4 candidate. Grilled/Protein is Nom's broad protein category; fesenjan itself is stewed.</x:v>
      </x:c>
      <x:c r="G64" s="38"/>
      <x:c r="H64" s="38"/>
      <x:c r="I64" s="38"/>
    </x:row>
    <x:row r="65" ht="44" customHeight="1">
      <x:c r="A65" s="38" t="str">
        <x:v>lomo-saltado</x:v>
      </x:c>
      <x:c r="B65" s="38" t="str">
        <x:v>Lomo Saltado</x:v>
      </x:c>
      <x:c r="C65" s="38" t="str">
        <x:v>grilled-protein</x:v>
      </x:c>
      <x:c r="D65" s="38" t="str">
        <x:v>Display-label fix</x:v>
      </x:c>
      <x:c r="E65" s="38" t="str">
        <x:v>Keep ID; "Protein Mains" removes the grilling mismatch.</x:v>
      </x:c>
      <x:c r="F65" s="38" t="str">
        <x:v>Batch 4 candidate. Grilled/Protein is Nom's broad protein category; the beef is stir-fried.</x:v>
      </x:c>
      <x:c r="G65" s="38"/>
      <x:c r="H65" s="38"/>
      <x:c r="I65" s="38"/>
    </x:row>
    <x:row r="66" ht="44" customHeight="1">
      <x:c r="A66" s="38" t="str">
        <x:v>buffalo-wings</x:v>
      </x:c>
      <x:c r="B66" s="38" t="str">
        <x:v>Buffalo Wings</x:v>
      </x:c>
      <x:c r="C66" s="38" t="str">
        <x:v>grilled-protein</x:v>
      </x:c>
      <x:c r="D66" s="38" t="str">
        <x:v>Display-label fix</x:v>
      </x:c>
      <x:c r="E66" s="38" t="str">
        <x:v>Keep ID; "Protein Mains" removes the grilling mismatch.</x:v>
      </x:c>
      <x:c r="F66" s="38" t="str">
        <x:v>Batch 4 candidate. Grilled/Protein is Nom's broad protein category; traditional Buffalo wings are fried.</x:v>
      </x:c>
      <x:c r="G66" s="38"/>
      <x:c r="H66" s="38"/>
      <x:c r="I66" s="38"/>
    </x:row>
    <x:row r="67" ht="44" customHeight="1">
      <x:c r="A67" s="38" t="str">
        <x:v>sukiyaki</x:v>
      </x:c>
      <x:c r="B67" s="38" t="str">
        <x:v>Sukiyaki</x:v>
      </x:c>
      <x:c r="C67" s="38" t="str">
        <x:v>soup-broth</x:v>
      </x:c>
      <x:c r="D67" s="38" t="str">
        <x:v>Display-label fix</x:v>
      </x:c>
      <x:c r="E67" s="38" t="str">
        <x:v>Keep ID; "Soups &amp; Stews" covers broths, hot pots, porridges, and stews.</x:v>
      </x:c>
      <x:c r="F67" s="38" t="str">
        <x:v>Batch 5 candidate. Soup/Broth is Nom's closest category for this hot-pot style dish.</x:v>
      </x:c>
      <x:c r="G67" s="38"/>
      <x:c r="H67" s="38"/>
      <x:c r="I67" s="38"/>
    </x:row>
    <x:row r="68" ht="44" customHeight="1">
      <x:c r="A68" s="38" t="str">
        <x:v>mohinga</x:v>
      </x:c>
      <x:c r="B68" s="38" t="str">
        <x:v>Mohinga</x:v>
      </x:c>
      <x:c r="C68" s="38" t="str">
        <x:v>soup-broth</x:v>
      </x:c>
      <x:c r="D68" s="38" t="str">
        <x:v>Display-label fix</x:v>
      </x:c>
      <x:c r="E68" s="38" t="str">
        <x:v>Keep ID; "Soups &amp; Stews" covers broths, hot pots, porridges, and stews.</x:v>
      </x:c>
      <x:c r="F68" s="38" t="str">
        <x:v>Batch 5 candidate. Soup/Broth chosen because the fish broth defines the dish even though rice noodles are central.</x:v>
      </x:c>
      <x:c r="G68" s="38"/>
      <x:c r="H68" s="38"/>
      <x:c r="I68" s="38"/>
    </x:row>
    <x:row r="69" ht="44" customHeight="1">
      <x:c r="A69" s="38" t="str">
        <x:v>yassa</x:v>
      </x:c>
      <x:c r="B69" s="38" t="str">
        <x:v>Yassa</x:v>
      </x:c>
      <x:c r="C69" s="38" t="str">
        <x:v>grilled-protein</x:v>
      </x:c>
      <x:c r="D69" s="38" t="str">
        <x:v>Display-label fix</x:v>
      </x:c>
      <x:c r="E69" s="38" t="str">
        <x:v>Keep ID; "Protein Mains" removes the grilling mismatch.</x:v>
      </x:c>
      <x:c r="F69" s="38" t="str">
        <x:v>Batch 5 candidate. Grilled/Protein is Nom's broad protein category; the dish combines browning and stewing.</x:v>
      </x:c>
      <x:c r="G69" s="38"/>
      <x:c r="H69" s="38"/>
      <x:c r="I69" s="38"/>
    </x:row>
    <x:row r="70" ht="44" customHeight="1">
      <x:c r="A70" s="38" t="str">
        <x:v>chili-con-carne</x:v>
      </x:c>
      <x:c r="B70" s="38" t="str">
        <x:v>Chili con Carne</x:v>
      </x:c>
      <x:c r="C70" s="38" t="str">
        <x:v>soup-broth</x:v>
      </x:c>
      <x:c r="D70" s="38" t="str">
        <x:v>Display-label fix</x:v>
      </x:c>
      <x:c r="E70" s="38" t="str">
        <x:v>Keep ID; "Soups &amp; Stews" covers broths, hot pots, porridges, and stews.</x:v>
      </x:c>
      <x:c r="F70" s="38" t="str">
        <x:v>Batch 5 candidate. Soup/Broth is Nom's closest category for this thick stew.</x:v>
      </x:c>
      <x:c r="G70" s="38"/>
      <x:c r="H70" s="38"/>
      <x:c r="I70" s="38"/>
    </x:row>
    <x:row r="71" ht="44" customHeight="1">
      <x:c r="A71" s="38" t="str">
        <x:v>mapo-tofu</x:v>
      </x:c>
      <x:c r="B71" s="38" t="str">
        <x:v>Mapo Tofu</x:v>
      </x:c>
      <x:c r="C71" s="38" t="str">
        <x:v>grilled-protein</x:v>
      </x:c>
      <x:c r="D71" s="38" t="str">
        <x:v>Display-label fix</x:v>
      </x:c>
      <x:c r="E71" s="38" t="str">
        <x:v>Keep ID; "Protein Mains" removes the grilling mismatch.</x:v>
      </x:c>
      <x:c r="F71" s="38" t="str">
        <x:v>Batch 6 candidate. Grilled/Protein is Nom's broad protein category; the tofu is simmered rather than grilled.</x:v>
      </x:c>
      <x:c r="G71" s="38"/>
      <x:c r="H71" s="38"/>
      <x:c r="I71" s="38"/>
    </x:row>
    <x:row r="72" ht="44" customHeight="1">
      <x:c r="A72" s="38" t="str">
        <x:v>banh-xeo</x:v>
      </x:c>
      <x:c r="B72" s="38" t="str">
        <x:v>Bánh Xèo</x:v>
      </x:c>
      <x:c r="C72" s="38" t="str">
        <x:v>handheld</x:v>
      </x:c>
      <x:c r="D72" s="38" t="str">
        <x:v>Manual semantic review</x:v>
      </x:c>
      <x:c r="E72" s="38" t="str">
        <x:v>Re-check whether "Handhelds &amp; Bites" matches the user craving; keep needs-review for now.</x:v>
      </x:c>
      <x:c r="F72" s="38" t="str">
        <x:v>Batch 6 candidate. Handheld reflects the common lettuce-and-herb wrapping style, though the crepe is usually plated first.</x:v>
      </x:c>
      <x:c r="G72" s="38"/>
      <x:c r="H72" s="38"/>
      <x:c r="I72" s="38"/>
    </x:row>
    <x:row r="73" ht="44" customHeight="1">
      <x:c r="A73" s="38" t="str">
        <x:v>korma</x:v>
      </x:c>
      <x:c r="B73" s="38" t="str">
        <x:v>Korma</x:v>
      </x:c>
      <x:c r="C73" s="38" t="str">
        <x:v>grilled-protein</x:v>
      </x:c>
      <x:c r="D73" s="38" t="str">
        <x:v>Display-label fix</x:v>
      </x:c>
      <x:c r="E73" s="38" t="str">
        <x:v>Keep ID; "Protein Mains" removes the grilling mismatch.</x:v>
      </x:c>
      <x:c r="F73" s="38" t="str">
        <x:v>Batch 6 candidate. Grilled/Protein is Nom's broad protein category; korma is braised.</x:v>
      </x:c>
      <x:c r="G73" s="38"/>
      <x:c r="H73" s="38"/>
      <x:c r="I73" s="38"/>
    </x:row>
    <x:row r="74" ht="44" customHeight="1">
      <x:c r="A74" s="38" t="str">
        <x:v>ful-medames</x:v>
      </x:c>
      <x:c r="B74" s="38" t="str">
        <x:v>Ful Medames</x:v>
      </x:c>
      <x:c r="C74" s="38" t="str">
        <x:v>soup-broth</x:v>
      </x:c>
      <x:c r="D74" s="38" t="str">
        <x:v>Display-label fix</x:v>
      </x:c>
      <x:c r="E74" s="38" t="str">
        <x:v>Keep ID; "Soups &amp; Stews" covers broths, hot pots, porridges, and stews.</x:v>
      </x:c>
      <x:c r="F74" s="38" t="str">
        <x:v>Batch 6 candidate. Soup/Broth is Nom's closest category for this spoonable bean dish.</x:v>
      </x:c>
      <x:c r="G74" s="38"/>
      <x:c r="H74" s="38"/>
      <x:c r="I74" s="38"/>
    </x:row>
    <x:row r="75" ht="44" customHeight="1">
      <x:c r="A75" s="38" t="str">
        <x:v>couscous</x:v>
      </x:c>
      <x:c r="B75" s="38" t="str">
        <x:v>Couscous</x:v>
      </x:c>
      <x:c r="C75" s="38" t="str">
        <x:v>rice</x:v>
      </x:c>
      <x:c r="D75" s="38" t="str">
        <x:v>Display-label fix</x:v>
      </x:c>
      <x:c r="E75" s="38" t="str">
        <x:v>Keep ID; "Rice &amp; Starches" covers grain/starch-based plates more honestly.</x:v>
      </x:c>
      <x:c r="F75" s="38" t="str">
        <x:v>Batch 6 candidate. Nom classifies couscous under rice as the closest starch-base category, though couscous is made from semolina rather than rice.</x:v>
      </x:c>
      <x:c r="G75" s="38"/>
      <x:c r="H75" s="38"/>
      <x:c r="I75" s="38"/>
    </x:row>
    <x:row r="76" ht="44" customHeight="1">
      <x:c r="A76" s="38" t="str">
        <x:v>fish-and-chips</x:v>
      </x:c>
      <x:c r="B76" s="38" t="str">
        <x:v>Fish and Chips</x:v>
      </x:c>
      <x:c r="C76" s="38" t="str">
        <x:v>grilled-protein</x:v>
      </x:c>
      <x:c r="D76" s="38" t="str">
        <x:v>Display-label fix</x:v>
      </x:c>
      <x:c r="E76" s="38" t="str">
        <x:v>Keep ID; "Protein Mains" removes the grilling mismatch.</x:v>
      </x:c>
      <x:c r="F76" s="38" t="str">
        <x:v>Batch 6 candidate. Grilled/Protein is Nom's broad protein category; the fish is fried.</x:v>
      </x:c>
      <x:c r="G76" s="38"/>
      <x:c r="H76" s="38"/>
      <x:c r="I76" s="38"/>
    </x:row>
    <x:row r="77" ht="44" customHeight="1">
      <x:c r="A77" s="38" t="str">
        <x:v>moussaka</x:v>
      </x:c>
      <x:c r="B77" s="38" t="str">
        <x:v>Moussaka</x:v>
      </x:c>
      <x:c r="C77" s="38" t="str">
        <x:v>grilled-protein</x:v>
      </x:c>
      <x:c r="D77" s="38" t="str">
        <x:v>Display-label fix</x:v>
      </x:c>
      <x:c r="E77" s="38" t="str">
        <x:v>Keep ID; "Protein Mains" removes the grilling mismatch.</x:v>
      </x:c>
      <x:c r="F77" s="38" t="str">
        <x:v>Batch 6 candidate. Grilled/Protein is Nom's broad protein category; the dish is baked.</x:v>
      </x:c>
      <x:c r="G77" s="38"/>
      <x:c r="H77" s="38"/>
      <x:c r="I77" s="38"/>
    </x:row>
    <x:row r="78" ht="44" customHeight="1">
      <x:c r="A78" s="38" t="str">
        <x:v>aji-de-gallina</x:v>
      </x:c>
      <x:c r="B78" s="38" t="str">
        <x:v>Ají de Gallina</x:v>
      </x:c>
      <x:c r="C78" s="38" t="str">
        <x:v>grilled-protein</x:v>
      </x:c>
      <x:c r="D78" s="38" t="str">
        <x:v>Display-label fix</x:v>
      </x:c>
      <x:c r="E78" s="38" t="str">
        <x:v>Keep ID; "Protein Mains" removes the grilling mismatch.</x:v>
      </x:c>
      <x:c r="F78" s="38" t="str">
        <x:v>Batch 6 candidate. Grilled/Protein is Nom's broad protein category; the chicken is poached or cooked before saucing.</x:v>
      </x:c>
      <x:c r="G78" s="38"/>
      <x:c r="H78" s="38"/>
      <x:c r="I78" s="38"/>
    </x:row>
    <x:row r="79" ht="44" customHeight="1">
      <x:c r="A79" s="38" t="str">
        <x:v>nashville-hot-chicken</x:v>
      </x:c>
      <x:c r="B79" s="38" t="str">
        <x:v>Nashville Hot Chicken</x:v>
      </x:c>
      <x:c r="C79" s="38" t="str">
        <x:v>grilled-protein</x:v>
      </x:c>
      <x:c r="D79" s="38" t="str">
        <x:v>Display-label fix</x:v>
      </x:c>
      <x:c r="E79" s="38" t="str">
        <x:v>Keep ID; "Protein Mains" removes the grilling mismatch.</x:v>
      </x:c>
      <x:c r="F79" s="38" t="str">
        <x:v>Batch 6 candidate. Grilled/Protein is Nom's broad protein category; the chicken is fried.</x:v>
      </x:c>
      <x:c r="G79" s="38"/>
      <x:c r="H79" s="38"/>
      <x:c r="I79" s="38"/>
    </x:row>
    <x:row r="80" ht="44" customHeight="1">
      <x:c r="A80" s="38" t="str">
        <x:v>kuy-teav</x:v>
      </x:c>
      <x:c r="B80" s="38" t="str">
        <x:v>Kuy Teav</x:v>
      </x:c>
      <x:c r="C80" s="38" t="str">
        <x:v>soup-broth</x:v>
      </x:c>
      <x:c r="D80" s="38" t="str">
        <x:v>Display-label fix</x:v>
      </x:c>
      <x:c r="E80" s="38" t="str">
        <x:v>Keep ID; "Soups &amp; Stews" covers broths, hot pots, porridges, and stews.</x:v>
      </x:c>
      <x:c r="F80" s="38" t="str">
        <x:v>Batch 7 candidate. Soup/Broth chosen because the broth is central even though rice noodles are a major component.</x:v>
      </x:c>
      <x:c r="G80" s="38"/>
      <x:c r="H80" s="38"/>
      <x:c r="I80" s="38"/>
    </x:row>
    <x:row r="81" ht="44" customHeight="1">
      <x:c r="A81" s="38" t="str">
        <x:v>fish-amok</x:v>
      </x:c>
      <x:c r="B81" s="38" t="str">
        <x:v>Fish Amok</x:v>
      </x:c>
      <x:c r="C81" s="38" t="str">
        <x:v>grilled-protein</x:v>
      </x:c>
      <x:c r="D81" s="38" t="str">
        <x:v>Display-label fix</x:v>
      </x:c>
      <x:c r="E81" s="38" t="str">
        <x:v>Keep ID; "Protein Mains" removes the grilling mismatch.</x:v>
      </x:c>
      <x:c r="F81" s="38" t="str">
        <x:v>Batch 7 candidate. Grilled/Protein is Nom's broad protein category; fish amok is steamed.</x:v>
      </x:c>
      <x:c r="G81" s="38"/>
      <x:c r="H81" s="38"/>
      <x:c r="I81" s="38"/>
    </x:row>
    <x:row r="82" ht="44" customHeight="1">
      <x:c r="A82" s="38" t="str">
        <x:v>dal-dhokli</x:v>
      </x:c>
      <x:c r="B82" s="38" t="str">
        <x:v>Dal Dhokli</x:v>
      </x:c>
      <x:c r="C82" s="38" t="str">
        <x:v>noodle</x:v>
      </x:c>
      <x:c r="D82" s="38" t="str">
        <x:v>Display-label fix</x:v>
      </x:c>
      <x:c r="E82" s="38" t="str">
        <x:v>Keep ID; "Noodles &amp; Pasta" broadens the category appropriately.</x:v>
      </x:c>
      <x:c r="F82" s="38" t="str">
        <x:v>Batch 7 candidate. Noodle is Nom's closest category for the cooked wheat-dough pieces.</x:v>
      </x:c>
      <x:c r="G82" s="38"/>
      <x:c r="H82" s="38"/>
      <x:c r="I82" s="38"/>
    </x:row>
    <x:row r="83" ht="44" customHeight="1">
      <x:c r="A83" s="38" t="str">
        <x:v>freekeh-pilaf</x:v>
      </x:c>
      <x:c r="B83" s="38" t="str">
        <x:v>Freekeh Pilaf</x:v>
      </x:c>
      <x:c r="C83" s="38" t="str">
        <x:v>rice</x:v>
      </x:c>
      <x:c r="D83" s="38" t="str">
        <x:v>Display-label fix</x:v>
      </x:c>
      <x:c r="E83" s="38" t="str">
        <x:v>Keep ID; "Rice &amp; Starches" covers grain/starch-based plates more honestly.</x:v>
      </x:c>
      <x:c r="F83" s="38" t="str">
        <x:v>Batch 7 candidate. Rice is Nom's closest grain-base category; freekeh is wheat, not rice.</x:v>
      </x:c>
      <x:c r="G83" s="38"/>
      <x:c r="H83" s="38"/>
      <x:c r="I83" s="38"/>
    </x:row>
    <x:row r="84" ht="44" customHeight="1">
      <x:c r="A84" s="38" t="str">
        <x:v>pastilla</x:v>
      </x:c>
      <x:c r="B84" s="38" t="str">
        <x:v>Pastilla</x:v>
      </x:c>
      <x:c r="C84" s="38" t="str">
        <x:v>handheld</x:v>
      </x:c>
      <x:c r="D84" s="38" t="str">
        <x:v>Manual semantic review</x:v>
      </x:c>
      <x:c r="E84" s="38" t="str">
        <x:v>Re-check whether "Handhelds &amp; Bites" matches the user craving; keep needs-review for now.</x:v>
      </x:c>
      <x:c r="F84" s="38" t="str">
        <x:v>Batch 7 candidate. Handheld is Nom's closest category even though pastilla is often served as a sliced pie.</x:v>
      </x:c>
      <x:c r="G84" s="38"/>
      <x:c r="H84" s="38"/>
      <x:c r="I84" s="38"/>
    </x:row>
    <x:row r="85" ht="44" customHeight="1">
      <x:c r="A85" s="38" t="str">
        <x:v>moi-moi</x:v>
      </x:c>
      <x:c r="B85" s="38" t="str">
        <x:v>Moi Moi</x:v>
      </x:c>
      <x:c r="C85" s="38" t="str">
        <x:v>handheld</x:v>
      </x:c>
      <x:c r="D85" s="38" t="str">
        <x:v>Manual semantic review</x:v>
      </x:c>
      <x:c r="E85" s="38" t="str">
        <x:v>Re-check whether "Handhelds &amp; Bites" matches the user craving; keep needs-review for now.</x:v>
      </x:c>
      <x:c r="F85" s="38" t="str">
        <x:v>Batch 7 candidate. Handheld is Nom's closest portable-food category; moi moi is often served from a mold or leaf.</x:v>
      </x:c>
      <x:c r="G85" s="38"/>
      <x:c r="H85" s="38"/>
      <x:c r="I85" s="38"/>
    </x:row>
    <x:row r="86" ht="44" customHeight="1">
      <x:c r="A86" s="38" t="str">
        <x:v>attieke-fish</x:v>
      </x:c>
      <x:c r="B86" s="38" t="str">
        <x:v>Attiéké with Grilled Fish</x:v>
      </x:c>
      <x:c r="C86" s="38" t="str">
        <x:v>rice</x:v>
      </x:c>
      <x:c r="D86" s="38" t="str">
        <x:v>Display-label fix</x:v>
      </x:c>
      <x:c r="E86" s="38" t="str">
        <x:v>Keep ID; "Rice &amp; Starches" covers grain/starch-based plates more honestly.</x:v>
      </x:c>
      <x:c r="F86" s="38" t="str">
        <x:v>Batch 7 candidate. Rice is Nom's closest starch-base category; attiéké is fermented cassava, not rice.</x:v>
      </x:c>
      <x:c r="G86" s="38"/>
      <x:c r="H86" s="38"/>
      <x:c r="I86" s="38"/>
    </x:row>
    <x:row r="87" ht="44" customHeight="1">
      <x:c r="A87" s="38" t="str">
        <x:v>chicken-and-waffles</x:v>
      </x:c>
      <x:c r="B87" s="38" t="str">
        <x:v>Chicken and Waffles</x:v>
      </x:c>
      <x:c r="C87" s="38" t="str">
        <x:v>grilled-protein</x:v>
      </x:c>
      <x:c r="D87" s="38" t="str">
        <x:v>Display-label fix</x:v>
      </x:c>
      <x:c r="E87" s="38" t="str">
        <x:v>Keep ID; "Protein Mains" removes the grilling mismatch.</x:v>
      </x:c>
      <x:c r="F87" s="38" t="str">
        <x:v>Batch 7 candidate. Grilled/Protein is Nom's broad protein category; the chicken is usually fried.</x:v>
      </x:c>
      <x:c r="G87" s="38"/>
      <x:c r="H87" s="38"/>
      <x:c r="I87" s="38"/>
    </x:row>
    <x:row r="88" ht="44" customHeight="1">
      <x:c r="A88" s="38" t="str">
        <x:v>chicken-chettinad</x:v>
      </x:c>
      <x:c r="B88" s="38" t="str">
        <x:v>Chicken Chettinad</x:v>
      </x:c>
      <x:c r="C88" s="38" t="str">
        <x:v>grilled-protein</x:v>
      </x:c>
      <x:c r="D88" s="38" t="str">
        <x:v>Display-label fix</x:v>
      </x:c>
      <x:c r="E88" s="38" t="str">
        <x:v>Keep ID; "Protein Mains" removes the grilling mismatch.</x:v>
      </x:c>
      <x:c r="F88" s="38" t="str">
        <x:v>Batch 8 candidate. Grilled/Protein is Nom's broad protein category; the chicken is typically cooked in a masala rather than grilled.</x:v>
      </x:c>
      <x:c r="G88" s="38"/>
      <x:c r="H88" s="38"/>
      <x:c r="I88" s="38"/>
    </x:row>
    <x:row r="89" ht="44" customHeight="1">
      <x:c r="A89" s="38" t="str">
        <x:v>maftoul</x:v>
      </x:c>
      <x:c r="B89" s="38" t="str">
        <x:v>Maftoul</x:v>
      </x:c>
      <x:c r="C89" s="38" t="str">
        <x:v>rice</x:v>
      </x:c>
      <x:c r="D89" s="38" t="str">
        <x:v>Display-label fix</x:v>
      </x:c>
      <x:c r="E89" s="38" t="str">
        <x:v>Keep ID; "Rice &amp; Starches" covers grain/starch-based plates more honestly.</x:v>
      </x:c>
      <x:c r="F89" s="38" t="str">
        <x:v>Batch 8 candidate. Rice is Nom's closest grain-base category; maftoul is wheat, not rice.</x:v>
      </x:c>
      <x:c r="G89" s="38"/>
      <x:c r="H89" s="38"/>
      <x:c r="I89" s="38"/>
    </x:row>
    <x:row r="90" ht="44" customHeight="1">
      <x:c r="A90" s="38" t="str">
        <x:v>kitfo</x:v>
      </x:c>
      <x:c r="B90" s="38" t="str">
        <x:v>Kitfo</x:v>
      </x:c>
      <x:c r="C90" s="38" t="str">
        <x:v>grilled-protein</x:v>
      </x:c>
      <x:c r="D90" s="38" t="str">
        <x:v>Display-label fix</x:v>
      </x:c>
      <x:c r="E90" s="38" t="str">
        <x:v>Keep ID; "Protein Mains" removes the grilling mismatch.</x:v>
      </x:c>
      <x:c r="F90" s="38" t="str">
        <x:v>Batch 8 candidate. Grilled/Protein is Nom's broad protein category; traditional kitfo is not grilled.</x:v>
      </x:c>
      <x:c r="G90" s="38"/>
      <x:c r="H90" s="38"/>
      <x:c r="I90" s="38"/>
    </x:row>
    <x:row r="91" ht="44" customHeight="1">
      <x:c r="A91" s="38" t="str">
        <x:v>shepherds-pie</x:v>
      </x:c>
      <x:c r="B91" s="38" t="str">
        <x:v>Shepherd's Pie</x:v>
      </x:c>
      <x:c r="C91" s="38" t="str">
        <x:v>grilled-protein</x:v>
      </x:c>
      <x:c r="D91" s="38" t="str">
        <x:v>Display-label fix</x:v>
      </x:c>
      <x:c r="E91" s="38" t="str">
        <x:v>Keep ID; "Protein Mains" removes the grilling mismatch.</x:v>
      </x:c>
      <x:c r="F91" s="38" t="str">
        <x:v>Batch 8 candidate. Grilled/Protein is Nom's broad protein category; the dish is baked.</x:v>
      </x:c>
      <x:c r="G91" s="38"/>
      <x:c r="H91" s="38"/>
      <x:c r="I91" s="38"/>
    </x:row>
    <x:row r="92" ht="44" customHeight="1">
      <x:c r="A92" s="38" t="str">
        <x:v>mofongo</x:v>
      </x:c>
      <x:c r="B92" s="38" t="str">
        <x:v>Mofongo</x:v>
      </x:c>
      <x:c r="C92" s="38" t="str">
        <x:v>rice</x:v>
      </x:c>
      <x:c r="D92" s="38" t="str">
        <x:v>Display-label fix</x:v>
      </x:c>
      <x:c r="E92" s="38" t="str">
        <x:v>Keep ID; "Rice &amp; Starches" covers grain/starch-based plates more honestly.</x:v>
      </x:c>
      <x:c r="F92" s="38" t="str">
        <x:v>Batch 8 candidate. Rice is Nom's closest starch-base category; mofongo is plantain-based, not rice.</x:v>
      </x:c>
      <x:c r="G92" s="38"/>
      <x:c r="H92" s="38"/>
      <x:c r="I92" s="38"/>
    </x:row>
    <x:row r="93" ht="44" customHeight="1">
      <x:c r="A93" s="38" t="str">
        <x:v>cincinnati-chili</x:v>
      </x:c>
      <x:c r="B93" s="38" t="str">
        <x:v>Cincinnati Chili</x:v>
      </x:c>
      <x:c r="C93" s="38" t="str">
        <x:v>noodle</x:v>
      </x:c>
      <x:c r="D93" s="38" t="str">
        <x:v>Display-label fix</x:v>
      </x:c>
      <x:c r="E93" s="38" t="str">
        <x:v>Keep ID; "Noodles &amp; Pasta" broadens the category appropriately.</x:v>
      </x:c>
      <x:c r="F93" s="38" t="str">
        <x:v>Batch 8 candidate. Noodle category reflects the classic spaghetti service.</x:v>
      </x:c>
      <x:c r="G93" s="38"/>
      <x:c r="H93" s="38"/>
      <x:c r="I93" s="38"/>
    </x:row>
  </x:sheetData>
  <x:mergeCells>
    <x:mergeCell ref="A1:H1"/>
    <x:mergeCell ref="A2:H2"/>
    <x:mergeCell ref="G40:M43"/>
  </x:mergeCells>
  <x:conditionalFormatting sqref="D25:D30">
    <x:cfRule type="expression" dxfId="11" priority="1">
      <x:formula>D25="OVERUSED — AUDIT"</x:formula>
    </x:cfRule>
    <x:cfRule type="expression" dxfId="12" priority="2">
      <x:formula>D25="LOW — CHECK COVERAGE"</x:formula>
    </x:cfRule>
    <x:cfRule type="expression" dxfId="13" priority="3">
      <x:formula>D25="HEALTHY"</x:formula>
    </x:cfRule>
  </x:conditionalFormatting>
  <x:conditionalFormatting sqref="B35:F42">
    <x:cfRule type="colorScale" priority="4">
      <x:colorScale>
        <x:cfvo type="min"/>
        <x:cfvo type="percentile" val="50"/>
        <x:cfvo type="max"/>
        <x:color rgb="FFFEE2E2"/>
        <x:color rgb="FFFEF3C7"/>
        <x:color rgb="FFDCFCE7"/>
      </x:colorScale>
    </x:cfRule>
  </x:conditionalFormatting>
  <x:pageMargins left="0.7" right="0.7" top="0.75" bottom="0.75" header="0.3" footer="0.3"/>
  <x:drawing xmlns:r="http://schemas.openxmlformats.org/officeDocument/2006/relationships" r:id="R22f9d91dac9f420e"/>
</x:worksheet>
</file>

<file path=xl/worksheets/sheet7.xml><?xml version="1.0" encoding="utf-8"?>
<x:worksheet xmlns:x="http://schemas.openxmlformats.org/spreadsheetml/2006/main">
  <x:sheetFormatPr defaultRowHeight="15"/>
  <x:cols>
    <x:col min="1" max="1" width="5" hidden="0" customWidth="1"/>
    <x:col min="2" max="2" width="24" hidden="0" customWidth="1"/>
    <x:col min="3" max="3" width="25" hidden="0" customWidth="1"/>
    <x:col min="4" max="4" width="18" hidden="0" customWidth="1"/>
    <x:col min="5" max="5" width="20" hidden="0" customWidth="1"/>
    <x:col min="6" max="6" width="26" hidden="0" customWidth="1"/>
    <x:col min="7" max="7" width="11" hidden="0" customWidth="1"/>
    <x:col min="8" max="8" width="14" hidden="0" customWidth="1"/>
    <x:col min="9" max="9" width="15" hidden="0" customWidth="1"/>
    <x:col min="10" max="10" width="18" hidden="0" customWidth="1"/>
    <x:col min="11" max="11" width="20" hidden="0" customWidth="1"/>
    <x:col min="12" max="12" width="28" hidden="0" customWidth="1"/>
    <x:col min="13" max="13" width="48" hidden="0" customWidth="1"/>
    <x:col min="14" max="14" width="68" hidden="0" customWidth="1"/>
  </x:cols>
  <x:sheetData>
    <x:row r="1" ht="28" customHeight="1">
      <x:c r="A1" s="93" t="str">
        <x:v>Nom — Rich &amp; Comforting Flavor Audit (200 Dishes)</x:v>
      </x:c>
      <x:c r="B1" s="93"/>
      <x:c r="C1" s="93"/>
      <x:c r="D1" s="93"/>
      <x:c r="E1" s="93"/>
      <x:c r="F1" s="93"/>
      <x:c r="G1" s="93"/>
      <x:c r="H1" s="93"/>
      <x:c r="I1" s="93"/>
      <x:c r="J1" s="93"/>
      <x:c r="K1" s="93"/>
      <x:c r="L1" s="93"/>
      <x:c r="M1" s="93"/>
      <x:c r="N1" s="93"/>
    </x:row>
    <x:row r="2" ht="48" customHeight="1">
      <x:c r="A2" s="97" t="str">
        <x:v>Recommendation-only audit based on the current catalog descriptions and existing tags. The Dishes sheet is NOT changed here. 'Rich' is kept only when richness is a defining sensory trait; 'comforting' is kept when the warm/hearty/soft/starchy/brothy format meaningfully describes the eating experience.</x:v>
      </x:c>
      <x:c r="B2" s="97"/>
      <x:c r="C2" s="97"/>
      <x:c r="D2" s="97"/>
      <x:c r="E2" s="97"/>
      <x:c r="F2" s="97"/>
      <x:c r="G2" s="97"/>
      <x:c r="H2" s="97"/>
      <x:c r="I2" s="97"/>
      <x:c r="J2" s="97"/>
      <x:c r="K2" s="97"/>
      <x:c r="L2" s="97"/>
      <x:c r="M2" s="97"/>
      <x:c r="N2" s="97"/>
    </x:row>
    <x:row r="4">
      <x:c r="A4" s="101" t="str">
        <x:v>Audit metric</x:v>
      </x:c>
      <x:c r="B4" s="101" t="str">
        <x:v>Before</x:v>
      </x:c>
      <x:c r="C4" s="101" t="str">
        <x:v>After recommendation</x:v>
      </x:c>
      <x:c r="D4" s="101" t="str">
        <x:v>Remove</x:v>
      </x:c>
      <x:c r="E4" s="101" t="str">
        <x:v>Interpretation</x:v>
      </x:c>
      <x:c r="G4" s="101" t="str">
        <x:v>Tag</x:v>
      </x:c>
      <x:c r="H4" s="101" t="str">
        <x:v>Before</x:v>
      </x:c>
      <x:c r="I4" s="101" t="str">
        <x:v>After</x:v>
      </x:c>
    </x:row>
    <x:row r="5">
      <x:c r="A5" t="str">
        <x:v>Rich tag</x:v>
      </x:c>
      <x:c r="B5" t="n">
        <x:v>124</x:v>
      </x:c>
      <x:c r="C5" t="n">
        <x:v>82</x:v>
      </x:c>
      <x:c r="D5" t="n">
        <x:v>42</x:v>
      </x:c>
      <x:c r="E5" t="str">
        <x:v>Conservative trim of broad 'rich' assignments.</x:v>
      </x:c>
      <x:c r="G5" t="str">
        <x:v>Rich</x:v>
      </x:c>
      <x:c r="H5" t="n">
        <x:v>124</x:v>
      </x:c>
      <x:c r="I5" t="n">
        <x:v>82</x:v>
      </x:c>
    </x:row>
    <x:row r="6">
      <x:c r="A6" t="str">
        <x:v>Comforting tag</x:v>
      </x:c>
      <x:c r="B6" t="n">
        <x:v>108</x:v>
      </x:c>
      <x:c r="C6" t="n">
        <x:v>93</x:v>
      </x:c>
      <x:c r="D6" t="n">
        <x:v>15</x:v>
      </x:c>
      <x:c r="E6" t="str">
        <x:v>Comforting remains broad by design, but obvious catch-all uses are removed.</x:v>
      </x:c>
      <x:c r="G6" t="str">
        <x:v>Comforting</x:v>
      </x:c>
      <x:c r="H6" t="n">
        <x:v>108</x:v>
      </x:c>
      <x:c r="I6" t="n">
        <x:v>93</x:v>
      </x:c>
    </x:row>
    <x:row r="7">
      <x:c r="A7" t="str">
        <x:v>Rich + comforting together</x:v>
      </x:c>
      <x:c r="B7" t="n">
        <x:v>63</x:v>
      </x:c>
      <x:c r="C7" t="n">
        <x:v>36</x:v>
      </x:c>
      <x:c r="D7" t="n">
        <x:v>27</x:v>
      </x:c>
      <x:c r="E7" t="str">
        <x:v>Reduces duplicate mood signaling on dishes where one tag is enough.</x:v>
      </x:c>
    </x:row>
    <x:row r="8">
      <x:c r="A8" t="str">
        <x:v>Dishes with any removal</x:v>
      </x:c>
      <x:c r="B8" t="n">
        <x:v>57</x:v>
      </x:c>
      <x:c r="C8"/>
      <x:c r="D8"/>
      <x:c r="E8" t="str">
        <x:v>Rows flagged for at least one keep/remove change.</x:v>
      </x:c>
    </x:row>
    <x:row r="9">
      <x:c r="A9" t="str">
        <x:v>Dishes needing retag</x:v>
      </x:c>
      <x:c r="B9" t="n">
        <x:v>1</x:v>
      </x:c>
      <x:c r="C9"/>
      <x:c r="D9"/>
      <x:c r="E9" t="str">
        <x:v>Removing the audited tag would leave no preference flavor; handle in the full six-flavor audit.</x:v>
      </x:c>
      <x:c r="G9" t="str">
        <x:v>Applied to Dishes</x:v>
      </x:c>
      <x:c r="H9" t="n">
        <x:v>57</x:v>
      </x:c>
      <x:c r="I9" t="str">
        <x:v>changes</x:v>
      </x:c>
    </x:row>
    <x:row r="10">
      <x:c r="G10" t="str">
        <x:v>Backup sheet</x:v>
      </x:c>
      <x:c r="H10" t="str">
        <x:v>Flavor_Tags_Backup</x:v>
      </x:c>
      <x:c r="I10" t="str">
        <x:v>pre-change tags</x:v>
      </x:c>
    </x:row>
    <x:row r="12" ht="30" customHeight="1">
      <x:c r="A12" s="101" t="str">
        <x:v>#</x:v>
      </x:c>
      <x:c r="B12" s="101" t="str">
        <x:v>dishId</x:v>
      </x:c>
      <x:c r="C12" s="101" t="str">
        <x:v>Dish</x:v>
      </x:c>
      <x:c r="D12" s="101" t="str">
        <x:v>Region</x:v>
      </x:c>
      <x:c r="E12" s="101" t="str">
        <x:v>Food Type</x:v>
      </x:c>
      <x:c r="F12" s="101" t="str">
        <x:v>Current Preference Tags</x:v>
      </x:c>
      <x:c r="G12" s="101" t="str">
        <x:v>Rich Now?</x:v>
      </x:c>
      <x:c r="H12" s="101" t="str">
        <x:v>Rich Decision</x:v>
      </x:c>
      <x:c r="I12" s="101" t="str">
        <x:v>Comforting Now?</x:v>
      </x:c>
      <x:c r="J12" s="101" t="str">
        <x:v>Comforting Decision</x:v>
      </x:c>
      <x:c r="K12" s="101" t="str">
        <x:v>Audit Flag</x:v>
      </x:c>
      <x:c r="L12" s="101" t="str">
        <x:v>Recommended Tags After Audit</x:v>
      </x:c>
      <x:c r="M12" s="101" t="str">
        <x:v>Current Short Description</x:v>
      </x:c>
      <x:c r="N12" s="101" t="str">
        <x:v>Audit Rationale</x:v>
      </x:c>
    </x:row>
    <x:row r="13" ht="56" customHeight="1">
      <x:c r="A13" s="38" t="n">
        <x:v>1</x:v>
      </x:c>
      <x:c r="B13" s="38" t="str">
        <x:v>lort-cha</x:v>
      </x:c>
      <x:c r="C13" s="38" t="str">
        <x:v>Lort Cha</x:v>
      </x:c>
      <x:c r="D13" s="38" t="str">
        <x:v>southeast-asia</x:v>
      </x:c>
      <x:c r="E13" s="38" t="str">
        <x:v>noodle</x:v>
      </x:c>
      <x:c r="F13" s="38" t="str">
        <x:v>comforting</x:v>
      </x:c>
      <x:c r="G13" s="38" t="str">
        <x:v>NO</x:v>
      </x:c>
      <x:c r="H13" s="38" t="str">
        <x:v>NOT TAGGED</x:v>
      </x:c>
      <x:c r="I13" s="38" t="str">
        <x:v>YES</x:v>
      </x:c>
      <x:c r="J13" s="38" t="str">
        <x:v>KEEP</x:v>
      </x:c>
      <x:c r="K13" s="38" t="str">
        <x:v>KEEP CURRENT</x:v>
      </x:c>
      <x:c r="L13" s="38" t="str">
        <x:v>comforting</x:v>
      </x:c>
      <x:c r="M13" s="38" t="str">
        <x:v>Cambodian stir-fried rice noodles with beef, egg, and chives.</x:v>
      </x:c>
      <x:c r="N13" s="38" t="str">
        <x:v>Comforting — The warm, soft, starchy, brothy, braised, or slow-cooked format makes comforting a defining eating experience rather than a catch-all tag.</x:v>
      </x:c>
    </x:row>
    <x:row r="14" ht="56" customHeight="1">
      <x:c r="A14" s="38" t="n">
        <x:v>2</x:v>
      </x:c>
      <x:c r="B14" s="38" t="str">
        <x:v>mie-goreng</x:v>
      </x:c>
      <x:c r="C14" s="38" t="str">
        <x:v>Mie Goreng</x:v>
      </x:c>
      <x:c r="D14" s="38" t="str">
        <x:v>southeast-asia</x:v>
      </x:c>
      <x:c r="E14" s="38" t="str">
        <x:v>noodle</x:v>
      </x:c>
      <x:c r="F14" s="38" t="str">
        <x:v>rich</x:v>
      </x:c>
      <x:c r="G14" s="38" t="str">
        <x:v>YES</x:v>
      </x:c>
      <x:c r="H14" s="38" t="str">
        <x:v>REMOVE</x:v>
      </x:c>
      <x:c r="I14" s="38" t="str">
        <x:v>NO</x:v>
      </x:c>
      <x:c r="J14" s="38" t="str">
        <x:v>NOT TAGGED</x:v>
      </x:c>
      <x:c r="K14" s="38" t="str">
        <x:v>RETAG NEEDED</x:v>
      </x:c>
      <x:c r="L14" s="38" t="str">
        <x:v>NEEDS RETAG</x:v>
      </x:c>
      <x:c r="M14" s="38" t="str">
        <x:v>Indonesian stir-fried noodles with a sweet-savory flavor.</x:v>
      </x:c>
      <x:c r="N14" s="38" t="str">
        <x:v>Rich — Remove rich: the current description does not make richness a defining sensory trait; starch, meat, or savory flavor alone is not enough. Removing the current tag leaves no preference flavor; this is a taxonomy/retagging issue to resolve in the later full flavor audit rather than keeping an inaccurate tag.</x:v>
      </x:c>
    </x:row>
    <x:row r="15" ht="56" customHeight="1">
      <x:c r="A15" s="38" t="n">
        <x:v>3</x:v>
      </x:c>
      <x:c r="B15" s="38" t="str">
        <x:v>pancit-canton</x:v>
      </x:c>
      <x:c r="C15" s="38" t="str">
        <x:v>Pancit Canton</x:v>
      </x:c>
      <x:c r="D15" s="38" t="str">
        <x:v>southeast-asia</x:v>
      </x:c>
      <x:c r="E15" s="38" t="str">
        <x:v>noodle</x:v>
      </x:c>
      <x:c r="F15" s="38" t="str">
        <x:v>comforting</x:v>
      </x:c>
      <x:c r="G15" s="38" t="str">
        <x:v>NO</x:v>
      </x:c>
      <x:c r="H15" s="38" t="str">
        <x:v>NOT TAGGED</x:v>
      </x:c>
      <x:c r="I15" s="38" t="str">
        <x:v>YES</x:v>
      </x:c>
      <x:c r="J15" s="38" t="str">
        <x:v>KEEP</x:v>
      </x:c>
      <x:c r="K15" s="38" t="str">
        <x:v>KEEP CURRENT</x:v>
      </x:c>
      <x:c r="L15" s="38" t="str">
        <x:v>comforting</x:v>
      </x:c>
      <x:c r="M15" s="38" t="str">
        <x:v>Filipino stir-fried noodles with vegetables and meat or seafood.</x:v>
      </x:c>
      <x:c r="N15" s="38" t="str">
        <x:v>Comforting — The warm, soft, starchy, brothy, braised, or slow-cooked format makes comforting a defining eating experience rather than a catch-all tag.</x:v>
      </x:c>
    </x:row>
    <x:row r="16" ht="56" customHeight="1">
      <x:c r="A16" s="38" t="n">
        <x:v>4</x:v>
      </x:c>
      <x:c r="B16" s="38" t="str">
        <x:v>char-kway-teow</x:v>
      </x:c>
      <x:c r="C16" s="38" t="str">
        <x:v>Char Kway Teow</x:v>
      </x:c>
      <x:c r="D16" s="38" t="str">
        <x:v>southeast-asia</x:v>
      </x:c>
      <x:c r="E16" s="38" t="str">
        <x:v>noodle</x:v>
      </x:c>
      <x:c r="F16" s="38" t="str">
        <x:v>rich</x:v>
      </x:c>
      <x:c r="G16" s="38" t="str">
        <x:v>YES</x:v>
      </x:c>
      <x:c r="H16" s="38" t="str">
        <x:v>KEEP</x:v>
      </x:c>
      <x:c r="I16" s="38" t="str">
        <x:v>NO</x:v>
      </x:c>
      <x:c r="J16" s="38" t="str">
        <x:v>NOT TAGGED</x:v>
      </x:c>
      <x:c r="K16" s="38" t="str">
        <x:v>KEEP CURRENT</x:v>
      </x:c>
      <x:c r="L16" s="38" t="str">
        <x:v>rich</x:v>
      </x:c>
      <x:c r="M16" s="38" t="str">
        <x:v>Malaysian stir-fried flat rice noodles with a smoky, savory flavor.</x:v>
      </x:c>
      <x:c r="N16" s="38" t="str">
        <x:v>Rich — The dish is centered on a dense, concentrated, meat-forward, fried, or thick preparation, so rich is meaningfully descriptive.</x:v>
      </x:c>
    </x:row>
    <x:row r="17" ht="56" customHeight="1">
      <x:c r="A17" s="38" t="n">
        <x:v>5</x:v>
      </x:c>
      <x:c r="B17" s="38" t="str">
        <x:v>mi-quang</x:v>
      </x:c>
      <x:c r="C17" s="38" t="str">
        <x:v>Mì Quảng</x:v>
      </x:c>
      <x:c r="D17" s="38" t="str">
        <x:v>southeast-asia</x:v>
      </x:c>
      <x:c r="E17" s="38" t="str">
        <x:v>noodle</x:v>
      </x:c>
      <x:c r="F17" s="38" t="str">
        <x:v>fresh | rich</x:v>
      </x:c>
      <x:c r="G17" s="38" t="str">
        <x:v>YES</x:v>
      </x:c>
      <x:c r="H17" s="38" t="str">
        <x:v>REMOVE</x:v>
      </x:c>
      <x:c r="I17" s="38" t="str">
        <x:v>NO</x:v>
      </x:c>
      <x:c r="J17" s="38" t="str">
        <x:v>NOT TAGGED</x:v>
      </x:c>
      <x:c r="K17" s="38" t="str">
        <x:v>REMOVE RICH</x:v>
      </x:c>
      <x:c r="L17" s="38" t="str">
        <x:v>fresh</x:v>
      </x:c>
      <x:c r="M17" s="38" t="str">
        <x:v>Vietnamese turmeric noodles with herbs, peanuts, and a little rich broth.</x:v>
      </x:c>
      <x:c r="N17" s="38" t="str">
        <x:v>Rich — Remove rich: the current description is more specifically defined by its other preference flavor(s), while 'rich' reads as a generic extra label.</x:v>
      </x:c>
    </x:row>
    <x:row r="18" ht="56" customHeight="1">
      <x:c r="A18" s="38" t="n">
        <x:v>6</x:v>
      </x:c>
      <x:c r="B18" s="38" t="str">
        <x:v>hokkien-mee</x:v>
      </x:c>
      <x:c r="C18" s="38" t="str">
        <x:v>Hokkien Mee</x:v>
      </x:c>
      <x:c r="D18" s="38" t="str">
        <x:v>southeast-asia</x:v>
      </x:c>
      <x:c r="E18" s="38" t="str">
        <x:v>noodle</x:v>
      </x:c>
      <x:c r="F18" s="38" t="str">
        <x:v>rich</x:v>
      </x:c>
      <x:c r="G18" s="38" t="str">
        <x:v>YES</x:v>
      </x:c>
      <x:c r="H18" s="38" t="str">
        <x:v>KEEP</x:v>
      </x:c>
      <x:c r="I18" s="38" t="str">
        <x:v>NO</x:v>
      </x:c>
      <x:c r="J18" s="38" t="str">
        <x:v>NOT TAGGED</x:v>
      </x:c>
      <x:c r="K18" s="38" t="str">
        <x:v>KEEP CURRENT</x:v>
      </x:c>
      <x:c r="L18" s="38" t="str">
        <x:v>rich</x:v>
      </x:c>
      <x:c r="M18" s="38" t="str">
        <x:v>Singaporean noodles tossed in a rich, savory seafood sauce.</x:v>
      </x:c>
      <x:c r="N18" s="38" t="str">
        <x:v>Rich — The current description presents a full-bodied, substantial preparation where rich adds useful recommendation signal.</x:v>
      </x:c>
    </x:row>
    <x:row r="19" ht="56" customHeight="1">
      <x:c r="A19" s="38" t="n">
        <x:v>7</x:v>
      </x:c>
      <x:c r="B19" s="38" t="str">
        <x:v>kolo-mee</x:v>
      </x:c>
      <x:c r="C19" s="38" t="str">
        <x:v>Kolo Mee</x:v>
      </x:c>
      <x:c r="D19" s="38" t="str">
        <x:v>southeast-asia</x:v>
      </x:c>
      <x:c r="E19" s="38" t="str">
        <x:v>noodle</x:v>
      </x:c>
      <x:c r="F19" s="38" t="str">
        <x:v>comforting</x:v>
      </x:c>
      <x:c r="G19" s="38" t="str">
        <x:v>NO</x:v>
      </x:c>
      <x:c r="H19" s="38" t="str">
        <x:v>NOT TAGGED</x:v>
      </x:c>
      <x:c r="I19" s="38" t="str">
        <x:v>YES</x:v>
      </x:c>
      <x:c r="J19" s="38" t="str">
        <x:v>KEEP</x:v>
      </x:c>
      <x:c r="K19" s="38" t="str">
        <x:v>KEEP CURRENT</x:v>
      </x:c>
      <x:c r="L19" s="38" t="str">
        <x:v>comforting</x:v>
      </x:c>
      <x:c r="M19" s="38" t="str">
        <x:v>Springy Malaysian dry noodles with savory sauce and flavorful toppings.</x:v>
      </x:c>
      <x:c r="N19" s="38" t="str">
        <x:v>Comforting — The warm, soft, starchy, brothy, braised, or slow-cooked format makes comforting a defining eating experience rather than a catch-all tag.</x:v>
      </x:c>
    </x:row>
    <x:row r="20" ht="56" customHeight="1">
      <x:c r="A20" s="38" t="n">
        <x:v>8</x:v>
      </x:c>
      <x:c r="B20" s="38" t="str">
        <x:v>pancit-bihon</x:v>
      </x:c>
      <x:c r="C20" s="38" t="str">
        <x:v>Pancit Bihon</x:v>
      </x:c>
      <x:c r="D20" s="38" t="str">
        <x:v>southeast-asia</x:v>
      </x:c>
      <x:c r="E20" s="38" t="str">
        <x:v>noodle</x:v>
      </x:c>
      <x:c r="F20" s="38" t="str">
        <x:v>comforting</x:v>
      </x:c>
      <x:c r="G20" s="38" t="str">
        <x:v>NO</x:v>
      </x:c>
      <x:c r="H20" s="38" t="str">
        <x:v>NOT TAGGED</x:v>
      </x:c>
      <x:c r="I20" s="38" t="str">
        <x:v>YES</x:v>
      </x:c>
      <x:c r="J20" s="38" t="str">
        <x:v>KEEP</x:v>
      </x:c>
      <x:c r="K20" s="38" t="str">
        <x:v>KEEP CURRENT</x:v>
      </x:c>
      <x:c r="L20" s="38" t="str">
        <x:v>comforting</x:v>
      </x:c>
      <x:c r="M20" s="38" t="str">
        <x:v>Filipino rice noodles stir-fried with vegetables and your choice of protein.</x:v>
      </x:c>
      <x:c r="N20" s="38" t="str">
        <x:v>Comforting — The warm, soft, starchy, brothy, braised, or slow-cooked format makes comforting a defining eating experience rather than a catch-all tag.</x:v>
      </x:c>
    </x:row>
    <x:row r="21" ht="56" customHeight="1">
      <x:c r="A21" s="38" t="n">
        <x:v>9</x:v>
      </x:c>
      <x:c r="B21" s="38" t="str">
        <x:v>cao-lau</x:v>
      </x:c>
      <x:c r="C21" s="38" t="str">
        <x:v>Cao Lầu</x:v>
      </x:c>
      <x:c r="D21" s="38" t="str">
        <x:v>southeast-asia</x:v>
      </x:c>
      <x:c r="E21" s="38" t="str">
        <x:v>noodle</x:v>
      </x:c>
      <x:c r="F21" s="38" t="str">
        <x:v>fresh | crispy</x:v>
      </x:c>
      <x:c r="G21" s="38" t="str">
        <x:v>NO</x:v>
      </x:c>
      <x:c r="H21" s="38" t="str">
        <x:v>NOT TAGGED</x:v>
      </x:c>
      <x:c r="I21" s="38" t="str">
        <x:v>NO</x:v>
      </x:c>
      <x:c r="J21" s="38" t="str">
        <x:v>NOT TAGGED</x:v>
      </x:c>
      <x:c r="K21" s="38" t="str">
        <x:v>KEEP CURRENT</x:v>
      </x:c>
      <x:c r="L21" s="38" t="str">
        <x:v>fresh | crispy</x:v>
      </x:c>
      <x:c r="M21" s="38" t="str">
        <x:v>Chewy Vietnamese noodles with pork, herbs, greens, and crispy toppings.</x:v>
      </x:c>
      <x:c r="N21" s="38" t="str">
        <x:v>Neither rich nor comforting is currently assigned; no keep/remove action is needed in this audit.</x:v>
      </x:c>
    </x:row>
    <x:row r="22" ht="56" customHeight="1">
      <x:c r="A22" s="38" t="n">
        <x:v>10</x:v>
      </x:c>
      <x:c r="B22" s="38" t="str">
        <x:v>num-banh-chok</x:v>
      </x:c>
      <x:c r="C22" s="38" t="str">
        <x:v>Num Banh Chok</x:v>
      </x:c>
      <x:c r="D22" s="38" t="str">
        <x:v>southeast-asia</x:v>
      </x:c>
      <x:c r="E22" s="38" t="str">
        <x:v>noodle</x:v>
      </x:c>
      <x:c r="F22" s="38" t="str">
        <x:v>fresh | comforting</x:v>
      </x:c>
      <x:c r="G22" s="38" t="str">
        <x:v>NO</x:v>
      </x:c>
      <x:c r="H22" s="38" t="str">
        <x:v>NOT TAGGED</x:v>
      </x:c>
      <x:c r="I22" s="38" t="str">
        <x:v>YES</x:v>
      </x:c>
      <x:c r="J22" s="38" t="str">
        <x:v>KEEP</x:v>
      </x:c>
      <x:c r="K22" s="38" t="str">
        <x:v>KEEP CURRENT</x:v>
      </x:c>
      <x:c r="L22" s="38" t="str">
        <x:v>fresh | comforting</x:v>
      </x:c>
      <x:c r="M22" s="38" t="str">
        <x:v>Cambodian rice noodles with fragrant curry gravy, herbs, and fresh vegetables.</x:v>
      </x:c>
      <x:c r="N22" s="38" t="str">
        <x:v>Comforting — The warm, soft, starchy, brothy, braised, or slow-cooked format makes comforting a defining eating experience rather than a catch-all tag.</x:v>
      </x:c>
    </x:row>
    <x:row r="23" ht="56" customHeight="1">
      <x:c r="A23" s="38" t="n">
        <x:v>11</x:v>
      </x:c>
      <x:c r="B23" s="38" t="str">
        <x:v>ramen</x:v>
      </x:c>
      <x:c r="C23" s="38" t="str">
        <x:v>Ramen</x:v>
      </x:c>
      <x:c r="D23" s="38" t="str">
        <x:v>east-asia</x:v>
      </x:c>
      <x:c r="E23" s="38" t="str">
        <x:v>noodle</x:v>
      </x:c>
      <x:c r="F23" s="38" t="str">
        <x:v>rich | comforting</x:v>
      </x:c>
      <x:c r="G23" s="38" t="str">
        <x:v>YES</x:v>
      </x:c>
      <x:c r="H23" s="38" t="str">
        <x:v>REMOVE</x:v>
      </x:c>
      <x:c r="I23" s="38" t="str">
        <x:v>YES</x:v>
      </x:c>
      <x:c r="J23" s="38" t="str">
        <x:v>KEEP</x:v>
      </x:c>
      <x:c r="K23" s="38" t="str">
        <x:v>REMOVE RICH</x:v>
      </x:c>
      <x:c r="L23" s="38" t="str">
        <x:v>comforting</x:v>
      </x:c>
      <x:c r="M23" s="38" t="str">
        <x:v>Japanese wheat noodles served in a savory broth with varied regional toppings.</x:v>
      </x:c>
      <x:c r="N23"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24" ht="56" customHeight="1">
      <x:c r="A24" s="38" t="n">
        <x:v>12</x:v>
      </x:c>
      <x:c r="B24" s="38" t="str">
        <x:v>bibimbap</x:v>
      </x:c>
      <x:c r="C24" s="38" t="str">
        <x:v>Bibimbap</x:v>
      </x:c>
      <x:c r="D24" s="38" t="str">
        <x:v>east-asia</x:v>
      </x:c>
      <x:c r="E24" s="38" t="str">
        <x:v>rice</x:v>
      </x:c>
      <x:c r="F24" s="38" t="str">
        <x:v>fresh | spicy</x:v>
      </x:c>
      <x:c r="G24" s="38" t="str">
        <x:v>NO</x:v>
      </x:c>
      <x:c r="H24" s="38" t="str">
        <x:v>NOT TAGGED</x:v>
      </x:c>
      <x:c r="I24" s="38" t="str">
        <x:v>NO</x:v>
      </x:c>
      <x:c r="J24" s="38" t="str">
        <x:v>NOT TAGGED</x:v>
      </x:c>
      <x:c r="K24" s="38" t="str">
        <x:v>KEEP CURRENT</x:v>
      </x:c>
      <x:c r="L24" s="38" t="str">
        <x:v>fresh | spicy</x:v>
      </x:c>
      <x:c r="M24" s="38" t="str">
        <x:v>Korean rice topped with seasoned vegetables, gochujang, and often egg or beef.</x:v>
      </x:c>
      <x:c r="N24" s="38" t="str">
        <x:v>Neither rich nor comforting is currently assigned; no keep/remove action is needed in this audit.</x:v>
      </x:c>
    </x:row>
    <x:row r="25" ht="56" customHeight="1">
      <x:c r="A25" s="38" t="n">
        <x:v>13</x:v>
      </x:c>
      <x:c r="B25" s="38" t="str">
        <x:v>yakitori</x:v>
      </x:c>
      <x:c r="C25" s="38" t="str">
        <x:v>Yakitori</x:v>
      </x:c>
      <x:c r="D25" s="38" t="str">
        <x:v>east-asia</x:v>
      </x:c>
      <x:c r="E25" s="38" t="str">
        <x:v>grilled-protein</x:v>
      </x:c>
      <x:c r="F25" s="38" t="str">
        <x:v>comforting</x:v>
      </x:c>
      <x:c r="G25" s="38" t="str">
        <x:v>NO</x:v>
      </x:c>
      <x:c r="H25" s="38" t="str">
        <x:v>NOT TAGGED</x:v>
      </x:c>
      <x:c r="I25" s="38" t="str">
        <x:v>YES</x:v>
      </x:c>
      <x:c r="J25" s="38" t="str">
        <x:v>KEEP</x:v>
      </x:c>
      <x:c r="K25" s="38" t="str">
        <x:v>KEEP CURRENT</x:v>
      </x:c>
      <x:c r="L25" s="38" t="str">
        <x:v>comforting</x:v>
      </x:c>
      <x:c r="M25" s="38" t="str">
        <x:v>Japanese skewered chicken grilled over charcoal and seasoned with salt or tare.</x:v>
      </x:c>
      <x:c r="N25" s="38" t="str">
        <x:v>Comforting — Comforting is still defensible from the dish's warm, familiar, substantial format and adds useful mood-level signal.</x:v>
      </x:c>
    </x:row>
    <x:row r="26" ht="56" customHeight="1">
      <x:c r="A26" s="38" t="n">
        <x:v>14</x:v>
      </x:c>
      <x:c r="B26" s="38" t="str">
        <x:v>biryani</x:v>
      </x:c>
      <x:c r="C26" s="38" t="str">
        <x:v>Biryani</x:v>
      </x:c>
      <x:c r="D26" s="38" t="str">
        <x:v>south-asia</x:v>
      </x:c>
      <x:c r="E26" s="38" t="str">
        <x:v>rice</x:v>
      </x:c>
      <x:c r="F26" s="38" t="str">
        <x:v>rich | spicy</x:v>
      </x:c>
      <x:c r="G26" s="38" t="str">
        <x:v>YES</x:v>
      </x:c>
      <x:c r="H26" s="38" t="str">
        <x:v>KEEP</x:v>
      </x:c>
      <x:c r="I26" s="38" t="str">
        <x:v>NO</x:v>
      </x:c>
      <x:c r="J26" s="38" t="str">
        <x:v>NOT TAGGED</x:v>
      </x:c>
      <x:c r="K26" s="38" t="str">
        <x:v>KEEP CURRENT</x:v>
      </x:c>
      <x:c r="L26" s="38" t="str">
        <x:v>rich | spicy</x:v>
      </x:c>
      <x:c r="M26" s="38" t="str">
        <x:v>Layered South Asian rice with spices, aromatics, and meat or vegetables.</x:v>
      </x:c>
      <x:c r="N26" s="38" t="str">
        <x:v>Rich — The dish is centered on a dense, concentrated, meat-forward, fried, or thick preparation, so rich is meaningfully descriptive.</x:v>
      </x:c>
    </x:row>
    <x:row r="27" ht="56" customHeight="1">
      <x:c r="A27" s="38" t="n">
        <x:v>15</x:v>
      </x:c>
      <x:c r="B27" s="38" t="str">
        <x:v>masala-dosa</x:v>
      </x:c>
      <x:c r="C27" s="38" t="str">
        <x:v>Masala Dosa</x:v>
      </x:c>
      <x:c r="D27" s="38" t="str">
        <x:v>south-asia</x:v>
      </x:c>
      <x:c r="E27" s="38" t="str">
        <x:v>handheld</x:v>
      </x:c>
      <x:c r="F27" s="38" t="str">
        <x:v>crispy | tangy</x:v>
      </x:c>
      <x:c r="G27" s="38" t="str">
        <x:v>NO</x:v>
      </x:c>
      <x:c r="H27" s="38" t="str">
        <x:v>NOT TAGGED</x:v>
      </x:c>
      <x:c r="I27" s="38" t="str">
        <x:v>NO</x:v>
      </x:c>
      <x:c r="J27" s="38" t="str">
        <x:v>NOT TAGGED</x:v>
      </x:c>
      <x:c r="K27" s="38" t="str">
        <x:v>KEEP CURRENT</x:v>
      </x:c>
      <x:c r="L27" s="38" t="str">
        <x:v>crispy | tangy</x:v>
      </x:c>
      <x:c r="M27" s="38" t="str">
        <x:v>Crisp South Indian dosa filled with spiced potato and served with chutney and sambar.</x:v>
      </x:c>
      <x:c r="N27" s="38" t="str">
        <x:v>Neither rich nor comforting is currently assigned; no keep/remove action is needed in this audit.</x:v>
      </x:c>
    </x:row>
    <x:row r="28" ht="56" customHeight="1">
      <x:c r="A28" s="38" t="n">
        <x:v>16</x:v>
      </x:c>
      <x:c r="B28" s="38" t="str">
        <x:v>mansaf</x:v>
      </x:c>
      <x:c r="C28" s="38" t="str">
        <x:v>Mansaf</x:v>
      </x:c>
      <x:c r="D28" s="38" t="str">
        <x:v>middle-east</x:v>
      </x:c>
      <x:c r="E28" s="38" t="str">
        <x:v>rice</x:v>
      </x:c>
      <x:c r="F28" s="38" t="str">
        <x:v>rich | tangy</x:v>
      </x:c>
      <x:c r="G28" s="38" t="str">
        <x:v>YES</x:v>
      </x:c>
      <x:c r="H28" s="38" t="str">
        <x:v>KEEP</x:v>
      </x:c>
      <x:c r="I28" s="38" t="str">
        <x:v>NO</x:v>
      </x:c>
      <x:c r="J28" s="38" t="str">
        <x:v>NOT TAGGED</x:v>
      </x:c>
      <x:c r="K28" s="38" t="str">
        <x:v>KEEP CURRENT</x:v>
      </x:c>
      <x:c r="L28" s="38" t="str">
        <x:v>rich | tangy</x:v>
      </x:c>
      <x:c r="M28" s="38" t="str">
        <x:v>Jordanian lamb with jameed yogurt sauce, rice or bulgur, and flatbread.</x:v>
      </x:c>
      <x:c r="N28" s="38" t="str">
        <x:v>Rich — Richness is supported by a creamy, fatty, nutty, coconut, cheese, or similarly dense component in the current catalog description.</x:v>
      </x:c>
    </x:row>
    <x:row r="29" ht="56" customHeight="1">
      <x:c r="A29" s="38" t="n">
        <x:v>17</x:v>
      </x:c>
      <x:c r="B29" s="38" t="str">
        <x:v>shish-taouk</x:v>
      </x:c>
      <x:c r="C29" s="38" t="str">
        <x:v>Shish Taouk</x:v>
      </x:c>
      <x:c r="D29" s="38" t="str">
        <x:v>middle-east</x:v>
      </x:c>
      <x:c r="E29" s="38" t="str">
        <x:v>grilled-protein</x:v>
      </x:c>
      <x:c r="F29" s="38" t="str">
        <x:v>fresh | tangy</x:v>
      </x:c>
      <x:c r="G29" s="38" t="str">
        <x:v>NO</x:v>
      </x:c>
      <x:c r="H29" s="38" t="str">
        <x:v>NOT TAGGED</x:v>
      </x:c>
      <x:c r="I29" s="38" t="str">
        <x:v>NO</x:v>
      </x:c>
      <x:c r="J29" s="38" t="str">
        <x:v>NOT TAGGED</x:v>
      </x:c>
      <x:c r="K29" s="38" t="str">
        <x:v>KEEP CURRENT</x:v>
      </x:c>
      <x:c r="L29" s="38" t="str">
        <x:v>fresh | tangy</x:v>
      </x:c>
      <x:c r="M29" s="38" t="str">
        <x:v>Marinated chicken skewers grilled until charred, common across Middle Eastern cuisines.</x:v>
      </x:c>
      <x:c r="N29" s="38" t="str">
        <x:v>Neither rich nor comforting is currently assigned; no keep/remove action is needed in this audit.</x:v>
      </x:c>
    </x:row>
    <x:row r="30" ht="56" customHeight="1">
      <x:c r="A30" s="38" t="n">
        <x:v>18</x:v>
      </x:c>
      <x:c r="B30" s="38" t="str">
        <x:v>harira</x:v>
      </x:c>
      <x:c r="C30" s="38" t="str">
        <x:v>Harira</x:v>
      </x:c>
      <x:c r="D30" s="38" t="str">
        <x:v>africa</x:v>
      </x:c>
      <x:c r="E30" s="38" t="str">
        <x:v>soup-broth</x:v>
      </x:c>
      <x:c r="F30" s="38" t="str">
        <x:v>rich | comforting</x:v>
      </x:c>
      <x:c r="G30" s="38" t="str">
        <x:v>YES</x:v>
      </x:c>
      <x:c r="H30" s="38" t="str">
        <x:v>REMOVE</x:v>
      </x:c>
      <x:c r="I30" s="38" t="str">
        <x:v>YES</x:v>
      </x:c>
      <x:c r="J30" s="38" t="str">
        <x:v>KEEP</x:v>
      </x:c>
      <x:c r="K30" s="38" t="str">
        <x:v>REMOVE RICH</x:v>
      </x:c>
      <x:c r="L30" s="38" t="str">
        <x:v>comforting</x:v>
      </x:c>
      <x:c r="M30" s="38" t="str">
        <x:v>Moroccan tomato, lentil, and chickpea soup often enriched with meat and vermicelli.</x:v>
      </x:c>
      <x:c r="N30" s="38" t="str">
        <x:v>Rich — Remove rich: the tag appears broader than what the current catalog description supports. Comforting — The warm, soft, starchy, brothy, braised, or slow-cooked format makes comforting a defining eating experience rather than a catch-all tag.</x:v>
      </x:c>
    </x:row>
    <x:row r="31" ht="56" customHeight="1">
      <x:c r="A31" s="38" t="n">
        <x:v>19</x:v>
      </x:c>
      <x:c r="B31" s="38" t="str">
        <x:v>suya</x:v>
      </x:c>
      <x:c r="C31" s="38" t="str">
        <x:v>Suya</x:v>
      </x:c>
      <x:c r="D31" s="38" t="str">
        <x:v>africa</x:v>
      </x:c>
      <x:c r="E31" s="38" t="str">
        <x:v>grilled-protein</x:v>
      </x:c>
      <x:c r="F31" s="38" t="str">
        <x:v>spicy</x:v>
      </x:c>
      <x:c r="G31" s="38" t="str">
        <x:v>NO</x:v>
      </x:c>
      <x:c r="H31" s="38" t="str">
        <x:v>NOT TAGGED</x:v>
      </x:c>
      <x:c r="I31" s="38" t="str">
        <x:v>NO</x:v>
      </x:c>
      <x:c r="J31" s="38" t="str">
        <x:v>NOT TAGGED</x:v>
      </x:c>
      <x:c r="K31" s="38" t="str">
        <x:v>KEEP CURRENT</x:v>
      </x:c>
      <x:c r="L31" s="38" t="str">
        <x:v>spicy</x:v>
      </x:c>
      <x:c r="M31" s="38" t="str">
        <x:v>Nigerian grilled meat skewers coated in a spicy, nutty yaji seasoning.</x:v>
      </x:c>
      <x:c r="N31" s="38" t="str">
        <x:v>Neither rich nor comforting is currently assigned; no keep/remove action is needed in this audit.</x:v>
      </x:c>
    </x:row>
    <x:row r="32" ht="56" customHeight="1">
      <x:c r="A32" s="38" t="n">
        <x:v>20</x:v>
      </x:c>
      <x:c r="B32" s="38" t="str">
        <x:v>carbonara</x:v>
      </x:c>
      <x:c r="C32" s="38" t="str">
        <x:v>Spaghetti Carbonara</x:v>
      </x:c>
      <x:c r="D32" s="38" t="str">
        <x:v>europe</x:v>
      </x:c>
      <x:c r="E32" s="38" t="str">
        <x:v>noodle</x:v>
      </x:c>
      <x:c r="F32" s="38" t="str">
        <x:v>rich | comforting</x:v>
      </x:c>
      <x:c r="G32" s="38" t="str">
        <x:v>YES</x:v>
      </x:c>
      <x:c r="H32" s="38" t="str">
        <x:v>KEEP</x:v>
      </x:c>
      <x:c r="I32" s="38" t="str">
        <x:v>YES</x:v>
      </x:c>
      <x:c r="J32" s="38" t="str">
        <x:v>KEEP</x:v>
      </x:c>
      <x:c r="K32" s="38" t="str">
        <x:v>KEEP CURRENT</x:v>
      </x:c>
      <x:c r="L32" s="38" t="str">
        <x:v>rich | comforting</x:v>
      </x:c>
      <x:c r="M32" s="38" t="str">
        <x:v>Roman pasta with egg, cured pork, hard cheese, and black pepper.</x:v>
      </x:c>
      <x:c r="N32"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33" ht="56" customHeight="1">
      <x:c r="A33" s="38" t="n">
        <x:v>21</x:v>
      </x:c>
      <x:c r="B33" s="38" t="str">
        <x:v>french-onion-soup</x:v>
      </x:c>
      <x:c r="C33" s="38" t="str">
        <x:v>French Onion Soup</x:v>
      </x:c>
      <x:c r="D33" s="38" t="str">
        <x:v>europe</x:v>
      </x:c>
      <x:c r="E33" s="38" t="str">
        <x:v>soup-broth</x:v>
      </x:c>
      <x:c r="F33" s="38" t="str">
        <x:v>rich | comforting</x:v>
      </x:c>
      <x:c r="G33" s="38" t="str">
        <x:v>YES</x:v>
      </x:c>
      <x:c r="H33" s="38" t="str">
        <x:v>KEEP</x:v>
      </x:c>
      <x:c r="I33" s="38" t="str">
        <x:v>YES</x:v>
      </x:c>
      <x:c r="J33" s="38" t="str">
        <x:v>KEEP</x:v>
      </x:c>
      <x:c r="K33" s="38" t="str">
        <x:v>KEEP CURRENT</x:v>
      </x:c>
      <x:c r="L33" s="38" t="str">
        <x:v>rich | comforting</x:v>
      </x:c>
      <x:c r="M33" s="38" t="str">
        <x:v>French onion soup with deeply cooked onions, broth, bread, and melted cheese.</x:v>
      </x:c>
      <x:c r="N33"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34" ht="56" customHeight="1">
      <x:c r="A34" s="38" t="n">
        <x:v>22</x:v>
      </x:c>
      <x:c r="B34" s="38" t="str">
        <x:v>tacos-al-pastor</x:v>
      </x:c>
      <x:c r="C34" s="38" t="str">
        <x:v>Tacos al Pastor</x:v>
      </x:c>
      <x:c r="D34" s="38" t="str">
        <x:v>latin-america</x:v>
      </x:c>
      <x:c r="E34" s="38" t="str">
        <x:v>handheld</x:v>
      </x:c>
      <x:c r="F34" s="38" t="str">
        <x:v>spicy | tangy</x:v>
      </x:c>
      <x:c r="G34" s="38" t="str">
        <x:v>NO</x:v>
      </x:c>
      <x:c r="H34" s="38" t="str">
        <x:v>NOT TAGGED</x:v>
      </x:c>
      <x:c r="I34" s="38" t="str">
        <x:v>NO</x:v>
      </x:c>
      <x:c r="J34" s="38" t="str">
        <x:v>NOT TAGGED</x:v>
      </x:c>
      <x:c r="K34" s="38" t="str">
        <x:v>KEEP CURRENT</x:v>
      </x:c>
      <x:c r="L34" s="38" t="str">
        <x:v>spicy | tangy</x:v>
      </x:c>
      <x:c r="M34" s="38" t="str">
        <x:v>Mexican tacos with spit-grilled marinated pork, onion, cilantro, and pineapple.</x:v>
      </x:c>
      <x:c r="N34" s="38" t="str">
        <x:v>Neither rich nor comforting is currently assigned; no keep/remove action is needed in this audit.</x:v>
      </x:c>
    </x:row>
    <x:row r="35" ht="56" customHeight="1">
      <x:c r="A35" s="38" t="n">
        <x:v>23</x:v>
      </x:c>
      <x:c r="B35" s="38" t="str">
        <x:v>sopa-de-lima</x:v>
      </x:c>
      <x:c r="C35" s="38" t="str">
        <x:v>Sopa de Lima</x:v>
      </x:c>
      <x:c r="D35" s="38" t="str">
        <x:v>latin-america</x:v>
      </x:c>
      <x:c r="E35" s="38" t="str">
        <x:v>soup-broth</x:v>
      </x:c>
      <x:c r="F35" s="38" t="str">
        <x:v>fresh | tangy</x:v>
      </x:c>
      <x:c r="G35" s="38" t="str">
        <x:v>NO</x:v>
      </x:c>
      <x:c r="H35" s="38" t="str">
        <x:v>NOT TAGGED</x:v>
      </x:c>
      <x:c r="I35" s="38" t="str">
        <x:v>NO</x:v>
      </x:c>
      <x:c r="J35" s="38" t="str">
        <x:v>NOT TAGGED</x:v>
      </x:c>
      <x:c r="K35" s="38" t="str">
        <x:v>KEEP CURRENT</x:v>
      </x:c>
      <x:c r="L35" s="38" t="str">
        <x:v>fresh | tangy</x:v>
      </x:c>
      <x:c r="M35" s="38" t="str">
        <x:v>Yucatecan chicken soup brightened with lime and topped with crisp tortilla strips.</x:v>
      </x:c>
      <x:c r="N35" s="38" t="str">
        <x:v>Neither rich nor comforting is currently assigned; no keep/remove action is needed in this audit.</x:v>
      </x:c>
    </x:row>
    <x:row r="36" ht="56" customHeight="1">
      <x:c r="A36" s="38" t="n">
        <x:v>24</x:v>
      </x:c>
      <x:c r="B36" s="38" t="str">
        <x:v>jambalaya</x:v>
      </x:c>
      <x:c r="C36" s="38" t="str">
        <x:v>Jambalaya</x:v>
      </x:c>
      <x:c r="D36" s="38" t="str">
        <x:v>north-america</x:v>
      </x:c>
      <x:c r="E36" s="38" t="str">
        <x:v>rice</x:v>
      </x:c>
      <x:c r="F36" s="38" t="str">
        <x:v>rich | spicy</x:v>
      </x:c>
      <x:c r="G36" s="38" t="str">
        <x:v>YES</x:v>
      </x:c>
      <x:c r="H36" s="38" t="str">
        <x:v>REMOVE</x:v>
      </x:c>
      <x:c r="I36" s="38" t="str">
        <x:v>NO</x:v>
      </x:c>
      <x:c r="J36" s="38" t="str">
        <x:v>NOT TAGGED</x:v>
      </x:c>
      <x:c r="K36" s="38" t="str">
        <x:v>REMOVE RICH</x:v>
      </x:c>
      <x:c r="L36" s="38" t="str">
        <x:v>spicy</x:v>
      </x:c>
      <x:c r="M36" s="38" t="str">
        <x:v>Louisiana rice cooked with meat or seafood, vegetables, stock, and spices.</x:v>
      </x:c>
      <x:c r="N36" s="38" t="str">
        <x:v>Rich — Remove rich: the current description is more specifically defined by its other preference flavor(s), while 'rich' reads as a generic extra label.</x:v>
      </x:c>
    </x:row>
    <x:row r="37" ht="56" customHeight="1">
      <x:c r="A37" s="38" t="n">
        <x:v>25</x:v>
      </x:c>
      <x:c r="B37" s="38" t="str">
        <x:v>lobster-roll</x:v>
      </x:c>
      <x:c r="C37" s="38" t="str">
        <x:v>Lobster Roll</x:v>
      </x:c>
      <x:c r="D37" s="38" t="str">
        <x:v>north-america</x:v>
      </x:c>
      <x:c r="E37" s="38" t="str">
        <x:v>handheld</x:v>
      </x:c>
      <x:c r="F37" s="38" t="str">
        <x:v>rich | fresh</x:v>
      </x:c>
      <x:c r="G37" s="38" t="str">
        <x:v>YES</x:v>
      </x:c>
      <x:c r="H37" s="38" t="str">
        <x:v>KEEP</x:v>
      </x:c>
      <x:c r="I37" s="38" t="str">
        <x:v>NO</x:v>
      </x:c>
      <x:c r="J37" s="38" t="str">
        <x:v>NOT TAGGED</x:v>
      </x:c>
      <x:c r="K37" s="38" t="str">
        <x:v>KEEP CURRENT</x:v>
      </x:c>
      <x:c r="L37" s="38" t="str">
        <x:v>rich | fresh</x:v>
      </x:c>
      <x:c r="M37" s="38" t="str">
        <x:v>New England lobster served in a grilled split-top roll with butter or mayonnaise.</x:v>
      </x:c>
      <x:c r="N37" s="38" t="str">
        <x:v>Rich — Richness is supported by a creamy, fatty, nutty, coconut, cheese, or similarly dense component in the current catalog description.</x:v>
      </x:c>
    </x:row>
    <x:row r="38" ht="56" customHeight="1">
      <x:c r="A38" s="38" t="n">
        <x:v>26</x:v>
      </x:c>
      <x:c r="B38" s="38" t="str">
        <x:v>udon</x:v>
      </x:c>
      <x:c r="C38" s="38" t="str">
        <x:v>Udon</x:v>
      </x:c>
      <x:c r="D38" s="38" t="str">
        <x:v>east-asia</x:v>
      </x:c>
      <x:c r="E38" s="38" t="str">
        <x:v>noodle</x:v>
      </x:c>
      <x:c r="F38" s="38" t="str">
        <x:v>comforting</x:v>
      </x:c>
      <x:c r="G38" s="38" t="str">
        <x:v>NO</x:v>
      </x:c>
      <x:c r="H38" s="38" t="str">
        <x:v>NOT TAGGED</x:v>
      </x:c>
      <x:c r="I38" s="38" t="str">
        <x:v>YES</x:v>
      </x:c>
      <x:c r="J38" s="38" t="str">
        <x:v>KEEP</x:v>
      </x:c>
      <x:c r="K38" s="38" t="str">
        <x:v>KEEP CURRENT</x:v>
      </x:c>
      <x:c r="L38" s="38" t="str">
        <x:v>comforting</x:v>
      </x:c>
      <x:c r="M38" s="38" t="str">
        <x:v>Thick Japanese wheat noodles served hot in broth or chilled with dipping sauce.</x:v>
      </x:c>
      <x:c r="N38" s="38" t="str">
        <x:v>Comforting — The warm, soft, starchy, brothy, braised, or slow-cooked format makes comforting a defining eating experience rather than a catch-all tag.</x:v>
      </x:c>
    </x:row>
    <x:row r="39" ht="56" customHeight="1">
      <x:c r="A39" s="38" t="n">
        <x:v>27</x:v>
      </x:c>
      <x:c r="B39" s="38" t="str">
        <x:v>kimchi-jjigae</x:v>
      </x:c>
      <x:c r="C39" s="38" t="str">
        <x:v>Kimchi-jjigae</x:v>
      </x:c>
      <x:c r="D39" s="38" t="str">
        <x:v>east-asia</x:v>
      </x:c>
      <x:c r="E39" s="38" t="str">
        <x:v>soup-broth</x:v>
      </x:c>
      <x:c r="F39" s="38" t="str">
        <x:v>spicy | rich</x:v>
      </x:c>
      <x:c r="G39" s="38" t="str">
        <x:v>YES</x:v>
      </x:c>
      <x:c r="H39" s="38" t="str">
        <x:v>REMOVE</x:v>
      </x:c>
      <x:c r="I39" s="38" t="str">
        <x:v>NO</x:v>
      </x:c>
      <x:c r="J39" s="38" t="str">
        <x:v>NOT TAGGED</x:v>
      </x:c>
      <x:c r="K39" s="38" t="str">
        <x:v>REMOVE RICH</x:v>
      </x:c>
      <x:c r="L39" s="38" t="str">
        <x:v>spicy</x:v>
      </x:c>
      <x:c r="M39" s="38" t="str">
        <x:v>Korean kimchi stew simmered with tofu, pork, scallions, and a deeply savory broth.</x:v>
      </x:c>
      <x:c r="N39" s="38" t="str">
        <x:v>Rich — Remove rich: the current description is more specifically defined by its other preference flavor(s), while 'rich' reads as a generic extra label.</x:v>
      </x:c>
    </x:row>
    <x:row r="40" ht="56" customHeight="1">
      <x:c r="A40" s="38" t="n">
        <x:v>28</x:v>
      </x:c>
      <x:c r="B40" s="38" t="str">
        <x:v>bulgogi</x:v>
      </x:c>
      <x:c r="C40" s="38" t="str">
        <x:v>Bulgogi</x:v>
      </x:c>
      <x:c r="D40" s="38" t="str">
        <x:v>east-asia</x:v>
      </x:c>
      <x:c r="E40" s="38" t="str">
        <x:v>grilled-protein</x:v>
      </x:c>
      <x:c r="F40" s="38" t="str">
        <x:v>comforting | rich</x:v>
      </x:c>
      <x:c r="G40" s="38" t="str">
        <x:v>YES</x:v>
      </x:c>
      <x:c r="H40" s="38" t="str">
        <x:v>KEEP</x:v>
      </x:c>
      <x:c r="I40" s="38" t="str">
        <x:v>YES</x:v>
      </x:c>
      <x:c r="J40" s="38" t="str">
        <x:v>KEEP</x:v>
      </x:c>
      <x:c r="K40" s="38" t="str">
        <x:v>KEEP CURRENT</x:v>
      </x:c>
      <x:c r="L40" s="38" t="str">
        <x:v>comforting | rich</x:v>
      </x:c>
      <x:c r="M40" s="38" t="str">
        <x:v>Korean marinated beef grilled or pan-cooked with a sweet-savory soy-based seasoning.</x:v>
      </x:c>
      <x:c r="N40" s="38" t="str">
        <x:v>Rich — The current description presents a full-bodied, substantial preparation where rich adds useful recommendation signal. Comforting — Comforting is still defensible from the dish's warm, familiar, substantial format and adds useful mood-level signal.</x:v>
      </x:c>
    </x:row>
    <x:row r="41" ht="56" customHeight="1">
      <x:c r="A41" s="38" t="n">
        <x:v>29</x:v>
      </x:c>
      <x:c r="B41" s="38" t="str">
        <x:v>jianbing</x:v>
      </x:c>
      <x:c r="C41" s="38" t="str">
        <x:v>Jianbing</x:v>
      </x:c>
      <x:c r="D41" s="38" t="str">
        <x:v>east-asia</x:v>
      </x:c>
      <x:c r="E41" s="38" t="str">
        <x:v>handheld</x:v>
      </x:c>
      <x:c r="F41" s="38" t="str">
        <x:v>crispy | comforting</x:v>
      </x:c>
      <x:c r="G41" s="38" t="str">
        <x:v>NO</x:v>
      </x:c>
      <x:c r="H41" s="38" t="str">
        <x:v>NOT TAGGED</x:v>
      </x:c>
      <x:c r="I41" s="38" t="str">
        <x:v>YES</x:v>
      </x:c>
      <x:c r="J41" s="38" t="str">
        <x:v>REMOVE</x:v>
      </x:c>
      <x:c r="K41" s="38" t="str">
        <x:v>REMOVE COMFORTING</x:v>
      </x:c>
      <x:c r="L41" s="38" t="str">
        <x:v>crispy</x:v>
      </x:c>
      <x:c r="M41" s="38" t="str">
        <x:v>Chinese breakfast crepe layered with egg, sauces, herbs, and a crisp cracker.</x:v>
      </x:c>
      <x:c r="N41" s="38" t="str">
        <x:v>Comforting — Remove comforting: the dish is better distinguished by its sharper current preference flavor(s); comfort adds little discriminatory value.</x:v>
      </x:c>
    </x:row>
    <x:row r="42" ht="56" customHeight="1">
      <x:c r="A42" s="38" t="n">
        <x:v>30</x:v>
      </x:c>
      <x:c r="B42" s="38" t="str">
        <x:v>chole-bhature</x:v>
      </x:c>
      <x:c r="C42" s="38" t="str">
        <x:v>Chole Bhature</x:v>
      </x:c>
      <x:c r="D42" s="38" t="str">
        <x:v>south-asia</x:v>
      </x:c>
      <x:c r="E42" s="38" t="str">
        <x:v>handheld</x:v>
      </x:c>
      <x:c r="F42" s="38" t="str">
        <x:v>rich | spicy</x:v>
      </x:c>
      <x:c r="G42" s="38" t="str">
        <x:v>YES</x:v>
      </x:c>
      <x:c r="H42" s="38" t="str">
        <x:v>KEEP</x:v>
      </x:c>
      <x:c r="I42" s="38" t="str">
        <x:v>NO</x:v>
      </x:c>
      <x:c r="J42" s="38" t="str">
        <x:v>NOT TAGGED</x:v>
      </x:c>
      <x:c r="K42" s="38" t="str">
        <x:v>KEEP CURRENT</x:v>
      </x:c>
      <x:c r="L42" s="38" t="str">
        <x:v>rich | spicy</x:v>
      </x:c>
      <x:c r="M42" s="38" t="str">
        <x:v>North Indian chickpea curry served with a large puffed, deep-fried bhatura bread.</x:v>
      </x:c>
      <x:c r="N42" s="38" t="str">
        <x:v>Rich — The dish is centered on a dense, concentrated, meat-forward, fried, or thick preparation, so rich is meaningfully descriptive.</x:v>
      </x:c>
    </x:row>
    <x:row r="43" ht="56" customHeight="1">
      <x:c r="A43" s="38" t="n">
        <x:v>31</x:v>
      </x:c>
      <x:c r="B43" s="38" t="str">
        <x:v>chicken-tikka</x:v>
      </x:c>
      <x:c r="C43" s="38" t="str">
        <x:v>Chicken Tikka</x:v>
      </x:c>
      <x:c r="D43" s="38" t="str">
        <x:v>south-asia</x:v>
      </x:c>
      <x:c r="E43" s="38" t="str">
        <x:v>grilled-protein</x:v>
      </x:c>
      <x:c r="F43" s="38" t="str">
        <x:v>spicy | rich</x:v>
      </x:c>
      <x:c r="G43" s="38" t="str">
        <x:v>YES</x:v>
      </x:c>
      <x:c r="H43" s="38" t="str">
        <x:v>REMOVE</x:v>
      </x:c>
      <x:c r="I43" s="38" t="str">
        <x:v>NO</x:v>
      </x:c>
      <x:c r="J43" s="38" t="str">
        <x:v>NOT TAGGED</x:v>
      </x:c>
      <x:c r="K43" s="38" t="str">
        <x:v>REMOVE RICH</x:v>
      </x:c>
      <x:c r="L43" s="38" t="str">
        <x:v>spicy</x:v>
      </x:c>
      <x:c r="M43" s="38" t="str">
        <x:v>Yogurt-and-spice marinated chicken pieces cooked over high heat, often in a tandoor.</x:v>
      </x:c>
      <x:c r="N43" s="38" t="str">
        <x:v>Rich — Remove rich: the current description is more specifically defined by its other preference flavor(s), while 'rich' reads as a generic extra label.</x:v>
      </x:c>
    </x:row>
    <x:row r="44" ht="56" customHeight="1">
      <x:c r="A44" s="38" t="n">
        <x:v>32</x:v>
      </x:c>
      <x:c r="B44" s="38" t="str">
        <x:v>haleem</x:v>
      </x:c>
      <x:c r="C44" s="38" t="str">
        <x:v>Haleem</x:v>
      </x:c>
      <x:c r="D44" s="38" t="str">
        <x:v>south-asia</x:v>
      </x:c>
      <x:c r="E44" s="38" t="str">
        <x:v>soup-broth</x:v>
      </x:c>
      <x:c r="F44" s="38" t="str">
        <x:v>rich | comforting</x:v>
      </x:c>
      <x:c r="G44" s="38" t="str">
        <x:v>YES</x:v>
      </x:c>
      <x:c r="H44" s="38" t="str">
        <x:v>KEEP</x:v>
      </x:c>
      <x:c r="I44" s="38" t="str">
        <x:v>YES</x:v>
      </x:c>
      <x:c r="J44" s="38" t="str">
        <x:v>KEEP</x:v>
      </x:c>
      <x:c r="K44" s="38" t="str">
        <x:v>KEEP CURRENT</x:v>
      </x:c>
      <x:c r="L44" s="38" t="str">
        <x:v>rich | comforting</x:v>
      </x:c>
      <x:c r="M44" s="38" t="str">
        <x:v>Slow-cooked South Asian stew of meat, grains, lentils, and warming spices.</x:v>
      </x:c>
      <x:c r="N44"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45" ht="56" customHeight="1">
      <x:c r="A45" s="38" t="n">
        <x:v>33</x:v>
      </x:c>
      <x:c r="B45" s="38" t="str">
        <x:v>kabsa</x:v>
      </x:c>
      <x:c r="C45" s="38" t="str">
        <x:v>Kabsa</x:v>
      </x:c>
      <x:c r="D45" s="38" t="str">
        <x:v>middle-east</x:v>
      </x:c>
      <x:c r="E45" s="38" t="str">
        <x:v>rice</x:v>
      </x:c>
      <x:c r="F45" s="38" t="str">
        <x:v>rich | comforting</x:v>
      </x:c>
      <x:c r="G45" s="38" t="str">
        <x:v>YES</x:v>
      </x:c>
      <x:c r="H45" s="38" t="str">
        <x:v>REMOVE</x:v>
      </x:c>
      <x:c r="I45" s="38" t="str">
        <x:v>YES</x:v>
      </x:c>
      <x:c r="J45" s="38" t="str">
        <x:v>KEEP</x:v>
      </x:c>
      <x:c r="K45" s="38" t="str">
        <x:v>REMOVE RICH</x:v>
      </x:c>
      <x:c r="L45" s="38" t="str">
        <x:v>comforting</x:v>
      </x:c>
      <x:c r="M45" s="38" t="str">
        <x:v>Arabian spiced rice cooked with meat, tomatoes, and fragrant whole spices.</x:v>
      </x:c>
      <x:c r="N45"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46" ht="56" customHeight="1">
      <x:c r="A46" s="38" t="n">
        <x:v>34</x:v>
      </x:c>
      <x:c r="B46" s="38" t="str">
        <x:v>shawarma</x:v>
      </x:c>
      <x:c r="C46" s="38" t="str">
        <x:v>Shawarma</x:v>
      </x:c>
      <x:c r="D46" s="38" t="str">
        <x:v>middle-east</x:v>
      </x:c>
      <x:c r="E46" s="38" t="str">
        <x:v>handheld</x:v>
      </x:c>
      <x:c r="F46" s="38" t="str">
        <x:v>rich | tangy</x:v>
      </x:c>
      <x:c r="G46" s="38" t="str">
        <x:v>YES</x:v>
      </x:c>
      <x:c r="H46" s="38" t="str">
        <x:v>KEEP</x:v>
      </x:c>
      <x:c r="I46" s="38" t="str">
        <x:v>NO</x:v>
      </x:c>
      <x:c r="J46" s="38" t="str">
        <x:v>NOT TAGGED</x:v>
      </x:c>
      <x:c r="K46" s="38" t="str">
        <x:v>KEEP CURRENT</x:v>
      </x:c>
      <x:c r="L46" s="38" t="str">
        <x:v>rich | tangy</x:v>
      </x:c>
      <x:c r="M46" s="38" t="str">
        <x:v>Thin slices of seasoned meat roasted on a vertical spit and wrapped with sauces and vegetables.</x:v>
      </x:c>
      <x:c r="N46" s="38" t="str">
        <x:v>Rich — The dish is centered on a dense, concentrated, meat-forward, fried, or thick preparation, so rich is meaningfully descriptive.</x:v>
      </x:c>
    </x:row>
    <x:row r="47" ht="56" customHeight="1">
      <x:c r="A47" s="38" t="n">
        <x:v>35</x:v>
      </x:c>
      <x:c r="B47" s="38" t="str">
        <x:v>ash-reshteh</x:v>
      </x:c>
      <x:c r="C47" s="38" t="str">
        <x:v>Ash Reshteh</x:v>
      </x:c>
      <x:c r="D47" s="38" t="str">
        <x:v>middle-east</x:v>
      </x:c>
      <x:c r="E47" s="38" t="str">
        <x:v>soup-broth</x:v>
      </x:c>
      <x:c r="F47" s="38" t="str">
        <x:v>comforting | rich</x:v>
      </x:c>
      <x:c r="G47" s="38" t="str">
        <x:v>YES</x:v>
      </x:c>
      <x:c r="H47" s="38" t="str">
        <x:v>KEEP</x:v>
      </x:c>
      <x:c r="I47" s="38" t="str">
        <x:v>YES</x:v>
      </x:c>
      <x:c r="J47" s="38" t="str">
        <x:v>KEEP</x:v>
      </x:c>
      <x:c r="K47" s="38" t="str">
        <x:v>KEEP CURRENT</x:v>
      </x:c>
      <x:c r="L47" s="38" t="str">
        <x:v>comforting | rich</x:v>
      </x:c>
      <x:c r="M47" s="38" t="str">
        <x:v>Iranian thick herb-and-legume soup with noodles, beans, lentils, and tangy kashk.</x:v>
      </x:c>
      <x:c r="N47"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48" ht="56" customHeight="1">
      <x:c r="A48" s="38" t="n">
        <x:v>36</x:v>
      </x:c>
      <x:c r="B48" s="38" t="str">
        <x:v>jollof-rice</x:v>
      </x:c>
      <x:c r="C48" s="38" t="str">
        <x:v>Jollof Rice</x:v>
      </x:c>
      <x:c r="D48" s="38" t="str">
        <x:v>africa</x:v>
      </x:c>
      <x:c r="E48" s="38" t="str">
        <x:v>rice</x:v>
      </x:c>
      <x:c r="F48" s="38" t="str">
        <x:v>spicy | rich</x:v>
      </x:c>
      <x:c r="G48" s="38" t="str">
        <x:v>YES</x:v>
      </x:c>
      <x:c r="H48" s="38" t="str">
        <x:v>REMOVE</x:v>
      </x:c>
      <x:c r="I48" s="38" t="str">
        <x:v>NO</x:v>
      </x:c>
      <x:c r="J48" s="38" t="str">
        <x:v>NOT TAGGED</x:v>
      </x:c>
      <x:c r="K48" s="38" t="str">
        <x:v>REMOVE RICH</x:v>
      </x:c>
      <x:c r="L48" s="38" t="str">
        <x:v>spicy</x:v>
      </x:c>
      <x:c r="M48" s="38" t="str">
        <x:v>West African tomato-and-pepper rice cooked with aromatics, spices, and optional meat or vegetables.</x:v>
      </x:c>
      <x:c r="N48" s="38" t="str">
        <x:v>Rich — Remove rich: the current description is more specifically defined by its other preference flavor(s), while 'rich' reads as a generic extra label.</x:v>
      </x:c>
    </x:row>
    <x:row r="49" ht="56" customHeight="1">
      <x:c r="A49" s="38" t="n">
        <x:v>37</x:v>
      </x:c>
      <x:c r="B49" s="38" t="str">
        <x:v>doro-wat</x:v>
      </x:c>
      <x:c r="C49" s="38" t="str">
        <x:v>Doro Wat</x:v>
      </x:c>
      <x:c r="D49" s="38" t="str">
        <x:v>africa</x:v>
      </x:c>
      <x:c r="E49" s="38" t="str">
        <x:v>grilled-protein</x:v>
      </x:c>
      <x:c r="F49" s="38" t="str">
        <x:v>spicy | rich</x:v>
      </x:c>
      <x:c r="G49" s="38" t="str">
        <x:v>YES</x:v>
      </x:c>
      <x:c r="H49" s="38" t="str">
        <x:v>KEEP</x:v>
      </x:c>
      <x:c r="I49" s="38" t="str">
        <x:v>NO</x:v>
      </x:c>
      <x:c r="J49" s="38" t="str">
        <x:v>NOT TAGGED</x:v>
      </x:c>
      <x:c r="K49" s="38" t="str">
        <x:v>KEEP CURRENT</x:v>
      </x:c>
      <x:c r="L49" s="38" t="str">
        <x:v>spicy | rich</x:v>
      </x:c>
      <x:c r="M49" s="38" t="str">
        <x:v>Ethiopian chicken stew simmered with berbere spices, onions, and often hard-boiled eggs.</x:v>
      </x:c>
      <x:c r="N49" s="38" t="str">
        <x:v>Rich — The dish is centered on a dense, concentrated, meat-forward, fried, or thick preparation, so rich is meaningfully descriptive.</x:v>
      </x:c>
    </x:row>
    <x:row r="50" ht="56" customHeight="1">
      <x:c r="A50" s="38" t="n">
        <x:v>38</x:v>
      </x:c>
      <x:c r="B50" s="38" t="str">
        <x:v>koshari</x:v>
      </x:c>
      <x:c r="C50" s="38" t="str">
        <x:v>Koshari</x:v>
      </x:c>
      <x:c r="D50" s="38" t="str">
        <x:v>africa</x:v>
      </x:c>
      <x:c r="E50" s="38" t="str">
        <x:v>rice</x:v>
      </x:c>
      <x:c r="F50" s="38" t="str">
        <x:v>comforting | tangy</x:v>
      </x:c>
      <x:c r="G50" s="38" t="str">
        <x:v>NO</x:v>
      </x:c>
      <x:c r="H50" s="38" t="str">
        <x:v>NOT TAGGED</x:v>
      </x:c>
      <x:c r="I50" s="38" t="str">
        <x:v>YES</x:v>
      </x:c>
      <x:c r="J50" s="38" t="str">
        <x:v>KEEP</x:v>
      </x:c>
      <x:c r="K50" s="38" t="str">
        <x:v>KEEP CURRENT</x:v>
      </x:c>
      <x:c r="L50" s="38" t="str">
        <x:v>comforting | tangy</x:v>
      </x:c>
      <x:c r="M50" s="38" t="str">
        <x:v>Egyptian rice, lentils, pasta, chickpeas, tomato sauce, and crisp fried onions.</x:v>
      </x:c>
      <x:c r="N50" s="38" t="str">
        <x:v>Comforting — The warm, soft, starchy, brothy, braised, or slow-cooked format makes comforting a defining eating experience rather than a catch-all tag.</x:v>
      </x:c>
    </x:row>
    <x:row r="51" ht="56" customHeight="1">
      <x:c r="A51" s="38" t="n">
        <x:v>39</x:v>
      </x:c>
      <x:c r="B51" s="38" t="str">
        <x:v>thieboudienne</x:v>
      </x:c>
      <x:c r="C51" s="38" t="str">
        <x:v>Thieboudienne</x:v>
      </x:c>
      <x:c r="D51" s="38" t="str">
        <x:v>africa</x:v>
      </x:c>
      <x:c r="E51" s="38" t="str">
        <x:v>rice</x:v>
      </x:c>
      <x:c r="F51" s="38" t="str">
        <x:v>fresh | rich</x:v>
      </x:c>
      <x:c r="G51" s="38" t="str">
        <x:v>YES</x:v>
      </x:c>
      <x:c r="H51" s="38" t="str">
        <x:v>REMOVE</x:v>
      </x:c>
      <x:c r="I51" s="38" t="str">
        <x:v>NO</x:v>
      </x:c>
      <x:c r="J51" s="38" t="str">
        <x:v>NOT TAGGED</x:v>
      </x:c>
      <x:c r="K51" s="38" t="str">
        <x:v>REMOVE RICH</x:v>
      </x:c>
      <x:c r="L51" s="38" t="str">
        <x:v>fresh</x:v>
      </x:c>
      <x:c r="M51" s="38" t="str">
        <x:v>Senegalese fish and rice cooked with tomato, vegetables, herbs, and peppers in one pot.</x:v>
      </x:c>
      <x:c r="N51" s="38" t="str">
        <x:v>Rich — Remove rich: the current description is more specifically defined by its other preference flavor(s), while 'rich' reads as a generic extra label.</x:v>
      </x:c>
    </x:row>
    <x:row r="52" ht="56" customHeight="1">
      <x:c r="A52" s="38" t="n">
        <x:v>40</x:v>
      </x:c>
      <x:c r="B52" s="38" t="str">
        <x:v>paella</x:v>
      </x:c>
      <x:c r="C52" s="38" t="str">
        <x:v>Paella</x:v>
      </x:c>
      <x:c r="D52" s="38" t="str">
        <x:v>europe</x:v>
      </x:c>
      <x:c r="E52" s="38" t="str">
        <x:v>rice</x:v>
      </x:c>
      <x:c r="F52" s="38" t="str">
        <x:v>fresh | rich</x:v>
      </x:c>
      <x:c r="G52" s="38" t="str">
        <x:v>YES</x:v>
      </x:c>
      <x:c r="H52" s="38" t="str">
        <x:v>REMOVE</x:v>
      </x:c>
      <x:c r="I52" s="38" t="str">
        <x:v>NO</x:v>
      </x:c>
      <x:c r="J52" s="38" t="str">
        <x:v>NOT TAGGED</x:v>
      </x:c>
      <x:c r="K52" s="38" t="str">
        <x:v>REMOVE RICH</x:v>
      </x:c>
      <x:c r="L52" s="38" t="str">
        <x:v>fresh</x:v>
      </x:c>
      <x:c r="M52" s="38" t="str">
        <x:v>Spanish rice cooked in a wide pan with saffron, vegetables, and seafood or meat.</x:v>
      </x:c>
      <x:c r="N52" s="38" t="str">
        <x:v>Rich — Remove rich: the current description is more specifically defined by its other preference flavor(s), while 'rich' reads as a generic extra label.</x:v>
      </x:c>
    </x:row>
    <x:row r="53" ht="56" customHeight="1">
      <x:c r="A53" s="38" t="n">
        <x:v>41</x:v>
      </x:c>
      <x:c r="B53" s="38" t="str">
        <x:v>goulash</x:v>
      </x:c>
      <x:c r="C53" s="38" t="str">
        <x:v>Goulash</x:v>
      </x:c>
      <x:c r="D53" s="38" t="str">
        <x:v>europe</x:v>
      </x:c>
      <x:c r="E53" s="38" t="str">
        <x:v>soup-broth</x:v>
      </x:c>
      <x:c r="F53" s="38" t="str">
        <x:v>rich | comforting</x:v>
      </x:c>
      <x:c r="G53" s="38" t="str">
        <x:v>YES</x:v>
      </x:c>
      <x:c r="H53" s="38" t="str">
        <x:v>KEEP</x:v>
      </x:c>
      <x:c r="I53" s="38" t="str">
        <x:v>YES</x:v>
      </x:c>
      <x:c r="J53" s="38" t="str">
        <x:v>KEEP</x:v>
      </x:c>
      <x:c r="K53" s="38" t="str">
        <x:v>KEEP CURRENT</x:v>
      </x:c>
      <x:c r="L53" s="38" t="str">
        <x:v>rich | comforting</x:v>
      </x:c>
      <x:c r="M53" s="38" t="str">
        <x:v>Hungarian paprika-seasoned beef and vegetable soup or stew with a deep savory broth.</x:v>
      </x:c>
      <x:c r="N53"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54" ht="56" customHeight="1">
      <x:c r="A54" s="38" t="n">
        <x:v>42</x:v>
      </x:c>
      <x:c r="B54" s="38" t="str">
        <x:v>souvlaki</x:v>
      </x:c>
      <x:c r="C54" s="38" t="str">
        <x:v>Souvlaki</x:v>
      </x:c>
      <x:c r="D54" s="38" t="str">
        <x:v>europe</x:v>
      </x:c>
      <x:c r="E54" s="38" t="str">
        <x:v>grilled-protein</x:v>
      </x:c>
      <x:c r="F54" s="38" t="str">
        <x:v>fresh | tangy</x:v>
      </x:c>
      <x:c r="G54" s="38" t="str">
        <x:v>NO</x:v>
      </x:c>
      <x:c r="H54" s="38" t="str">
        <x:v>NOT TAGGED</x:v>
      </x:c>
      <x:c r="I54" s="38" t="str">
        <x:v>NO</x:v>
      </x:c>
      <x:c r="J54" s="38" t="str">
        <x:v>NOT TAGGED</x:v>
      </x:c>
      <x:c r="K54" s="38" t="str">
        <x:v>KEEP CURRENT</x:v>
      </x:c>
      <x:c r="L54" s="38" t="str">
        <x:v>fresh | tangy</x:v>
      </x:c>
      <x:c r="M54" s="38" t="str">
        <x:v>Greek skewered meat grilled over high heat and served with lemon, pita, or fresh sides.</x:v>
      </x:c>
      <x:c r="N54" s="38" t="str">
        <x:v>Neither rich nor comforting is currently assigned; no keep/remove action is needed in this audit.</x:v>
      </x:c>
    </x:row>
    <x:row r="55" ht="56" customHeight="1">
      <x:c r="A55" s="38" t="n">
        <x:v>43</x:v>
      </x:c>
      <x:c r="B55" s="38" t="str">
        <x:v>pierogi</x:v>
      </x:c>
      <x:c r="C55" s="38" t="str">
        <x:v>Pierogi</x:v>
      </x:c>
      <x:c r="D55" s="38" t="str">
        <x:v>europe</x:v>
      </x:c>
      <x:c r="E55" s="38" t="str">
        <x:v>handheld</x:v>
      </x:c>
      <x:c r="F55" s="38" t="str">
        <x:v>comforting | rich</x:v>
      </x:c>
      <x:c r="G55" s="38" t="str">
        <x:v>YES</x:v>
      </x:c>
      <x:c r="H55" s="38" t="str">
        <x:v>KEEP</x:v>
      </x:c>
      <x:c r="I55" s="38" t="str">
        <x:v>YES</x:v>
      </x:c>
      <x:c r="J55" s="38" t="str">
        <x:v>KEEP</x:v>
      </x:c>
      <x:c r="K55" s="38" t="str">
        <x:v>KEEP CURRENT</x:v>
      </x:c>
      <x:c r="L55" s="38" t="str">
        <x:v>comforting | rich</x:v>
      </x:c>
      <x:c r="M55" s="38" t="str">
        <x:v>Polish filled dumplings boiled or pan-fried with savory or sweet fillings.</x:v>
      </x:c>
      <x:c r="N55"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56" ht="56" customHeight="1">
      <x:c r="A56" s="38" t="n">
        <x:v>44</x:v>
      </x:c>
      <x:c r="B56" s="38" t="str">
        <x:v>arepa</x:v>
      </x:c>
      <x:c r="C56" s="38" t="str">
        <x:v>Arepa</x:v>
      </x:c>
      <x:c r="D56" s="38" t="str">
        <x:v>latin-america</x:v>
      </x:c>
      <x:c r="E56" s="38" t="str">
        <x:v>handheld</x:v>
      </x:c>
      <x:c r="F56" s="38" t="str">
        <x:v>comforting | rich</x:v>
      </x:c>
      <x:c r="G56" s="38" t="str">
        <x:v>YES</x:v>
      </x:c>
      <x:c r="H56" s="38" t="str">
        <x:v>REMOVE</x:v>
      </x:c>
      <x:c r="I56" s="38" t="str">
        <x:v>YES</x:v>
      </x:c>
      <x:c r="J56" s="38" t="str">
        <x:v>KEEP</x:v>
      </x:c>
      <x:c r="K56" s="38" t="str">
        <x:v>REMOVE RICH</x:v>
      </x:c>
      <x:c r="L56" s="38" t="str">
        <x:v>comforting</x:v>
      </x:c>
      <x:c r="M56" s="38" t="str">
        <x:v>Cornmeal cake split and filled with cheese, meats, beans, or other savory fillings.</x:v>
      </x:c>
      <x:c r="N56" s="38" t="str">
        <x:v>Rich — Remove rich: the tag appears broader than what the current catalog description supports. Comforting — The current description supports a hearty, familiar, filling profile where comforting is useful to the recommendation experience.</x:v>
      </x:c>
    </x:row>
    <x:row r="57" ht="56" customHeight="1">
      <x:c r="A57" s="38" t="n">
        <x:v>45</x:v>
      </x:c>
      <x:c r="B57" s="38" t="str">
        <x:v>ceviche</x:v>
      </x:c>
      <x:c r="C57" s="38" t="str">
        <x:v>Ceviche</x:v>
      </x:c>
      <x:c r="D57" s="38" t="str">
        <x:v>latin-america</x:v>
      </x:c>
      <x:c r="E57" s="38" t="str">
        <x:v>grilled-protein</x:v>
      </x:c>
      <x:c r="F57" s="38" t="str">
        <x:v>fresh | tangy</x:v>
      </x:c>
      <x:c r="G57" s="38" t="str">
        <x:v>NO</x:v>
      </x:c>
      <x:c r="H57" s="38" t="str">
        <x:v>NOT TAGGED</x:v>
      </x:c>
      <x:c r="I57" s="38" t="str">
        <x:v>NO</x:v>
      </x:c>
      <x:c r="J57" s="38" t="str">
        <x:v>NOT TAGGED</x:v>
      </x:c>
      <x:c r="K57" s="38" t="str">
        <x:v>KEEP CURRENT</x:v>
      </x:c>
      <x:c r="L57" s="38" t="str">
        <x:v>fresh | tangy</x:v>
      </x:c>
      <x:c r="M57" s="38" t="str">
        <x:v>Peruvian raw fish cured in citrus with onion, chile, and fresh herbs.</x:v>
      </x:c>
      <x:c r="N57" s="38" t="str">
        <x:v>Neither rich nor comforting is currently assigned; no keep/remove action is needed in this audit.</x:v>
      </x:c>
    </x:row>
    <x:row r="58" ht="56" customHeight="1">
      <x:c r="A58" s="38" t="n">
        <x:v>46</x:v>
      </x:c>
      <x:c r="B58" s="38" t="str">
        <x:v>arroz-con-pollo</x:v>
      </x:c>
      <x:c r="C58" s="38" t="str">
        <x:v>Arroz con Pollo</x:v>
      </x:c>
      <x:c r="D58" s="38" t="str">
        <x:v>latin-america</x:v>
      </x:c>
      <x:c r="E58" s="38" t="str">
        <x:v>rice</x:v>
      </x:c>
      <x:c r="F58" s="38" t="str">
        <x:v>comforting | rich</x:v>
      </x:c>
      <x:c r="G58" s="38" t="str">
        <x:v>YES</x:v>
      </x:c>
      <x:c r="H58" s="38" t="str">
        <x:v>REMOVE</x:v>
      </x:c>
      <x:c r="I58" s="38" t="str">
        <x:v>YES</x:v>
      </x:c>
      <x:c r="J58" s="38" t="str">
        <x:v>KEEP</x:v>
      </x:c>
      <x:c r="K58" s="38" t="str">
        <x:v>REMOVE RICH</x:v>
      </x:c>
      <x:c r="L58" s="38" t="str">
        <x:v>comforting</x:v>
      </x:c>
      <x:c r="M58" s="38" t="str">
        <x:v>Latin American chicken and rice cooked together with vegetables, seasonings, and broth.</x:v>
      </x:c>
      <x:c r="N58"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59" ht="56" customHeight="1">
      <x:c r="A59" s="38" t="n">
        <x:v>47</x:v>
      </x:c>
      <x:c r="B59" s="38" t="str">
        <x:v>sancocho</x:v>
      </x:c>
      <x:c r="C59" s="38" t="str">
        <x:v>Sancocho</x:v>
      </x:c>
      <x:c r="D59" s="38" t="str">
        <x:v>latin-america</x:v>
      </x:c>
      <x:c r="E59" s="38" t="str">
        <x:v>soup-broth</x:v>
      </x:c>
      <x:c r="F59" s="38" t="str">
        <x:v>comforting | rich</x:v>
      </x:c>
      <x:c r="G59" s="38" t="str">
        <x:v>YES</x:v>
      </x:c>
      <x:c r="H59" s="38" t="str">
        <x:v>REMOVE</x:v>
      </x:c>
      <x:c r="I59" s="38" t="str">
        <x:v>YES</x:v>
      </x:c>
      <x:c r="J59" s="38" t="str">
        <x:v>KEEP</x:v>
      </x:c>
      <x:c r="K59" s="38" t="str">
        <x:v>REMOVE RICH</x:v>
      </x:c>
      <x:c r="L59" s="38" t="str">
        <x:v>comforting</x:v>
      </x:c>
      <x:c r="M59" s="38" t="str">
        <x:v>Hearty Latin American stew with meat, root vegetables, plantain, corn, and broth.</x:v>
      </x:c>
      <x:c r="N59"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60" ht="56" customHeight="1">
      <x:c r="A60" s="38" t="n">
        <x:v>48</x:v>
      </x:c>
      <x:c r="B60" s="38" t="str">
        <x:v>gumbo</x:v>
      </x:c>
      <x:c r="C60" s="38" t="str">
        <x:v>Gumbo</x:v>
      </x:c>
      <x:c r="D60" s="38" t="str">
        <x:v>north-america</x:v>
      </x:c>
      <x:c r="E60" s="38" t="str">
        <x:v>soup-broth</x:v>
      </x:c>
      <x:c r="F60" s="38" t="str">
        <x:v>rich | spicy</x:v>
      </x:c>
      <x:c r="G60" s="38" t="str">
        <x:v>YES</x:v>
      </x:c>
      <x:c r="H60" s="38" t="str">
        <x:v>KEEP</x:v>
      </x:c>
      <x:c r="I60" s="38" t="str">
        <x:v>NO</x:v>
      </x:c>
      <x:c r="J60" s="38" t="str">
        <x:v>NOT TAGGED</x:v>
      </x:c>
      <x:c r="K60" s="38" t="str">
        <x:v>KEEP CURRENT</x:v>
      </x:c>
      <x:c r="L60" s="38" t="str">
        <x:v>rich | spicy</x:v>
      </x:c>
      <x:c r="M60" s="38" t="str">
        <x:v>Louisiana stew thickened with roux, okra, or filé and filled with meat or seafood.</x:v>
      </x:c>
      <x:c r="N60" s="38" t="str">
        <x:v>Rich — The dish is centered on a dense, concentrated, meat-forward, fried, or thick preparation, so rich is meaningfully descriptive.</x:v>
      </x:c>
    </x:row>
    <x:row r="61" ht="56" customHeight="1">
      <x:c r="A61" s="38" t="n">
        <x:v>49</x:v>
      </x:c>
      <x:c r="B61" s="38" t="str">
        <x:v>smoked-brisket</x:v>
      </x:c>
      <x:c r="C61" s="38" t="str">
        <x:v>Smoked Brisket</x:v>
      </x:c>
      <x:c r="D61" s="38" t="str">
        <x:v>north-america</x:v>
      </x:c>
      <x:c r="E61" s="38" t="str">
        <x:v>grilled-protein</x:v>
      </x:c>
      <x:c r="F61" s="38" t="str">
        <x:v>rich | comforting</x:v>
      </x:c>
      <x:c r="G61" s="38" t="str">
        <x:v>YES</x:v>
      </x:c>
      <x:c r="H61" s="38" t="str">
        <x:v>KEEP</x:v>
      </x:c>
      <x:c r="I61" s="38" t="str">
        <x:v>YES</x:v>
      </x:c>
      <x:c r="J61" s="38" t="str">
        <x:v>REMOVE</x:v>
      </x:c>
      <x:c r="K61" s="38" t="str">
        <x:v>REMOVE COMFORTING</x:v>
      </x:c>
      <x:c r="L61" s="38" t="str">
        <x:v>rich</x:v>
      </x:c>
      <x:c r="M61" s="38" t="str">
        <x:v>Slow-smoked beef brisket with a dark bark, tender interior, and deep wood-smoke flavor.</x:v>
      </x:c>
      <x:c r="N61" s="38" t="str">
        <x:v>Rich — The dish is centered on a dense, concentrated, meat-forward, fried, or thick preparation, so rich is meaningfully descriptive. Comforting — Remove comforting: the label feels subjective and broader than the current catalog description supports.</x:v>
      </x:c>
    </x:row>
    <x:row r="62" ht="56" customHeight="1">
      <x:c r="A62" s="38" t="n">
        <x:v>50</x:v>
      </x:c>
      <x:c r="B62" s="38" t="str">
        <x:v>poke-bowl</x:v>
      </x:c>
      <x:c r="C62" s="38" t="str">
        <x:v>Poke Bowl</x:v>
      </x:c>
      <x:c r="D62" s="38" t="str">
        <x:v>north-america</x:v>
      </x:c>
      <x:c r="E62" s="38" t="str">
        <x:v>rice</x:v>
      </x:c>
      <x:c r="F62" s="38" t="str">
        <x:v>fresh | tangy</x:v>
      </x:c>
      <x:c r="G62" s="38" t="str">
        <x:v>NO</x:v>
      </x:c>
      <x:c r="H62" s="38" t="str">
        <x:v>NOT TAGGED</x:v>
      </x:c>
      <x:c r="I62" s="38" t="str">
        <x:v>NO</x:v>
      </x:c>
      <x:c r="J62" s="38" t="str">
        <x:v>NOT TAGGED</x:v>
      </x:c>
      <x:c r="K62" s="38" t="str">
        <x:v>KEEP CURRENT</x:v>
      </x:c>
      <x:c r="L62" s="38" t="str">
        <x:v>fresh | tangy</x:v>
      </x:c>
      <x:c r="M62" s="38" t="str">
        <x:v>Hawaiian-style rice bowl topped with seasoned raw fish, vegetables, and fresh garnishes.</x:v>
      </x:c>
      <x:c r="N62" s="38" t="str">
        <x:v>Neither rich nor comforting is currently assigned; no keep/remove action is needed in this audit.</x:v>
      </x:c>
    </x:row>
    <x:row r="63" ht="56" customHeight="1">
      <x:c r="A63" s="38" t="n">
        <x:v>51</x:v>
      </x:c>
      <x:c r="B63" s="38" t="str">
        <x:v>nasi-goreng</x:v>
      </x:c>
      <x:c r="C63" s="38" t="str">
        <x:v>Nasi Goreng</x:v>
      </x:c>
      <x:c r="D63" s="38" t="str">
        <x:v>southeast-asia</x:v>
      </x:c>
      <x:c r="E63" s="38" t="str">
        <x:v>rice</x:v>
      </x:c>
      <x:c r="F63" s="38" t="str">
        <x:v>comforting | rich</x:v>
      </x:c>
      <x:c r="G63" s="38" t="str">
        <x:v>YES</x:v>
      </x:c>
      <x:c r="H63" s="38" t="str">
        <x:v>REMOVE</x:v>
      </x:c>
      <x:c r="I63" s="38" t="str">
        <x:v>YES</x:v>
      </x:c>
      <x:c r="J63" s="38" t="str">
        <x:v>KEEP</x:v>
      </x:c>
      <x:c r="K63" s="38" t="str">
        <x:v>REMOVE RICH</x:v>
      </x:c>
      <x:c r="L63" s="38" t="str">
        <x:v>comforting</x:v>
      </x:c>
      <x:c r="M63" s="38" t="str">
        <x:v>Indonesian fried rice seasoned with sweet soy, aromatics, and savory toppings.</x:v>
      </x:c>
      <x:c r="N63"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64" ht="56" customHeight="1">
      <x:c r="A64" s="38" t="n">
        <x:v>52</x:v>
      </x:c>
      <x:c r="B64" s="38" t="str">
        <x:v>chicken-adobo</x:v>
      </x:c>
      <x:c r="C64" s="38" t="str">
        <x:v>Chicken Adobo</x:v>
      </x:c>
      <x:c r="D64" s="38" t="str">
        <x:v>southeast-asia</x:v>
      </x:c>
      <x:c r="E64" s="38" t="str">
        <x:v>grilled-protein</x:v>
      </x:c>
      <x:c r="F64" s="38" t="str">
        <x:v>comforting | tangy</x:v>
      </x:c>
      <x:c r="G64" s="38" t="str">
        <x:v>NO</x:v>
      </x:c>
      <x:c r="H64" s="38" t="str">
        <x:v>NOT TAGGED</x:v>
      </x:c>
      <x:c r="I64" s="38" t="str">
        <x:v>YES</x:v>
      </x:c>
      <x:c r="J64" s="38" t="str">
        <x:v>KEEP</x:v>
      </x:c>
      <x:c r="K64" s="38" t="str">
        <x:v>KEEP CURRENT</x:v>
      </x:c>
      <x:c r="L64" s="38" t="str">
        <x:v>comforting | tangy</x:v>
      </x:c>
      <x:c r="M64" s="38" t="str">
        <x:v>Filipino chicken braised with vinegar, soy sauce, garlic, peppercorns, and bay leaves.</x:v>
      </x:c>
      <x:c r="N64" s="38" t="str">
        <x:v>Comforting — The warm, soft, starchy, brothy, braised, or slow-cooked format makes comforting a defining eating experience rather than a catch-all tag.</x:v>
      </x:c>
    </x:row>
    <x:row r="65" ht="56" customHeight="1">
      <x:c r="A65" s="38" t="n">
        <x:v>53</x:v>
      </x:c>
      <x:c r="B65" s="38" t="str">
        <x:v>satay</x:v>
      </x:c>
      <x:c r="C65" s="38" t="str">
        <x:v>Satay</x:v>
      </x:c>
      <x:c r="D65" s="38" t="str">
        <x:v>southeast-asia</x:v>
      </x:c>
      <x:c r="E65" s="38" t="str">
        <x:v>grilled-protein</x:v>
      </x:c>
      <x:c r="F65" s="38" t="str">
        <x:v>rich | spicy</x:v>
      </x:c>
      <x:c r="G65" s="38" t="str">
        <x:v>YES</x:v>
      </x:c>
      <x:c r="H65" s="38" t="str">
        <x:v>KEEP</x:v>
      </x:c>
      <x:c r="I65" s="38" t="str">
        <x:v>NO</x:v>
      </x:c>
      <x:c r="J65" s="38" t="str">
        <x:v>NOT TAGGED</x:v>
      </x:c>
      <x:c r="K65" s="38" t="str">
        <x:v>KEEP CURRENT</x:v>
      </x:c>
      <x:c r="L65" s="38" t="str">
        <x:v>rich | spicy</x:v>
      </x:c>
      <x:c r="M65" s="38" t="str">
        <x:v>Southeast Asian skewered meat grilled over high heat and often served with peanut sauce.</x:v>
      </x:c>
      <x:c r="N65" s="38" t="str">
        <x:v>Rich — Richness is supported by a creamy, fatty, nutty, coconut, cheese, or similarly dense component in the current catalog description.</x:v>
      </x:c>
    </x:row>
    <x:row r="66" ht="56" customHeight="1">
      <x:c r="A66" s="38" t="n">
        <x:v>54</x:v>
      </x:c>
      <x:c r="B66" s="38" t="str">
        <x:v>laksa</x:v>
      </x:c>
      <x:c r="C66" s="38" t="str">
        <x:v>Laksa</x:v>
      </x:c>
      <x:c r="D66" s="38" t="str">
        <x:v>southeast-asia</x:v>
      </x:c>
      <x:c r="E66" s="38" t="str">
        <x:v>soup-broth</x:v>
      </x:c>
      <x:c r="F66" s="38" t="str">
        <x:v>spicy | rich</x:v>
      </x:c>
      <x:c r="G66" s="38" t="str">
        <x:v>YES</x:v>
      </x:c>
      <x:c r="H66" s="38" t="str">
        <x:v>REMOVE</x:v>
      </x:c>
      <x:c r="I66" s="38" t="str">
        <x:v>NO</x:v>
      </x:c>
      <x:c r="J66" s="38" t="str">
        <x:v>NOT TAGGED</x:v>
      </x:c>
      <x:c r="K66" s="38" t="str">
        <x:v>REMOVE RICH</x:v>
      </x:c>
      <x:c r="L66" s="38" t="str">
        <x:v>spicy</x:v>
      </x:c>
      <x:c r="M66" s="38" t="str">
        <x:v>Southeast Asian noodle soup with a spicy, aromatic broth and varied regional toppings.</x:v>
      </x:c>
      <x:c r="N66" s="38" t="str">
        <x:v>Rich — Remove rich: the current description is more specifically defined by its other preference flavor(s), while 'rich' reads as a generic extra label.</x:v>
      </x:c>
    </x:row>
    <x:row r="67" ht="56" customHeight="1">
      <x:c r="A67" s="38" t="n">
        <x:v>55</x:v>
      </x:c>
      <x:c r="B67" s="38" t="str">
        <x:v>banh-mi</x:v>
      </x:c>
      <x:c r="C67" s="38" t="str">
        <x:v>Bánh Mì</x:v>
      </x:c>
      <x:c r="D67" s="38" t="str">
        <x:v>southeast-asia</x:v>
      </x:c>
      <x:c r="E67" s="38" t="str">
        <x:v>handheld</x:v>
      </x:c>
      <x:c r="F67" s="38" t="str">
        <x:v>fresh | crispy | tangy</x:v>
      </x:c>
      <x:c r="G67" s="38" t="str">
        <x:v>NO</x:v>
      </x:c>
      <x:c r="H67" s="38" t="str">
        <x:v>NOT TAGGED</x:v>
      </x:c>
      <x:c r="I67" s="38" t="str">
        <x:v>NO</x:v>
      </x:c>
      <x:c r="J67" s="38" t="str">
        <x:v>NOT TAGGED</x:v>
      </x:c>
      <x:c r="K67" s="38" t="str">
        <x:v>KEEP CURRENT</x:v>
      </x:c>
      <x:c r="L67" s="38" t="str">
        <x:v>fresh | crispy | tangy</x:v>
      </x:c>
      <x:c r="M67" s="38" t="str">
        <x:v>Vietnamese baguette sandwich layered with savory fillings, pickles, herbs, and chile.</x:v>
      </x:c>
      <x:c r="N67" s="38" t="str">
        <x:v>Neither rich nor comforting is currently assigned; no keep/remove action is needed in this audit.</x:v>
      </x:c>
    </x:row>
    <x:row r="68" ht="56" customHeight="1">
      <x:c r="A68" s="38" t="n">
        <x:v>56</x:v>
      </x:c>
      <x:c r="B68" s="38" t="str">
        <x:v>sinigang</x:v>
      </x:c>
      <x:c r="C68" s="38" t="str">
        <x:v>Sinigang</x:v>
      </x:c>
      <x:c r="D68" s="38" t="str">
        <x:v>southeast-asia</x:v>
      </x:c>
      <x:c r="E68" s="38" t="str">
        <x:v>soup-broth</x:v>
      </x:c>
      <x:c r="F68" s="38" t="str">
        <x:v>tangy | comforting</x:v>
      </x:c>
      <x:c r="G68" s="38" t="str">
        <x:v>NO</x:v>
      </x:c>
      <x:c r="H68" s="38" t="str">
        <x:v>NOT TAGGED</x:v>
      </x:c>
      <x:c r="I68" s="38" t="str">
        <x:v>YES</x:v>
      </x:c>
      <x:c r="J68" s="38" t="str">
        <x:v>KEEP</x:v>
      </x:c>
      <x:c r="K68" s="38" t="str">
        <x:v>KEEP CURRENT</x:v>
      </x:c>
      <x:c r="L68" s="38" t="str">
        <x:v>tangy | comforting</x:v>
      </x:c>
      <x:c r="M68" s="38" t="str">
        <x:v>Filipino sour soup with meat or seafood, vegetables, and a bright tamarind-forward broth.</x:v>
      </x:c>
      <x:c r="N68" s="38" t="str">
        <x:v>Comforting — The warm, soft, starchy, brothy, braised, or slow-cooked format makes comforting a defining eating experience rather than a catch-all tag.</x:v>
      </x:c>
    </x:row>
    <x:row r="69" ht="56" customHeight="1">
      <x:c r="A69" s="38" t="n">
        <x:v>57</x:v>
      </x:c>
      <x:c r="B69" s="38" t="str">
        <x:v>gyoza</x:v>
      </x:c>
      <x:c r="C69" s="38" t="str">
        <x:v>Gyoza</x:v>
      </x:c>
      <x:c r="D69" s="38" t="str">
        <x:v>east-asia</x:v>
      </x:c>
      <x:c r="E69" s="38" t="str">
        <x:v>handheld</x:v>
      </x:c>
      <x:c r="F69" s="38" t="str">
        <x:v>crispy | comforting</x:v>
      </x:c>
      <x:c r="G69" s="38" t="str">
        <x:v>NO</x:v>
      </x:c>
      <x:c r="H69" s="38" t="str">
        <x:v>NOT TAGGED</x:v>
      </x:c>
      <x:c r="I69" s="38" t="str">
        <x:v>YES</x:v>
      </x:c>
      <x:c r="J69" s="38" t="str">
        <x:v>REMOVE</x:v>
      </x:c>
      <x:c r="K69" s="38" t="str">
        <x:v>REMOVE COMFORTING</x:v>
      </x:c>
      <x:c r="L69" s="38" t="str">
        <x:v>crispy</x:v>
      </x:c>
      <x:c r="M69" s="38" t="str">
        <x:v>Japanese dumplings filled with meat and vegetables, often pan-fried for a crisp base.</x:v>
      </x:c>
      <x:c r="N69" s="38" t="str">
        <x:v>Comforting — Remove comforting: the dish is better distinguished by its sharper current preference flavor(s); comfort adds little discriminatory value.</x:v>
      </x:c>
    </x:row>
    <x:row r="70" ht="56" customHeight="1">
      <x:c r="A70" s="38" t="n">
        <x:v>58</x:v>
      </x:c>
      <x:c r="B70" s="38" t="str">
        <x:v>tonkatsu</x:v>
      </x:c>
      <x:c r="C70" s="38" t="str">
        <x:v>Tonkatsu</x:v>
      </x:c>
      <x:c r="D70" s="38" t="str">
        <x:v>east-asia</x:v>
      </x:c>
      <x:c r="E70" s="38" t="str">
        <x:v>grilled-protein</x:v>
      </x:c>
      <x:c r="F70" s="38" t="str">
        <x:v>crispy | comforting</x:v>
      </x:c>
      <x:c r="G70" s="38" t="str">
        <x:v>NO</x:v>
      </x:c>
      <x:c r="H70" s="38" t="str">
        <x:v>NOT TAGGED</x:v>
      </x:c>
      <x:c r="I70" s="38" t="str">
        <x:v>YES</x:v>
      </x:c>
      <x:c r="J70" s="38" t="str">
        <x:v>KEEP</x:v>
      </x:c>
      <x:c r="K70" s="38" t="str">
        <x:v>KEEP CURRENT</x:v>
      </x:c>
      <x:c r="L70" s="38" t="str">
        <x:v>crispy | comforting</x:v>
      </x:c>
      <x:c r="M70" s="38" t="str">
        <x:v>Japanese breaded pork cutlet fried until crisp and served with shredded cabbage and sauce.</x:v>
      </x:c>
      <x:c r="N70" s="38" t="str">
        <x:v>Comforting — Comforting is still defensible from the dish's warm, familiar, substantial format and adds useful mood-level signal.</x:v>
      </x:c>
    </x:row>
    <x:row r="71" ht="56" customHeight="1">
      <x:c r="A71" s="38" t="n">
        <x:v>59</x:v>
      </x:c>
      <x:c r="B71" s="38" t="str">
        <x:v>congee</x:v>
      </x:c>
      <x:c r="C71" s="38" t="str">
        <x:v>Congee</x:v>
      </x:c>
      <x:c r="D71" s="38" t="str">
        <x:v>east-asia</x:v>
      </x:c>
      <x:c r="E71" s="38" t="str">
        <x:v>rice</x:v>
      </x:c>
      <x:c r="F71" s="38" t="str">
        <x:v>comforting | fresh</x:v>
      </x:c>
      <x:c r="G71" s="38" t="str">
        <x:v>NO</x:v>
      </x:c>
      <x:c r="H71" s="38" t="str">
        <x:v>NOT TAGGED</x:v>
      </x:c>
      <x:c r="I71" s="38" t="str">
        <x:v>YES</x:v>
      </x:c>
      <x:c r="J71" s="38" t="str">
        <x:v>KEEP</x:v>
      </x:c>
      <x:c r="K71" s="38" t="str">
        <x:v>KEEP CURRENT</x:v>
      </x:c>
      <x:c r="L71" s="38" t="str">
        <x:v>comforting | fresh</x:v>
      </x:c>
      <x:c r="M71" s="38" t="str">
        <x:v>Soft rice porridge served plain or topped with savory meats, eggs, herbs, and condiments.</x:v>
      </x:c>
      <x:c r="N71" s="38" t="str">
        <x:v>Comforting — The warm, soft, starchy, brothy, braised, or slow-cooked format makes comforting a defining eating experience rather than a catch-all tag.</x:v>
      </x:c>
    </x:row>
    <x:row r="72" ht="56" customHeight="1">
      <x:c r="A72" s="38" t="n">
        <x:v>60</x:v>
      </x:c>
      <x:c r="B72" s="38" t="str">
        <x:v>samosa</x:v>
      </x:c>
      <x:c r="C72" s="38" t="str">
        <x:v>Samosa</x:v>
      </x:c>
      <x:c r="D72" s="38" t="str">
        <x:v>south-asia</x:v>
      </x:c>
      <x:c r="E72" s="38" t="str">
        <x:v>handheld</x:v>
      </x:c>
      <x:c r="F72" s="38" t="str">
        <x:v>crispy | spicy</x:v>
      </x:c>
      <x:c r="G72" s="38" t="str">
        <x:v>NO</x:v>
      </x:c>
      <x:c r="H72" s="38" t="str">
        <x:v>NOT TAGGED</x:v>
      </x:c>
      <x:c r="I72" s="38" t="str">
        <x:v>NO</x:v>
      </x:c>
      <x:c r="J72" s="38" t="str">
        <x:v>NOT TAGGED</x:v>
      </x:c>
      <x:c r="K72" s="38" t="str">
        <x:v>KEEP CURRENT</x:v>
      </x:c>
      <x:c r="L72" s="38" t="str">
        <x:v>crispy | spicy</x:v>
      </x:c>
      <x:c r="M72" s="38" t="str">
        <x:v>Crisp South Asian pastry filled with spiced potato, peas, meat, or other savory fillings.</x:v>
      </x:c>
      <x:c r="N72" s="38" t="str">
        <x:v>Neither rich nor comforting is currently assigned; no keep/remove action is needed in this audit.</x:v>
      </x:c>
    </x:row>
    <x:row r="73" ht="56" customHeight="1">
      <x:c r="A73" s="38" t="n">
        <x:v>61</x:v>
      </x:c>
      <x:c r="B73" s="38" t="str">
        <x:v>tandoori-chicken</x:v>
      </x:c>
      <x:c r="C73" s="38" t="str">
        <x:v>Tandoori Chicken</x:v>
      </x:c>
      <x:c r="D73" s="38" t="str">
        <x:v>south-asia</x:v>
      </x:c>
      <x:c r="E73" s="38" t="str">
        <x:v>grilled-protein</x:v>
      </x:c>
      <x:c r="F73" s="38" t="str">
        <x:v>spicy | rich</x:v>
      </x:c>
      <x:c r="G73" s="38" t="str">
        <x:v>YES</x:v>
      </x:c>
      <x:c r="H73" s="38" t="str">
        <x:v>REMOVE</x:v>
      </x:c>
      <x:c r="I73" s="38" t="str">
        <x:v>NO</x:v>
      </x:c>
      <x:c r="J73" s="38" t="str">
        <x:v>NOT TAGGED</x:v>
      </x:c>
      <x:c r="K73" s="38" t="str">
        <x:v>REMOVE RICH</x:v>
      </x:c>
      <x:c r="L73" s="38" t="str">
        <x:v>spicy</x:v>
      </x:c>
      <x:c r="M73" s="38" t="str">
        <x:v>Yogurt-and-spice marinated chicken roasted at high heat in a tandoor.</x:v>
      </x:c>
      <x:c r="N73" s="38" t="str">
        <x:v>Rich — Remove rich: the current description is more specifically defined by its other preference flavor(s), while 'rich' reads as a generic extra label.</x:v>
      </x:c>
    </x:row>
    <x:row r="74" ht="56" customHeight="1">
      <x:c r="A74" s="38" t="n">
        <x:v>62</x:v>
      </x:c>
      <x:c r="B74" s="38" t="str">
        <x:v>idiyappam</x:v>
      </x:c>
      <x:c r="C74" s="38" t="str">
        <x:v>Idiyappam</x:v>
      </x:c>
      <x:c r="D74" s="38" t="str">
        <x:v>south-asia</x:v>
      </x:c>
      <x:c r="E74" s="38" t="str">
        <x:v>noodle</x:v>
      </x:c>
      <x:c r="F74" s="38" t="str">
        <x:v>comforting | fresh</x:v>
      </x:c>
      <x:c r="G74" s="38" t="str">
        <x:v>NO</x:v>
      </x:c>
      <x:c r="H74" s="38" t="str">
        <x:v>NOT TAGGED</x:v>
      </x:c>
      <x:c r="I74" s="38" t="str">
        <x:v>YES</x:v>
      </x:c>
      <x:c r="J74" s="38" t="str">
        <x:v>KEEP</x:v>
      </x:c>
      <x:c r="K74" s="38" t="str">
        <x:v>KEEP CURRENT</x:v>
      </x:c>
      <x:c r="L74" s="38" t="str">
        <x:v>comforting | fresh</x:v>
      </x:c>
      <x:c r="M74" s="38" t="str">
        <x:v>Steamed rice-flour noodle nests served with curries, coconut milk, or savory accompaniments.</x:v>
      </x:c>
      <x:c r="N74" s="38" t="str">
        <x:v>Comforting — The warm, soft, starchy, brothy, braised, or slow-cooked format makes comforting a defining eating experience rather than a catch-all tag.</x:v>
      </x:c>
    </x:row>
    <x:row r="75" ht="56" customHeight="1">
      <x:c r="A75" s="38" t="n">
        <x:v>63</x:v>
      </x:c>
      <x:c r="B75" s="38" t="str">
        <x:v>falafel</x:v>
      </x:c>
      <x:c r="C75" s="38" t="str">
        <x:v>Falafel</x:v>
      </x:c>
      <x:c r="D75" s="38" t="str">
        <x:v>middle-east</x:v>
      </x:c>
      <x:c r="E75" s="38" t="str">
        <x:v>handheld</x:v>
      </x:c>
      <x:c r="F75" s="38" t="str">
        <x:v>crispy | fresh</x:v>
      </x:c>
      <x:c r="G75" s="38" t="str">
        <x:v>NO</x:v>
      </x:c>
      <x:c r="H75" s="38" t="str">
        <x:v>NOT TAGGED</x:v>
      </x:c>
      <x:c r="I75" s="38" t="str">
        <x:v>NO</x:v>
      </x:c>
      <x:c r="J75" s="38" t="str">
        <x:v>NOT TAGGED</x:v>
      </x:c>
      <x:c r="K75" s="38" t="str">
        <x:v>KEEP CURRENT</x:v>
      </x:c>
      <x:c r="L75" s="38" t="str">
        <x:v>crispy | fresh</x:v>
      </x:c>
      <x:c r="M75" s="38" t="str">
        <x:v>Fried chickpea or fava-bean patties served in flatbread with vegetables, herbs, and sauces.</x:v>
      </x:c>
      <x:c r="N75" s="38" t="str">
        <x:v>Neither rich nor comforting is currently assigned; no keep/remove action is needed in this audit.</x:v>
      </x:c>
    </x:row>
    <x:row r="76" ht="56" customHeight="1">
      <x:c r="A76" s="38" t="n">
        <x:v>64</x:v>
      </x:c>
      <x:c r="B76" s="38" t="str">
        <x:v>kabab-koobideh</x:v>
      </x:c>
      <x:c r="C76" s="38" t="str">
        <x:v>Kabab Koobideh</x:v>
      </x:c>
      <x:c r="D76" s="38" t="str">
        <x:v>middle-east</x:v>
      </x:c>
      <x:c r="E76" s="38" t="str">
        <x:v>grilled-protein</x:v>
      </x:c>
      <x:c r="F76" s="38" t="str">
        <x:v>rich | comforting</x:v>
      </x:c>
      <x:c r="G76" s="38" t="str">
        <x:v>YES</x:v>
      </x:c>
      <x:c r="H76" s="38" t="str">
        <x:v>KEEP</x:v>
      </x:c>
      <x:c r="I76" s="38" t="str">
        <x:v>YES</x:v>
      </x:c>
      <x:c r="J76" s="38" t="str">
        <x:v>REMOVE</x:v>
      </x:c>
      <x:c r="K76" s="38" t="str">
        <x:v>REMOVE COMFORTING</x:v>
      </x:c>
      <x:c r="L76" s="38" t="str">
        <x:v>rich</x:v>
      </x:c>
      <x:c r="M76" s="38" t="str">
        <x:v>Iranian ground-meat kebab seasoned with onion and grilled on wide skewers.</x:v>
      </x:c>
      <x:c r="N76" s="38" t="str">
        <x:v>Rich — The dish is centered on a dense, concentrated, meat-forward, fried, or thick preparation, so rich is meaningfully descriptive. Comforting — Remove comforting: the current description is primarily grilled, crisp, fresh, or portable rather than inherently cozy or soothing.</x:v>
      </x:c>
    </x:row>
    <x:row r="77" ht="56" customHeight="1">
      <x:c r="A77" s="38" t="n">
        <x:v>65</x:v>
      </x:c>
      <x:c r="B77" s="38" t="str">
        <x:v>mujadara</x:v>
      </x:c>
      <x:c r="C77" s="38" t="str">
        <x:v>Mujadara</x:v>
      </x:c>
      <x:c r="D77" s="38" t="str">
        <x:v>middle-east</x:v>
      </x:c>
      <x:c r="E77" s="38" t="str">
        <x:v>rice</x:v>
      </x:c>
      <x:c r="F77" s="38" t="str">
        <x:v>comforting | fresh</x:v>
      </x:c>
      <x:c r="G77" s="38" t="str">
        <x:v>NO</x:v>
      </x:c>
      <x:c r="H77" s="38" t="str">
        <x:v>NOT TAGGED</x:v>
      </x:c>
      <x:c r="I77" s="38" t="str">
        <x:v>YES</x:v>
      </x:c>
      <x:c r="J77" s="38" t="str">
        <x:v>KEEP</x:v>
      </x:c>
      <x:c r="K77" s="38" t="str">
        <x:v>KEEP CURRENT</x:v>
      </x:c>
      <x:c r="L77" s="38" t="str">
        <x:v>comforting | fresh</x:v>
      </x:c>
      <x:c r="M77" s="38" t="str">
        <x:v>Levantine lentils and rice topped with deeply browned onions.</x:v>
      </x:c>
      <x:c r="N77" s="38" t="str">
        <x:v>Comforting — The warm, soft, starchy, brothy, braised, or slow-cooked format makes comforting a defining eating experience rather than a catch-all tag.</x:v>
      </x:c>
    </x:row>
    <x:row r="78" ht="56" customHeight="1">
      <x:c r="A78" s="38" t="n">
        <x:v>66</x:v>
      </x:c>
      <x:c r="B78" s="38" t="str">
        <x:v>bunny-chow</x:v>
      </x:c>
      <x:c r="C78" s="38" t="str">
        <x:v>Bunny Chow</x:v>
      </x:c>
      <x:c r="D78" s="38" t="str">
        <x:v>africa</x:v>
      </x:c>
      <x:c r="E78" s="38" t="str">
        <x:v>handheld</x:v>
      </x:c>
      <x:c r="F78" s="38" t="str">
        <x:v>spicy | rich</x:v>
      </x:c>
      <x:c r="G78" s="38" t="str">
        <x:v>YES</x:v>
      </x:c>
      <x:c r="H78" s="38" t="str">
        <x:v>KEEP</x:v>
      </x:c>
      <x:c r="I78" s="38" t="str">
        <x:v>NO</x:v>
      </x:c>
      <x:c r="J78" s="38" t="str">
        <x:v>NOT TAGGED</x:v>
      </x:c>
      <x:c r="K78" s="38" t="str">
        <x:v>KEEP CURRENT</x:v>
      </x:c>
      <x:c r="L78" s="38" t="str">
        <x:v>spicy | rich</x:v>
      </x:c>
      <x:c r="M78" s="38" t="str">
        <x:v>South African hollowed bread loaf filled with a rich, spiced curry.</x:v>
      </x:c>
      <x:c r="N78" s="38" t="str">
        <x:v>Rich — The current description presents a full-bodied, substantial preparation where rich adds useful recommendation signal.</x:v>
      </x:c>
    </x:row>
    <x:row r="79" ht="56" customHeight="1">
      <x:c r="A79" s="38" t="n">
        <x:v>67</x:v>
      </x:c>
      <x:c r="B79" s="38" t="str">
        <x:v>bobotie</x:v>
      </x:c>
      <x:c r="C79" s="38" t="str">
        <x:v>Bobotie</x:v>
      </x:c>
      <x:c r="D79" s="38" t="str">
        <x:v>africa</x:v>
      </x:c>
      <x:c r="E79" s="38" t="str">
        <x:v>grilled-protein</x:v>
      </x:c>
      <x:c r="F79" s="38" t="str">
        <x:v>rich | comforting</x:v>
      </x:c>
      <x:c r="G79" s="38" t="str">
        <x:v>YES</x:v>
      </x:c>
      <x:c r="H79" s="38" t="str">
        <x:v>KEEP</x:v>
      </x:c>
      <x:c r="I79" s="38" t="str">
        <x:v>YES</x:v>
      </x:c>
      <x:c r="J79" s="38" t="str">
        <x:v>KEEP</x:v>
      </x:c>
      <x:c r="K79" s="38" t="str">
        <x:v>KEEP CURRENT</x:v>
      </x:c>
      <x:c r="L79" s="38" t="str">
        <x:v>rich | comforting</x:v>
      </x:c>
      <x:c r="M79" s="38" t="str">
        <x:v>South African spiced minced-meat bake topped with a savory egg custard.</x:v>
      </x:c>
      <x:c r="N79" s="38" t="str">
        <x:v>Rich — Richness is supported by a creamy, fatty, nutty, coconut, cheese, or similarly dense component in the current catalog description. Comforting — Comforting is still defensible from the dish's warm, familiar, substantial format and adds useful mood-level signal.</x:v>
      </x:c>
    </x:row>
    <x:row r="80" ht="56" customHeight="1">
      <x:c r="A80" s="38" t="n">
        <x:v>68</x:v>
      </x:c>
      <x:c r="B80" s="38" t="str">
        <x:v>egusi-soup</x:v>
      </x:c>
      <x:c r="C80" s="38" t="str">
        <x:v>Egusi Soup</x:v>
      </x:c>
      <x:c r="D80" s="38" t="str">
        <x:v>africa</x:v>
      </x:c>
      <x:c r="E80" s="38" t="str">
        <x:v>soup-broth</x:v>
      </x:c>
      <x:c r="F80" s="38" t="str">
        <x:v>rich | spicy</x:v>
      </x:c>
      <x:c r="G80" s="38" t="str">
        <x:v>YES</x:v>
      </x:c>
      <x:c r="H80" s="38" t="str">
        <x:v>KEEP</x:v>
      </x:c>
      <x:c r="I80" s="38" t="str">
        <x:v>NO</x:v>
      </x:c>
      <x:c r="J80" s="38" t="str">
        <x:v>NOT TAGGED</x:v>
      </x:c>
      <x:c r="K80" s="38" t="str">
        <x:v>KEEP CURRENT</x:v>
      </x:c>
      <x:c r="L80" s="38" t="str">
        <x:v>rich | spicy</x:v>
      </x:c>
      <x:c r="M80" s="38" t="str">
        <x:v>West African soup thickened with ground melon seeds and cooked with greens, meat, or fish.</x:v>
      </x:c>
      <x:c r="N80" s="38" t="str">
        <x:v>Rich — Richness is supported by a creamy, fatty, nutty, coconut, cheese, or similarly dense component in the current catalog description.</x:v>
      </x:c>
    </x:row>
    <x:row r="81" ht="56" customHeight="1">
      <x:c r="A81" s="38" t="n">
        <x:v>69</x:v>
      </x:c>
      <x:c r="B81" s="38" t="str">
        <x:v>risotto</x:v>
      </x:c>
      <x:c r="C81" s="38" t="str">
        <x:v>Risotto</x:v>
      </x:c>
      <x:c r="D81" s="38" t="str">
        <x:v>europe</x:v>
      </x:c>
      <x:c r="E81" s="38" t="str">
        <x:v>rice</x:v>
      </x:c>
      <x:c r="F81" s="38" t="str">
        <x:v>rich | comforting</x:v>
      </x:c>
      <x:c r="G81" s="38" t="str">
        <x:v>YES</x:v>
      </x:c>
      <x:c r="H81" s="38" t="str">
        <x:v>KEEP</x:v>
      </x:c>
      <x:c r="I81" s="38" t="str">
        <x:v>YES</x:v>
      </x:c>
      <x:c r="J81" s="38" t="str">
        <x:v>KEEP</x:v>
      </x:c>
      <x:c r="K81" s="38" t="str">
        <x:v>KEEP CURRENT</x:v>
      </x:c>
      <x:c r="L81" s="38" t="str">
        <x:v>rich | comforting</x:v>
      </x:c>
      <x:c r="M81" s="38" t="str">
        <x:v>Italian short-grain rice cooked gradually with stock until creamy while the grains stay firm.</x:v>
      </x:c>
      <x:c r="N81"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82" ht="56" customHeight="1">
      <x:c r="A82" s="38" t="n">
        <x:v>70</x:v>
      </x:c>
      <x:c r="B82" s="38" t="str">
        <x:v>arancini</x:v>
      </x:c>
      <x:c r="C82" s="38" t="str">
        <x:v>Arancini</x:v>
      </x:c>
      <x:c r="D82" s="38" t="str">
        <x:v>europe</x:v>
      </x:c>
      <x:c r="E82" s="38" t="str">
        <x:v>handheld</x:v>
      </x:c>
      <x:c r="F82" s="38" t="str">
        <x:v>crispy | rich</x:v>
      </x:c>
      <x:c r="G82" s="38" t="str">
        <x:v>YES</x:v>
      </x:c>
      <x:c r="H82" s="38" t="str">
        <x:v>KEEP</x:v>
      </x:c>
      <x:c r="I82" s="38" t="str">
        <x:v>NO</x:v>
      </x:c>
      <x:c r="J82" s="38" t="str">
        <x:v>NOT TAGGED</x:v>
      </x:c>
      <x:c r="K82" s="38" t="str">
        <x:v>KEEP CURRENT</x:v>
      </x:c>
      <x:c r="L82" s="38" t="str">
        <x:v>crispy | rich</x:v>
      </x:c>
      <x:c r="M82" s="38" t="str">
        <x:v>Sicilian stuffed rice balls breaded and fried until crisp.</x:v>
      </x:c>
      <x:c r="N82" s="38" t="str">
        <x:v>Rich — Richness is supported by a creamy, fatty, nutty, coconut, cheese, or similarly dense component in the current catalog description.</x:v>
      </x:c>
    </x:row>
    <x:row r="83" ht="56" customHeight="1">
      <x:c r="A83" s="38" t="n">
        <x:v>71</x:v>
      </x:c>
      <x:c r="B83" s="38" t="str">
        <x:v>schnitzel</x:v>
      </x:c>
      <x:c r="C83" s="38" t="str">
        <x:v>Schnitzel</x:v>
      </x:c>
      <x:c r="D83" s="38" t="str">
        <x:v>europe</x:v>
      </x:c>
      <x:c r="E83" s="38" t="str">
        <x:v>grilled-protein</x:v>
      </x:c>
      <x:c r="F83" s="38" t="str">
        <x:v>crispy | comforting</x:v>
      </x:c>
      <x:c r="G83" s="38" t="str">
        <x:v>NO</x:v>
      </x:c>
      <x:c r="H83" s="38" t="str">
        <x:v>NOT TAGGED</x:v>
      </x:c>
      <x:c r="I83" s="38" t="str">
        <x:v>YES</x:v>
      </x:c>
      <x:c r="J83" s="38" t="str">
        <x:v>KEEP</x:v>
      </x:c>
      <x:c r="K83" s="38" t="str">
        <x:v>KEEP CURRENT</x:v>
      </x:c>
      <x:c r="L83" s="38" t="str">
        <x:v>crispy | comforting</x:v>
      </x:c>
      <x:c r="M83" s="38" t="str">
        <x:v>Thin breaded cutlet fried until golden and crisp, strongly associated with Austrian cuisine.</x:v>
      </x:c>
      <x:c r="N83" s="38" t="str">
        <x:v>Comforting — Comforting is still defensible from the dish's warm, familiar, substantial format and adds useful mood-level signal.</x:v>
      </x:c>
    </x:row>
    <x:row r="84" ht="56" customHeight="1">
      <x:c r="A84" s="38" t="n">
        <x:v>72</x:v>
      </x:c>
      <x:c r="B84" s="38" t="str">
        <x:v>empanadas</x:v>
      </x:c>
      <x:c r="C84" s="38" t="str">
        <x:v>Empanadas</x:v>
      </x:c>
      <x:c r="D84" s="38" t="str">
        <x:v>latin-america</x:v>
      </x:c>
      <x:c r="E84" s="38" t="str">
        <x:v>handheld</x:v>
      </x:c>
      <x:c r="F84" s="38" t="str">
        <x:v>crispy | comforting</x:v>
      </x:c>
      <x:c r="G84" s="38" t="str">
        <x:v>NO</x:v>
      </x:c>
      <x:c r="H84" s="38" t="str">
        <x:v>NOT TAGGED</x:v>
      </x:c>
      <x:c r="I84" s="38" t="str">
        <x:v>YES</x:v>
      </x:c>
      <x:c r="J84" s="38" t="str">
        <x:v>REMOVE</x:v>
      </x:c>
      <x:c r="K84" s="38" t="str">
        <x:v>REMOVE COMFORTING</x:v>
      </x:c>
      <x:c r="L84" s="38" t="str">
        <x:v>crispy</x:v>
      </x:c>
      <x:c r="M84" s="38" t="str">
        <x:v>Filled pastries baked or fried with meat, cheese, vegetables, or other regional fillings.</x:v>
      </x:c>
      <x:c r="N84" s="38" t="str">
        <x:v>Comforting — Remove comforting: the dish is better distinguished by its sharper current preference flavor(s); comfort adds little discriminatory value.</x:v>
      </x:c>
    </x:row>
    <x:row r="85" ht="56" customHeight="1">
      <x:c r="A85" s="38" t="n">
        <x:v>73</x:v>
      </x:c>
      <x:c r="B85" s="38" t="str">
        <x:v>feijoada</x:v>
      </x:c>
      <x:c r="C85" s="38" t="str">
        <x:v>Feijoada</x:v>
      </x:c>
      <x:c r="D85" s="38" t="str">
        <x:v>latin-america</x:v>
      </x:c>
      <x:c r="E85" s="38" t="str">
        <x:v>soup-broth</x:v>
      </x:c>
      <x:c r="F85" s="38" t="str">
        <x:v>rich | comforting</x:v>
      </x:c>
      <x:c r="G85" s="38" t="str">
        <x:v>YES</x:v>
      </x:c>
      <x:c r="H85" s="38" t="str">
        <x:v>KEEP</x:v>
      </x:c>
      <x:c r="I85" s="38" t="str">
        <x:v>YES</x:v>
      </x:c>
      <x:c r="J85" s="38" t="str">
        <x:v>KEEP</x:v>
      </x:c>
      <x:c r="K85" s="38" t="str">
        <x:v>KEEP CURRENT</x:v>
      </x:c>
      <x:c r="L85" s="38" t="str">
        <x:v>rich | comforting</x:v>
      </x:c>
      <x:c r="M85" s="38" t="str">
        <x:v>Brazilian black-bean and meat stew served with rice and traditional accompaniments.</x:v>
      </x:c>
      <x:c r="N85"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86" ht="56" customHeight="1">
      <x:c r="A86" s="38" t="n">
        <x:v>74</x:v>
      </x:c>
      <x:c r="B86" s="38" t="str">
        <x:v>macaroni-and-cheese</x:v>
      </x:c>
      <x:c r="C86" s="38" t="str">
        <x:v>Macaroni and Cheese</x:v>
      </x:c>
      <x:c r="D86" s="38" t="str">
        <x:v>north-america</x:v>
      </x:c>
      <x:c r="E86" s="38" t="str">
        <x:v>noodle</x:v>
      </x:c>
      <x:c r="F86" s="38" t="str">
        <x:v>rich | comforting</x:v>
      </x:c>
      <x:c r="G86" s="38" t="str">
        <x:v>YES</x:v>
      </x:c>
      <x:c r="H86" s="38" t="str">
        <x:v>KEEP</x:v>
      </x:c>
      <x:c r="I86" s="38" t="str">
        <x:v>YES</x:v>
      </x:c>
      <x:c r="J86" s="38" t="str">
        <x:v>KEEP</x:v>
      </x:c>
      <x:c r="K86" s="38" t="str">
        <x:v>KEEP CURRENT</x:v>
      </x:c>
      <x:c r="L86" s="38" t="str">
        <x:v>rich | comforting</x:v>
      </x:c>
      <x:c r="M86" s="38" t="str">
        <x:v>Macaroni pasta coated in a rich cheese sauce and baked or served stovetop.</x:v>
      </x:c>
      <x:c r="N86"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87" ht="56" customHeight="1">
      <x:c r="A87" s="38" t="n">
        <x:v>75</x:v>
      </x:c>
      <x:c r="B87" s="38" t="str">
        <x:v>pulled-pork-sandwich</x:v>
      </x:c>
      <x:c r="C87" s="38" t="str">
        <x:v>Pulled Pork Sandwich</x:v>
      </x:c>
      <x:c r="D87" s="38" t="str">
        <x:v>north-america</x:v>
      </x:c>
      <x:c r="E87" s="38" t="str">
        <x:v>handheld</x:v>
      </x:c>
      <x:c r="F87" s="38" t="str">
        <x:v>rich | comforting</x:v>
      </x:c>
      <x:c r="G87" s="38" t="str">
        <x:v>YES</x:v>
      </x:c>
      <x:c r="H87" s="38" t="str">
        <x:v>KEEP</x:v>
      </x:c>
      <x:c r="I87" s="38" t="str">
        <x:v>YES</x:v>
      </x:c>
      <x:c r="J87" s="38" t="str">
        <x:v>KEEP</x:v>
      </x:c>
      <x:c r="K87" s="38" t="str">
        <x:v>KEEP CURRENT</x:v>
      </x:c>
      <x:c r="L87" s="38" t="str">
        <x:v>rich | comforting</x:v>
      </x:c>
      <x:c r="M87" s="38" t="str">
        <x:v>Slow-cooked shredded pork piled into a bun with barbecue sauce and optional slaw.</x:v>
      </x:c>
      <x:c r="N87"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88" ht="56" customHeight="1">
      <x:c r="A88" s="38" t="n">
        <x:v>76</x:v>
      </x:c>
      <x:c r="B88" s="38" t="str">
        <x:v>dandan-noodles</x:v>
      </x:c>
      <x:c r="C88" s="38" t="str">
        <x:v>Dandan Noodles</x:v>
      </x:c>
      <x:c r="D88" s="38" t="str">
        <x:v>east-asia</x:v>
      </x:c>
      <x:c r="E88" s="38" t="str">
        <x:v>noodle</x:v>
      </x:c>
      <x:c r="F88" s="38" t="str">
        <x:v>spicy | rich</x:v>
      </x:c>
      <x:c r="G88" s="38" t="str">
        <x:v>YES</x:v>
      </x:c>
      <x:c r="H88" s="38" t="str">
        <x:v>KEEP</x:v>
      </x:c>
      <x:c r="I88" s="38" t="str">
        <x:v>NO</x:v>
      </x:c>
      <x:c r="J88" s="38" t="str">
        <x:v>NOT TAGGED</x:v>
      </x:c>
      <x:c r="K88" s="38" t="str">
        <x:v>KEEP CURRENT</x:v>
      </x:c>
      <x:c r="L88" s="38" t="str">
        <x:v>spicy | rich</x:v>
      </x:c>
      <x:c r="M88" s="38" t="str">
        <x:v>Sichuan wheat noodles coated in a spicy chile-and-pepper sauce with savory toppings.</x:v>
      </x:c>
      <x:c r="N88" s="38" t="str">
        <x:v>Rich — Richness is supported by a creamy, fatty, nutty, coconut, cheese, or similarly dense component in the current catalog description.</x:v>
      </x:c>
    </x:row>
    <x:row r="89" ht="56" customHeight="1">
      <x:c r="A89" s="38" t="n">
        <x:v>77</x:v>
      </x:c>
      <x:c r="B89" s="38" t="str">
        <x:v>hot-and-sour-soup</x:v>
      </x:c>
      <x:c r="C89" s="38" t="str">
        <x:v>Hot and Sour Soup</x:v>
      </x:c>
      <x:c r="D89" s="38" t="str">
        <x:v>east-asia</x:v>
      </x:c>
      <x:c r="E89" s="38" t="str">
        <x:v>soup-broth</x:v>
      </x:c>
      <x:c r="F89" s="38" t="str">
        <x:v>spicy | tangy</x:v>
      </x:c>
      <x:c r="G89" s="38" t="str">
        <x:v>NO</x:v>
      </x:c>
      <x:c r="H89" s="38" t="str">
        <x:v>NOT TAGGED</x:v>
      </x:c>
      <x:c r="I89" s="38" t="str">
        <x:v>NO</x:v>
      </x:c>
      <x:c r="J89" s="38" t="str">
        <x:v>NOT TAGGED</x:v>
      </x:c>
      <x:c r="K89" s="38" t="str">
        <x:v>KEEP CURRENT</x:v>
      </x:c>
      <x:c r="L89" s="38" t="str">
        <x:v>spicy | tangy</x:v>
      </x:c>
      <x:c r="M89" s="38" t="str">
        <x:v>Chinese soup balancing vinegar sourness, white-pepper heat, tofu, mushrooms, and bamboo shoots.</x:v>
      </x:c>
      <x:c r="N89" s="38" t="str">
        <x:v>Neither rich nor comforting is currently assigned; no keep/remove action is needed in this audit.</x:v>
      </x:c>
    </x:row>
    <x:row r="90" ht="56" customHeight="1">
      <x:c r="A90" s="38" t="n">
        <x:v>78</x:v>
      </x:c>
      <x:c r="B90" s="38" t="str">
        <x:v>gimbap</x:v>
      </x:c>
      <x:c r="C90" s="38" t="str">
        <x:v>Gimbap</x:v>
      </x:c>
      <x:c r="D90" s="38" t="str">
        <x:v>east-asia</x:v>
      </x:c>
      <x:c r="E90" s="38" t="str">
        <x:v>handheld</x:v>
      </x:c>
      <x:c r="F90" s="38" t="str">
        <x:v>fresh | comforting</x:v>
      </x:c>
      <x:c r="G90" s="38" t="str">
        <x:v>NO</x:v>
      </x:c>
      <x:c r="H90" s="38" t="str">
        <x:v>NOT TAGGED</x:v>
      </x:c>
      <x:c r="I90" s="38" t="str">
        <x:v>YES</x:v>
      </x:c>
      <x:c r="J90" s="38" t="str">
        <x:v>REMOVE</x:v>
      </x:c>
      <x:c r="K90" s="38" t="str">
        <x:v>REMOVE COMFORTING</x:v>
      </x:c>
      <x:c r="L90" s="38" t="str">
        <x:v>fresh</x:v>
      </x:c>
      <x:c r="M90" s="38" t="str">
        <x:v>Korean seaweed rice rolls filled with vegetables, egg, and savory proteins.</x:v>
      </x:c>
      <x:c r="N90" s="38" t="str">
        <x:v>Comforting — Remove comforting: the dish is better distinguished by its sharper current preference flavor(s); comfort adds little discriminatory value.</x:v>
      </x:c>
    </x:row>
    <x:row r="91" ht="56" customHeight="1">
      <x:c r="A91" s="38" t="n">
        <x:v>79</x:v>
      </x:c>
      <x:c r="B91" s="38" t="str">
        <x:v>nasi-lemak</x:v>
      </x:c>
      <x:c r="C91" s="38" t="str">
        <x:v>Nasi Lemak</x:v>
      </x:c>
      <x:c r="D91" s="38" t="str">
        <x:v>southeast-asia</x:v>
      </x:c>
      <x:c r="E91" s="38" t="str">
        <x:v>rice</x:v>
      </x:c>
      <x:c r="F91" s="38" t="str">
        <x:v>rich | spicy</x:v>
      </x:c>
      <x:c r="G91" s="38" t="str">
        <x:v>YES</x:v>
      </x:c>
      <x:c r="H91" s="38" t="str">
        <x:v>KEEP</x:v>
      </x:c>
      <x:c r="I91" s="38" t="str">
        <x:v>NO</x:v>
      </x:c>
      <x:c r="J91" s="38" t="str">
        <x:v>NOT TAGGED</x:v>
      </x:c>
      <x:c r="K91" s="38" t="str">
        <x:v>KEEP CURRENT</x:v>
      </x:c>
      <x:c r="L91" s="38" t="str">
        <x:v>rich | spicy</x:v>
      </x:c>
      <x:c r="M91" s="38" t="str">
        <x:v>Malay coconut rice served with sambal, anchovies, peanuts, egg, cucumber, and varied sides.</x:v>
      </x:c>
      <x:c r="N91" s="38" t="str">
        <x:v>Rich — Richness is supported by a creamy, fatty, nutty, coconut, cheese, or similarly dense component in the current catalog description.</x:v>
      </x:c>
    </x:row>
    <x:row r="92" ht="56" customHeight="1">
      <x:c r="A92" s="38" t="n">
        <x:v>80</x:v>
      </x:c>
      <x:c r="B92" s="38" t="str">
        <x:v>lumpia</x:v>
      </x:c>
      <x:c r="C92" s="38" t="str">
        <x:v>Lumpia</x:v>
      </x:c>
      <x:c r="D92" s="38" t="str">
        <x:v>southeast-asia</x:v>
      </x:c>
      <x:c r="E92" s="38" t="str">
        <x:v>handheld</x:v>
      </x:c>
      <x:c r="F92" s="38" t="str">
        <x:v>crispy | comforting</x:v>
      </x:c>
      <x:c r="G92" s="38" t="str">
        <x:v>NO</x:v>
      </x:c>
      <x:c r="H92" s="38" t="str">
        <x:v>NOT TAGGED</x:v>
      </x:c>
      <x:c r="I92" s="38" t="str">
        <x:v>YES</x:v>
      </x:c>
      <x:c r="J92" s="38" t="str">
        <x:v>REMOVE</x:v>
      </x:c>
      <x:c r="K92" s="38" t="str">
        <x:v>REMOVE COMFORTING</x:v>
      </x:c>
      <x:c r="L92" s="38" t="str">
        <x:v>crispy</x:v>
      </x:c>
      <x:c r="M92" s="38" t="str">
        <x:v>Filipino spring rolls with thin wrappers and savory vegetable or meat fillings.</x:v>
      </x:c>
      <x:c r="N92" s="38" t="str">
        <x:v>Comforting — Remove comforting: the dish is better distinguished by its sharper current preference flavor(s); comfort adds little discriminatory value.</x:v>
      </x:c>
    </x:row>
    <x:row r="93" ht="56" customHeight="1">
      <x:c r="A93" s="38" t="n">
        <x:v>81</x:v>
      </x:c>
      <x:c r="B93" s="38" t="str">
        <x:v>ayam-bakar</x:v>
      </x:c>
      <x:c r="C93" s="38" t="str">
        <x:v>Ayam Bakar</x:v>
      </x:c>
      <x:c r="D93" s="38" t="str">
        <x:v>southeast-asia</x:v>
      </x:c>
      <x:c r="E93" s="38" t="str">
        <x:v>grilled-protein</x:v>
      </x:c>
      <x:c r="F93" s="38" t="str">
        <x:v>spicy | rich</x:v>
      </x:c>
      <x:c r="G93" s="38" t="str">
        <x:v>YES</x:v>
      </x:c>
      <x:c r="H93" s="38" t="str">
        <x:v>KEEP</x:v>
      </x:c>
      <x:c r="I93" s="38" t="str">
        <x:v>NO</x:v>
      </x:c>
      <x:c r="J93" s="38" t="str">
        <x:v>NOT TAGGED</x:v>
      </x:c>
      <x:c r="K93" s="38" t="str">
        <x:v>KEEP CURRENT</x:v>
      </x:c>
      <x:c r="L93" s="38" t="str">
        <x:v>spicy | rich</x:v>
      </x:c>
      <x:c r="M93" s="38" t="str">
        <x:v>Indonesian charcoal-grilled chicken marinated with spices, aromatics, and often sweet soy.</x:v>
      </x:c>
      <x:c r="N93" s="38" t="str">
        <x:v>Rich — The current description presents a full-bodied, substantial preparation where rich adds useful recommendation signal.</x:v>
      </x:c>
    </x:row>
    <x:row r="94" ht="56" customHeight="1">
      <x:c r="A94" s="38" t="n">
        <x:v>82</x:v>
      </x:c>
      <x:c r="B94" s="38" t="str">
        <x:v>rendang</x:v>
      </x:c>
      <x:c r="C94" s="38" t="str">
        <x:v>Rendang</x:v>
      </x:c>
      <x:c r="D94" s="38" t="str">
        <x:v>southeast-asia</x:v>
      </x:c>
      <x:c r="E94" s="38" t="str">
        <x:v>grilled-protein</x:v>
      </x:c>
      <x:c r="F94" s="38" t="str">
        <x:v>rich | spicy</x:v>
      </x:c>
      <x:c r="G94" s="38" t="str">
        <x:v>YES</x:v>
      </x:c>
      <x:c r="H94" s="38" t="str">
        <x:v>KEEP</x:v>
      </x:c>
      <x:c r="I94" s="38" t="str">
        <x:v>NO</x:v>
      </x:c>
      <x:c r="J94" s="38" t="str">
        <x:v>NOT TAGGED</x:v>
      </x:c>
      <x:c r="K94" s="38" t="str">
        <x:v>KEEP CURRENT</x:v>
      </x:c>
      <x:c r="L94" s="38" t="str">
        <x:v>rich | spicy</x:v>
      </x:c>
      <x:c r="M94" s="38" t="str">
        <x:v>Slow-cooked spiced meat reduced in coconut milk until deeply rich and concentrated.</x:v>
      </x:c>
      <x:c r="N94" s="38" t="str">
        <x:v>Rich — Richness is supported by a creamy, fatty, nutty, coconut, cheese, or similarly dense component in the current catalog description.</x:v>
      </x:c>
    </x:row>
    <x:row r="95" ht="56" customHeight="1">
      <x:c r="A95" s="38" t="n">
        <x:v>83</x:v>
      </x:c>
      <x:c r="B95" s="38" t="str">
        <x:v>kottu-roti</x:v>
      </x:c>
      <x:c r="C95" s="38" t="str">
        <x:v>Kottu Roti</x:v>
      </x:c>
      <x:c r="D95" s="38" t="str">
        <x:v>south-asia</x:v>
      </x:c>
      <x:c r="E95" s="38" t="str">
        <x:v>handheld</x:v>
      </x:c>
      <x:c r="F95" s="38" t="str">
        <x:v>spicy | crispy</x:v>
      </x:c>
      <x:c r="G95" s="38" t="str">
        <x:v>NO</x:v>
      </x:c>
      <x:c r="H95" s="38" t="str">
        <x:v>NOT TAGGED</x:v>
      </x:c>
      <x:c r="I95" s="38" t="str">
        <x:v>NO</x:v>
      </x:c>
      <x:c r="J95" s="38" t="str">
        <x:v>NOT TAGGED</x:v>
      </x:c>
      <x:c r="K95" s="38" t="str">
        <x:v>KEEP CURRENT</x:v>
      </x:c>
      <x:c r="L95" s="38" t="str">
        <x:v>spicy | crispy</x:v>
      </x:c>
      <x:c r="M95" s="38" t="str">
        <x:v>Sri Lankan chopped roti stir-fried on a griddle with vegetables, egg, curry, and optional meat.</x:v>
      </x:c>
      <x:c r="N95" s="38" t="str">
        <x:v>Neither rich nor comforting is currently assigned; no keep/remove action is needed in this audit.</x:v>
      </x:c>
    </x:row>
    <x:row r="96" ht="56" customHeight="1">
      <x:c r="A96" s="38" t="n">
        <x:v>84</x:v>
      </x:c>
      <x:c r="B96" s="38" t="str">
        <x:v>nihari</x:v>
      </x:c>
      <x:c r="C96" s="38" t="str">
        <x:v>Nihari</x:v>
      </x:c>
      <x:c r="D96" s="38" t="str">
        <x:v>south-asia</x:v>
      </x:c>
      <x:c r="E96" s="38" t="str">
        <x:v>soup-broth</x:v>
      </x:c>
      <x:c r="F96" s="38" t="str">
        <x:v>rich | spicy</x:v>
      </x:c>
      <x:c r="G96" s="38" t="str">
        <x:v>YES</x:v>
      </x:c>
      <x:c r="H96" s="38" t="str">
        <x:v>KEEP</x:v>
      </x:c>
      <x:c r="I96" s="38" t="str">
        <x:v>NO</x:v>
      </x:c>
      <x:c r="J96" s="38" t="str">
        <x:v>NOT TAGGED</x:v>
      </x:c>
      <x:c r="K96" s="38" t="str">
        <x:v>KEEP CURRENT</x:v>
      </x:c>
      <x:c r="L96" s="38" t="str">
        <x:v>rich | spicy</x:v>
      </x:c>
      <x:c r="M96" s="38" t="str">
        <x:v>Slow-cooked South Asian meat stew with warming spices, marrow, and a deeply savory broth.</x:v>
      </x:c>
      <x:c r="N96" s="38" t="str">
        <x:v>Rich — The dish is centered on a dense, concentrated, meat-forward, fried, or thick preparation, so rich is meaningfully descriptive.</x:v>
      </x:c>
    </x:row>
    <x:row r="97" ht="56" customHeight="1">
      <x:c r="A97" s="38" t="n">
        <x:v>85</x:v>
      </x:c>
      <x:c r="B97" s="38" t="str">
        <x:v>seekh-kebab</x:v>
      </x:c>
      <x:c r="C97" s="38" t="str">
        <x:v>Seekh Kebab</x:v>
      </x:c>
      <x:c r="D97" s="38" t="str">
        <x:v>south-asia</x:v>
      </x:c>
      <x:c r="E97" s="38" t="str">
        <x:v>grilled-protein</x:v>
      </x:c>
      <x:c r="F97" s="38" t="str">
        <x:v>spicy | rich</x:v>
      </x:c>
      <x:c r="G97" s="38" t="str">
        <x:v>YES</x:v>
      </x:c>
      <x:c r="H97" s="38" t="str">
        <x:v>REMOVE</x:v>
      </x:c>
      <x:c r="I97" s="38" t="str">
        <x:v>NO</x:v>
      </x:c>
      <x:c r="J97" s="38" t="str">
        <x:v>NOT TAGGED</x:v>
      </x:c>
      <x:c r="K97" s="38" t="str">
        <x:v>REMOVE RICH</x:v>
      </x:c>
      <x:c r="L97" s="38" t="str">
        <x:v>spicy</x:v>
      </x:c>
      <x:c r="M97" s="38" t="str">
        <x:v>Spiced minced meat shaped around skewers and grilled over intense heat.</x:v>
      </x:c>
      <x:c r="N97" s="38" t="str">
        <x:v>Rich — Remove rich: the current description is more specifically defined by its other preference flavor(s), while 'rich' reads as a generic extra label.</x:v>
      </x:c>
    </x:row>
    <x:row r="98" ht="56" customHeight="1">
      <x:c r="A98" s="38" t="n">
        <x:v>86</x:v>
      </x:c>
      <x:c r="B98" s="38" t="str">
        <x:v>thukpa</x:v>
      </x:c>
      <x:c r="C98" s="38" t="str">
        <x:v>Thukpa</x:v>
      </x:c>
      <x:c r="D98" s="38" t="str">
        <x:v>south-asia</x:v>
      </x:c>
      <x:c r="E98" s="38" t="str">
        <x:v>noodle</x:v>
      </x:c>
      <x:c r="F98" s="38" t="str">
        <x:v>comforting | fresh</x:v>
      </x:c>
      <x:c r="G98" s="38" t="str">
        <x:v>NO</x:v>
      </x:c>
      <x:c r="H98" s="38" t="str">
        <x:v>NOT TAGGED</x:v>
      </x:c>
      <x:c r="I98" s="38" t="str">
        <x:v>YES</x:v>
      </x:c>
      <x:c r="J98" s="38" t="str">
        <x:v>KEEP</x:v>
      </x:c>
      <x:c r="K98" s="38" t="str">
        <x:v>KEEP CURRENT</x:v>
      </x:c>
      <x:c r="L98" s="38" t="str">
        <x:v>comforting | fresh</x:v>
      </x:c>
      <x:c r="M98" s="38" t="str">
        <x:v>Tibetan and Nepalese noodle soup with vegetables, herbs, and optional meat or egg.</x:v>
      </x:c>
      <x:c r="N98" s="38" t="str">
        <x:v>Comforting — The warm, soft, starchy, brothy, braised, or slow-cooked format makes comforting a defining eating experience rather than a catch-all tag.</x:v>
      </x:c>
    </x:row>
    <x:row r="99" ht="56" customHeight="1">
      <x:c r="A99" s="38" t="n">
        <x:v>87</x:v>
      </x:c>
      <x:c r="B99" s="38" t="str">
        <x:v>kibbeh</x:v>
      </x:c>
      <x:c r="C99" s="38" t="str">
        <x:v>Kibbeh</x:v>
      </x:c>
      <x:c r="D99" s="38" t="str">
        <x:v>middle-east</x:v>
      </x:c>
      <x:c r="E99" s="38" t="str">
        <x:v>handheld</x:v>
      </x:c>
      <x:c r="F99" s="38" t="str">
        <x:v>crispy | rich</x:v>
      </x:c>
      <x:c r="G99" s="38" t="str">
        <x:v>YES</x:v>
      </x:c>
      <x:c r="H99" s="38" t="str">
        <x:v>KEEP</x:v>
      </x:c>
      <x:c r="I99" s="38" t="str">
        <x:v>NO</x:v>
      </x:c>
      <x:c r="J99" s="38" t="str">
        <x:v>NOT TAGGED</x:v>
      </x:c>
      <x:c r="K99" s="38" t="str">
        <x:v>KEEP CURRENT</x:v>
      </x:c>
      <x:c r="L99" s="38" t="str">
        <x:v>crispy | rich</x:v>
      </x:c>
      <x:c r="M99" s="38" t="str">
        <x:v>Levantine bulgur-and-meat croquettes seasoned with spices and often fried until crisp.</x:v>
      </x:c>
      <x:c r="N99" s="38" t="str">
        <x:v>Rich — The dish is centered on a dense, concentrated, meat-forward, fried, or thick preparation, so rich is meaningfully descriptive.</x:v>
      </x:c>
    </x:row>
    <x:row r="100" ht="56" customHeight="1">
      <x:c r="A100" s="38" t="n">
        <x:v>88</x:v>
      </x:c>
      <x:c r="B100" s="38" t="str">
        <x:v>reshteh-polow</x:v>
      </x:c>
      <x:c r="C100" s="38" t="str">
        <x:v>Reshteh Polow</x:v>
      </x:c>
      <x:c r="D100" s="38" t="str">
        <x:v>middle-east</x:v>
      </x:c>
      <x:c r="E100" s="38" t="str">
        <x:v>noodle</x:v>
      </x:c>
      <x:c r="F100" s="38" t="str">
        <x:v>comforting | rich</x:v>
      </x:c>
      <x:c r="G100" s="38" t="str">
        <x:v>YES</x:v>
      </x:c>
      <x:c r="H100" s="38" t="str">
        <x:v>REMOVE</x:v>
      </x:c>
      <x:c r="I100" s="38" t="str">
        <x:v>YES</x:v>
      </x:c>
      <x:c r="J100" s="38" t="str">
        <x:v>KEEP</x:v>
      </x:c>
      <x:c r="K100" s="38" t="str">
        <x:v>REMOVE RICH</x:v>
      </x:c>
      <x:c r="L100" s="38" t="str">
        <x:v>comforting</x:v>
      </x:c>
      <x:c r="M100" s="38" t="str">
        <x:v>Iranian rice-and-noodle pilaf combining browned reshteh noodles with fragrant rice.</x:v>
      </x:c>
      <x:c r="N100"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01" ht="56" customHeight="1">
      <x:c r="A101" s="38" t="n">
        <x:v>89</x:v>
      </x:c>
      <x:c r="B101" s="38" t="str">
        <x:v>fesenjan</x:v>
      </x:c>
      <x:c r="C101" s="38" t="str">
        <x:v>Fesenjan</x:v>
      </x:c>
      <x:c r="D101" s="38" t="str">
        <x:v>middle-east</x:v>
      </x:c>
      <x:c r="E101" s="38" t="str">
        <x:v>grilled-protein</x:v>
      </x:c>
      <x:c r="F101" s="38" t="str">
        <x:v>rich | tangy</x:v>
      </x:c>
      <x:c r="G101" s="38" t="str">
        <x:v>YES</x:v>
      </x:c>
      <x:c r="H101" s="38" t="str">
        <x:v>KEEP</x:v>
      </x:c>
      <x:c r="I101" s="38" t="str">
        <x:v>NO</x:v>
      </x:c>
      <x:c r="J101" s="38" t="str">
        <x:v>NOT TAGGED</x:v>
      </x:c>
      <x:c r="K101" s="38" t="str">
        <x:v>KEEP CURRENT</x:v>
      </x:c>
      <x:c r="L101" s="38" t="str">
        <x:v>rich | tangy</x:v>
      </x:c>
      <x:c r="M101" s="38" t="str">
        <x:v>Iranian walnut-and-pomegranate stew with poultry or meat and a rich sweet-tart sauce.</x:v>
      </x:c>
      <x:c r="N101" s="38" t="str">
        <x:v>Rich — Richness is supported by a creamy, fatty, nutty, coconut, cheese, or similarly dense component in the current catalog description.</x:v>
      </x:c>
    </x:row>
    <x:row r="102" ht="56" customHeight="1">
      <x:c r="A102" s="38" t="n">
        <x:v>90</x:v>
      </x:c>
      <x:c r="B102" s="38" t="str">
        <x:v>akara</x:v>
      </x:c>
      <x:c r="C102" s="38" t="str">
        <x:v>Akara</x:v>
      </x:c>
      <x:c r="D102" s="38" t="str">
        <x:v>africa</x:v>
      </x:c>
      <x:c r="E102" s="38" t="str">
        <x:v>handheld</x:v>
      </x:c>
      <x:c r="F102" s="38" t="str">
        <x:v>crispy | spicy</x:v>
      </x:c>
      <x:c r="G102" s="38" t="str">
        <x:v>NO</x:v>
      </x:c>
      <x:c r="H102" s="38" t="str">
        <x:v>NOT TAGGED</x:v>
      </x:c>
      <x:c r="I102" s="38" t="str">
        <x:v>NO</x:v>
      </x:c>
      <x:c r="J102" s="38" t="str">
        <x:v>NOT TAGGED</x:v>
      </x:c>
      <x:c r="K102" s="38" t="str">
        <x:v>KEEP CURRENT</x:v>
      </x:c>
      <x:c r="L102" s="38" t="str">
        <x:v>crispy | spicy</x:v>
      </x:c>
      <x:c r="M102" s="38" t="str">
        <x:v>West African black-eyed-pea fritters seasoned with onion and chile, then fried until crisp.</x:v>
      </x:c>
      <x:c r="N102" s="38" t="str">
        <x:v>Neither rich nor comforting is currently assigned; no keep/remove action is needed in this audit.</x:v>
      </x:c>
    </x:row>
    <x:row r="103" ht="56" customHeight="1">
      <x:c r="A103" s="38" t="n">
        <x:v>91</x:v>
      </x:c>
      <x:c r="B103" s="38" t="str">
        <x:v>waakye</x:v>
      </x:c>
      <x:c r="C103" s="38" t="str">
        <x:v>Waakye</x:v>
      </x:c>
      <x:c r="D103" s="38" t="str">
        <x:v>africa</x:v>
      </x:c>
      <x:c r="E103" s="38" t="str">
        <x:v>rice</x:v>
      </x:c>
      <x:c r="F103" s="38" t="str">
        <x:v>comforting | fresh</x:v>
      </x:c>
      <x:c r="G103" s="38" t="str">
        <x:v>NO</x:v>
      </x:c>
      <x:c r="H103" s="38" t="str">
        <x:v>NOT TAGGED</x:v>
      </x:c>
      <x:c r="I103" s="38" t="str">
        <x:v>YES</x:v>
      </x:c>
      <x:c r="J103" s="38" t="str">
        <x:v>KEEP</x:v>
      </x:c>
      <x:c r="K103" s="38" t="str">
        <x:v>KEEP CURRENT</x:v>
      </x:c>
      <x:c r="L103" s="38" t="str">
        <x:v>comforting | fresh</x:v>
      </x:c>
      <x:c r="M103" s="38" t="str">
        <x:v>Ghanaian rice and beans served with spicy sauces, vegetables, egg, meat, or plantain.</x:v>
      </x:c>
      <x:c r="N103" s="38" t="str">
        <x:v>Comforting — The warm, soft, starchy, brothy, braised, or slow-cooked format makes comforting a defining eating experience rather than a catch-all tag.</x:v>
      </x:c>
    </x:row>
    <x:row r="104" ht="56" customHeight="1">
      <x:c r="A104" s="38" t="n">
        <x:v>92</x:v>
      </x:c>
      <x:c r="B104" s="38" t="str">
        <x:v>maafe</x:v>
      </x:c>
      <x:c r="C104" s="38" t="str">
        <x:v>Maafe</x:v>
      </x:c>
      <x:c r="D104" s="38" t="str">
        <x:v>africa</x:v>
      </x:c>
      <x:c r="E104" s="38" t="str">
        <x:v>soup-broth</x:v>
      </x:c>
      <x:c r="F104" s="38" t="str">
        <x:v>rich | spicy</x:v>
      </x:c>
      <x:c r="G104" s="38" t="str">
        <x:v>YES</x:v>
      </x:c>
      <x:c r="H104" s="38" t="str">
        <x:v>KEEP</x:v>
      </x:c>
      <x:c r="I104" s="38" t="str">
        <x:v>NO</x:v>
      </x:c>
      <x:c r="J104" s="38" t="str">
        <x:v>NOT TAGGED</x:v>
      </x:c>
      <x:c r="K104" s="38" t="str">
        <x:v>KEEP CURRENT</x:v>
      </x:c>
      <x:c r="L104" s="38" t="str">
        <x:v>rich | spicy</x:v>
      </x:c>
      <x:c r="M104" s="38" t="str">
        <x:v>West African peanut stew with meat or vegetables simmered in a rich tomato-groundnut sauce.</x:v>
      </x:c>
      <x:c r="N104" s="38" t="str">
        <x:v>Rich — Richness is supported by a creamy, fatty, nutty, coconut, cheese, or similarly dense component in the current catalog description.</x:v>
      </x:c>
    </x:row>
    <x:row r="105" ht="56" customHeight="1">
      <x:c r="A105" s="38" t="n">
        <x:v>93</x:v>
      </x:c>
      <x:c r="B105" s="38" t="str">
        <x:v>cacio-e-pepe</x:v>
      </x:c>
      <x:c r="C105" s="38" t="str">
        <x:v>Cacio e Pepe</x:v>
      </x:c>
      <x:c r="D105" s="38" t="str">
        <x:v>europe</x:v>
      </x:c>
      <x:c r="E105" s="38" t="str">
        <x:v>noodle</x:v>
      </x:c>
      <x:c r="F105" s="38" t="str">
        <x:v>rich | comforting</x:v>
      </x:c>
      <x:c r="G105" s="38" t="str">
        <x:v>YES</x:v>
      </x:c>
      <x:c r="H105" s="38" t="str">
        <x:v>KEEP</x:v>
      </x:c>
      <x:c r="I105" s="38" t="str">
        <x:v>YES</x:v>
      </x:c>
      <x:c r="J105" s="38" t="str">
        <x:v>KEEP</x:v>
      </x:c>
      <x:c r="K105" s="38" t="str">
        <x:v>KEEP CURRENT</x:v>
      </x:c>
      <x:c r="L105" s="38" t="str">
        <x:v>rich | comforting</x:v>
      </x:c>
      <x:c r="M105" s="38" t="str">
        <x:v>Roman pasta coated with Pecorino Romano, black pepper, and starchy pasta water.</x:v>
      </x:c>
      <x:c r="N105"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06" ht="56" customHeight="1">
      <x:c r="A106" s="38" t="n">
        <x:v>94</x:v>
      </x:c>
      <x:c r="B106" s="38" t="str">
        <x:v>spaetzle</x:v>
      </x:c>
      <x:c r="C106" s="38" t="str">
        <x:v>Spätzle</x:v>
      </x:c>
      <x:c r="D106" s="38" t="str">
        <x:v>europe</x:v>
      </x:c>
      <x:c r="E106" s="38" t="str">
        <x:v>noodle</x:v>
      </x:c>
      <x:c r="F106" s="38" t="str">
        <x:v>comforting | rich</x:v>
      </x:c>
      <x:c r="G106" s="38" t="str">
        <x:v>YES</x:v>
      </x:c>
      <x:c r="H106" s="38" t="str">
        <x:v>REMOVE</x:v>
      </x:c>
      <x:c r="I106" s="38" t="str">
        <x:v>YES</x:v>
      </x:c>
      <x:c r="J106" s="38" t="str">
        <x:v>KEEP</x:v>
      </x:c>
      <x:c r="K106" s="38" t="str">
        <x:v>REMOVE RICH</x:v>
      </x:c>
      <x:c r="L106" s="38" t="str">
        <x:v>comforting</x:v>
      </x:c>
      <x:c r="M106" s="38" t="str">
        <x:v>Central European egg noodles with an irregular shape and tender, chewy texture.</x:v>
      </x:c>
      <x:c r="N106"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07" ht="56" customHeight="1">
      <x:c r="A107" s="38" t="n">
        <x:v>95</x:v>
      </x:c>
      <x:c r="B107" s="38" t="str">
        <x:v>tortellini-in-brodo</x:v>
      </x:c>
      <x:c r="C107" s="38" t="str">
        <x:v>Tortellini in Brodo</x:v>
      </x:c>
      <x:c r="D107" s="38" t="str">
        <x:v>europe</x:v>
      </x:c>
      <x:c r="E107" s="38" t="str">
        <x:v>soup-broth</x:v>
      </x:c>
      <x:c r="F107" s="38" t="str">
        <x:v>comforting | rich</x:v>
      </x:c>
      <x:c r="G107" s="38" t="str">
        <x:v>YES</x:v>
      </x:c>
      <x:c r="H107" s="38" t="str">
        <x:v>REMOVE</x:v>
      </x:c>
      <x:c r="I107" s="38" t="str">
        <x:v>YES</x:v>
      </x:c>
      <x:c r="J107" s="38" t="str">
        <x:v>KEEP</x:v>
      </x:c>
      <x:c r="K107" s="38" t="str">
        <x:v>REMOVE RICH</x:v>
      </x:c>
      <x:c r="L107" s="38" t="str">
        <x:v>comforting</x:v>
      </x:c>
      <x:c r="M107" s="38" t="str">
        <x:v>Emilia-Romagna stuffed tortellini served in a clear, deeply savory broth.</x:v>
      </x:c>
      <x:c r="N107" s="38" t="str">
        <x:v>Rich — Remove rich: the tag appears broader than what the current catalog description supports. Comforting — The warm, soft, starchy, brothy, braised, or slow-cooked format makes comforting a defining eating experience rather than a catch-all tag.</x:v>
      </x:c>
    </x:row>
    <x:row r="108" ht="56" customHeight="1">
      <x:c r="A108" s="38" t="n">
        <x:v>96</x:v>
      </x:c>
      <x:c r="B108" s="38" t="str">
        <x:v>tallarines-verdes</x:v>
      </x:c>
      <x:c r="C108" s="38" t="str">
        <x:v>Tallarines Verdes</x:v>
      </x:c>
      <x:c r="D108" s="38" t="str">
        <x:v>latin-america</x:v>
      </x:c>
      <x:c r="E108" s="38" t="str">
        <x:v>noodle</x:v>
      </x:c>
      <x:c r="F108" s="38" t="str">
        <x:v>fresh | rich</x:v>
      </x:c>
      <x:c r="G108" s="38" t="str">
        <x:v>YES</x:v>
      </x:c>
      <x:c r="H108" s="38" t="str">
        <x:v>KEEP</x:v>
      </x:c>
      <x:c r="I108" s="38" t="str">
        <x:v>NO</x:v>
      </x:c>
      <x:c r="J108" s="38" t="str">
        <x:v>NOT TAGGED</x:v>
      </x:c>
      <x:c r="K108" s="38" t="str">
        <x:v>KEEP CURRENT</x:v>
      </x:c>
      <x:c r="L108" s="38" t="str">
        <x:v>fresh | rich</x:v>
      </x:c>
      <x:c r="M108" s="38" t="str">
        <x:v>Peruvian pasta in a creamy green basil-and-spinach sauce influenced by Italian pesto.</x:v>
      </x:c>
      <x:c r="N108" s="38" t="str">
        <x:v>Rich — Richness is supported by a creamy, fatty, nutty, coconut, cheese, or similarly dense component in the current catalog description.</x:v>
      </x:c>
    </x:row>
    <x:row r="109" ht="56" customHeight="1">
      <x:c r="A109" s="38" t="n">
        <x:v>97</x:v>
      </x:c>
      <x:c r="B109" s="38" t="str">
        <x:v>patacones</x:v>
      </x:c>
      <x:c r="C109" s="38" t="str">
        <x:v>Patacones</x:v>
      </x:c>
      <x:c r="D109" s="38" t="str">
        <x:v>latin-america</x:v>
      </x:c>
      <x:c r="E109" s="38" t="str">
        <x:v>handheld</x:v>
      </x:c>
      <x:c r="F109" s="38" t="str">
        <x:v>crispy | comforting</x:v>
      </x:c>
      <x:c r="G109" s="38" t="str">
        <x:v>NO</x:v>
      </x:c>
      <x:c r="H109" s="38" t="str">
        <x:v>NOT TAGGED</x:v>
      </x:c>
      <x:c r="I109" s="38" t="str">
        <x:v>YES</x:v>
      </x:c>
      <x:c r="J109" s="38" t="str">
        <x:v>REMOVE</x:v>
      </x:c>
      <x:c r="K109" s="38" t="str">
        <x:v>REMOVE COMFORTING</x:v>
      </x:c>
      <x:c r="L109" s="38" t="str">
        <x:v>crispy</x:v>
      </x:c>
      <x:c r="M109" s="38" t="str">
        <x:v>Twice-fried green plantain slices served crisp and salty across Latin America and the Caribbean.</x:v>
      </x:c>
      <x:c r="N109" s="38" t="str">
        <x:v>Comforting — Remove comforting: the dish is better distinguished by its sharper current preference flavor(s); comfort adds little discriminatory value.</x:v>
      </x:c>
    </x:row>
    <x:row r="110" ht="56" customHeight="1">
      <x:c r="A110" s="38" t="n">
        <x:v>98</x:v>
      </x:c>
      <x:c r="B110" s="38" t="str">
        <x:v>lomo-saltado</x:v>
      </x:c>
      <x:c r="C110" s="38" t="str">
        <x:v>Lomo Saltado</x:v>
      </x:c>
      <x:c r="D110" s="38" t="str">
        <x:v>latin-america</x:v>
      </x:c>
      <x:c r="E110" s="38" t="str">
        <x:v>grilled-protein</x:v>
      </x:c>
      <x:c r="F110" s="38" t="str">
        <x:v>rich | fresh</x:v>
      </x:c>
      <x:c r="G110" s="38" t="str">
        <x:v>YES</x:v>
      </x:c>
      <x:c r="H110" s="38" t="str">
        <x:v>KEEP</x:v>
      </x:c>
      <x:c r="I110" s="38" t="str">
        <x:v>NO</x:v>
      </x:c>
      <x:c r="J110" s="38" t="str">
        <x:v>NOT TAGGED</x:v>
      </x:c>
      <x:c r="K110" s="38" t="str">
        <x:v>KEEP CURRENT</x:v>
      </x:c>
      <x:c r="L110" s="38" t="str">
        <x:v>rich | fresh</x:v>
      </x:c>
      <x:c r="M110" s="38" t="str">
        <x:v>Peruvian stir-fried beef with onions and tomatoes, typically served with fries and rice.</x:v>
      </x:c>
      <x:c r="N110" s="38" t="str">
        <x:v>Rich — The dish is centered on a dense, concentrated, meat-forward, fried, or thick preparation, so rich is meaningfully descriptive.</x:v>
      </x:c>
    </x:row>
    <x:row r="111" ht="56" customHeight="1">
      <x:c r="A111" s="38" t="n">
        <x:v>99</x:v>
      </x:c>
      <x:c r="B111" s="38" t="str">
        <x:v>new-england-clam-chowder</x:v>
      </x:c>
      <x:c r="C111" s="38" t="str">
        <x:v>New England Clam Chowder</x:v>
      </x:c>
      <x:c r="D111" s="38" t="str">
        <x:v>north-america</x:v>
      </x:c>
      <x:c r="E111" s="38" t="str">
        <x:v>soup-broth</x:v>
      </x:c>
      <x:c r="F111" s="38" t="str">
        <x:v>rich | comforting</x:v>
      </x:c>
      <x:c r="G111" s="38" t="str">
        <x:v>YES</x:v>
      </x:c>
      <x:c r="H111" s="38" t="str">
        <x:v>KEEP</x:v>
      </x:c>
      <x:c r="I111" s="38" t="str">
        <x:v>YES</x:v>
      </x:c>
      <x:c r="J111" s="38" t="str">
        <x:v>KEEP</x:v>
      </x:c>
      <x:c r="K111" s="38" t="str">
        <x:v>KEEP CURRENT</x:v>
      </x:c>
      <x:c r="L111" s="38" t="str">
        <x:v>rich | comforting</x:v>
      </x:c>
      <x:c r="M111" s="38" t="str">
        <x:v>Creamy New England chowder with clams, potatoes, onions, and often salt pork or bacon.</x:v>
      </x:c>
      <x:c r="N111" s="38" t="str">
        <x:v>Rich — Richness is supported by a creamy, fatty, nutty, coconut, cheese, or similarly dense component in the current catalog description. Comforting — Comforting is still defensible from the dish's warm, familiar, substantial format and adds useful mood-level signal.</x:v>
      </x:c>
    </x:row>
    <x:row r="112" ht="56" customHeight="1">
      <x:c r="A112" s="38" t="n">
        <x:v>100</x:v>
      </x:c>
      <x:c r="B112" s="38" t="str">
        <x:v>buffalo-wings</x:v>
      </x:c>
      <x:c r="C112" s="38" t="str">
        <x:v>Buffalo Wings</x:v>
      </x:c>
      <x:c r="D112" s="38" t="str">
        <x:v>north-america</x:v>
      </x:c>
      <x:c r="E112" s="38" t="str">
        <x:v>grilled-protein</x:v>
      </x:c>
      <x:c r="F112" s="38" t="str">
        <x:v>spicy | tangy | crispy</x:v>
      </x:c>
      <x:c r="G112" s="38" t="str">
        <x:v>NO</x:v>
      </x:c>
      <x:c r="H112" s="38" t="str">
        <x:v>NOT TAGGED</x:v>
      </x:c>
      <x:c r="I112" s="38" t="str">
        <x:v>NO</x:v>
      </x:c>
      <x:c r="J112" s="38" t="str">
        <x:v>NOT TAGGED</x:v>
      </x:c>
      <x:c r="K112" s="38" t="str">
        <x:v>KEEP CURRENT</x:v>
      </x:c>
      <x:c r="L112" s="38" t="str">
        <x:v>spicy | tangy | crispy</x:v>
      </x:c>
      <x:c r="M112" s="38" t="str">
        <x:v>Chicken wings fried until crisp and coated in a buttery, vinegar-based cayenne hot sauce.</x:v>
      </x:c>
      <x:c r="N112" s="38" t="str">
        <x:v>Neither rich nor comforting is currently assigned; no keep/remove action is needed in this audit.</x:v>
      </x:c>
    </x:row>
    <x:row r="113" ht="56" customHeight="1">
      <x:c r="A113" s="38" t="n">
        <x:v>101</x:v>
      </x:c>
      <x:c r="B113" s="38" t="str">
        <x:v>zhajiangmian</x:v>
      </x:c>
      <x:c r="C113" s="38" t="str">
        <x:v>Zhajiangmian</x:v>
      </x:c>
      <x:c r="D113" s="38" t="str">
        <x:v>east-asia</x:v>
      </x:c>
      <x:c r="E113" s="38" t="str">
        <x:v>noodle</x:v>
      </x:c>
      <x:c r="F113" s="38" t="str">
        <x:v>comforting | rich</x:v>
      </x:c>
      <x:c r="G113" s="38" t="str">
        <x:v>YES</x:v>
      </x:c>
      <x:c r="H113" s="38" t="str">
        <x:v>KEEP</x:v>
      </x:c>
      <x:c r="I113" s="38" t="str">
        <x:v>YES</x:v>
      </x:c>
      <x:c r="J113" s="38" t="str">
        <x:v>KEEP</x:v>
      </x:c>
      <x:c r="K113" s="38" t="str">
        <x:v>KEEP CURRENT</x:v>
      </x:c>
      <x:c r="L113" s="38" t="str">
        <x:v>comforting | rich</x:v>
      </x:c>
      <x:c r="M113" s="38" t="str">
        <x:v>Northern Chinese wheat noodles topped with a deeply savory fermented-bean meat sauce.</x:v>
      </x:c>
      <x:c r="N113"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14" ht="56" customHeight="1">
      <x:c r="A114" s="38" t="n">
        <x:v>102</x:v>
      </x:c>
      <x:c r="B114" s="38" t="str">
        <x:v>omurice</x:v>
      </x:c>
      <x:c r="C114" s="38" t="str">
        <x:v>Omurice</x:v>
      </x:c>
      <x:c r="D114" s="38" t="str">
        <x:v>east-asia</x:v>
      </x:c>
      <x:c r="E114" s="38" t="str">
        <x:v>rice</x:v>
      </x:c>
      <x:c r="F114" s="38" t="str">
        <x:v>comforting | rich</x:v>
      </x:c>
      <x:c r="G114" s="38" t="str">
        <x:v>YES</x:v>
      </x:c>
      <x:c r="H114" s="38" t="str">
        <x:v>REMOVE</x:v>
      </x:c>
      <x:c r="I114" s="38" t="str">
        <x:v>YES</x:v>
      </x:c>
      <x:c r="J114" s="38" t="str">
        <x:v>KEEP</x:v>
      </x:c>
      <x:c r="K114" s="38" t="str">
        <x:v>REMOVE RICH</x:v>
      </x:c>
      <x:c r="L114" s="38" t="str">
        <x:v>comforting</x:v>
      </x:c>
      <x:c r="M114" s="38" t="str">
        <x:v>Japanese fried rice wrapped in a soft omelette and commonly finished with ketchup.</x:v>
      </x:c>
      <x:c r="N114"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15" ht="56" customHeight="1">
      <x:c r="A115" s="38" t="n">
        <x:v>103</x:v>
      </x:c>
      <x:c r="B115" s="38" t="str">
        <x:v>sukiyaki</x:v>
      </x:c>
      <x:c r="C115" s="38" t="str">
        <x:v>Sukiyaki</x:v>
      </x:c>
      <x:c r="D115" s="38" t="str">
        <x:v>east-asia</x:v>
      </x:c>
      <x:c r="E115" s="38" t="str">
        <x:v>soup-broth</x:v>
      </x:c>
      <x:c r="F115" s="38" t="str">
        <x:v>rich | comforting</x:v>
      </x:c>
      <x:c r="G115" s="38" t="str">
        <x:v>YES</x:v>
      </x:c>
      <x:c r="H115" s="38" t="str">
        <x:v>KEEP</x:v>
      </x:c>
      <x:c r="I115" s="38" t="str">
        <x:v>YES</x:v>
      </x:c>
      <x:c r="J115" s="38" t="str">
        <x:v>KEEP</x:v>
      </x:c>
      <x:c r="K115" s="38" t="str">
        <x:v>KEEP CURRENT</x:v>
      </x:c>
      <x:c r="L115" s="38" t="str">
        <x:v>rich | comforting</x:v>
      </x:c>
      <x:c r="M115" s="38" t="str">
        <x:v>Japanese hot pot of thin-sliced beef, tofu, vegetables, and noodles simmered in a sweet-savory sauce.</x:v>
      </x:c>
      <x:c r="N115" s="38" t="str">
        <x:v>Rich — The current description presents a full-bodied, substantial preparation where rich adds useful recommendation signal. Comforting — The warm, soft, starchy, brothy, braised, or slow-cooked format makes comforting a defining eating experience rather than a catch-all tag.</x:v>
      </x:c>
    </x:row>
    <x:row r="116" ht="56" customHeight="1">
      <x:c r="A116" s="38" t="n">
        <x:v>104</x:v>
      </x:c>
      <x:c r="B116" s="38" t="str">
        <x:v>hainanese-chicken-rice</x:v>
      </x:c>
      <x:c r="C116" s="38" t="str">
        <x:v>Hainanese Chicken Rice</x:v>
      </x:c>
      <x:c r="D116" s="38" t="str">
        <x:v>southeast-asia</x:v>
      </x:c>
      <x:c r="E116" s="38" t="str">
        <x:v>rice</x:v>
      </x:c>
      <x:c r="F116" s="38" t="str">
        <x:v>comforting | fresh</x:v>
      </x:c>
      <x:c r="G116" s="38" t="str">
        <x:v>NO</x:v>
      </x:c>
      <x:c r="H116" s="38" t="str">
        <x:v>NOT TAGGED</x:v>
      </x:c>
      <x:c r="I116" s="38" t="str">
        <x:v>YES</x:v>
      </x:c>
      <x:c r="J116" s="38" t="str">
        <x:v>KEEP</x:v>
      </x:c>
      <x:c r="K116" s="38" t="str">
        <x:v>KEEP CURRENT</x:v>
      </x:c>
      <x:c r="L116" s="38" t="str">
        <x:v>comforting | fresh</x:v>
      </x:c>
      <x:c r="M116" s="38" t="str">
        <x:v>Poached chicken with fragrant seasoned rice, cucumber, and bright chile-ginger sauces.</x:v>
      </x:c>
      <x:c r="N116" s="38" t="str">
        <x:v>Comforting — The warm, soft, starchy, brothy, braised, or slow-cooked format makes comforting a defining eating experience rather than a catch-all tag.</x:v>
      </x:c>
    </x:row>
    <x:row r="117" ht="56" customHeight="1">
      <x:c r="A117" s="38" t="n">
        <x:v>105</x:v>
      </x:c>
      <x:c r="B117" s="38" t="str">
        <x:v>mohinga</x:v>
      </x:c>
      <x:c r="C117" s="38" t="str">
        <x:v>Mohinga</x:v>
      </x:c>
      <x:c r="D117" s="38" t="str">
        <x:v>southeast-asia</x:v>
      </x:c>
      <x:c r="E117" s="38" t="str">
        <x:v>soup-broth</x:v>
      </x:c>
      <x:c r="F117" s="38" t="str">
        <x:v>fresh | rich</x:v>
      </x:c>
      <x:c r="G117" s="38" t="str">
        <x:v>YES</x:v>
      </x:c>
      <x:c r="H117" s="38" t="str">
        <x:v>REMOVE</x:v>
      </x:c>
      <x:c r="I117" s="38" t="str">
        <x:v>NO</x:v>
      </x:c>
      <x:c r="J117" s="38" t="str">
        <x:v>NOT TAGGED</x:v>
      </x:c>
      <x:c r="K117" s="38" t="str">
        <x:v>REMOVE RICH</x:v>
      </x:c>
      <x:c r="L117" s="38" t="str">
        <x:v>fresh</x:v>
      </x:c>
      <x:c r="M117" s="38" t="str">
        <x:v>Myanmar rice-noodle fish soup scented with lemongrass, aromatics, and a savory broth.</x:v>
      </x:c>
      <x:c r="N117" s="38" t="str">
        <x:v>Rich — Remove rich: the current description is more specifically defined by its other preference flavor(s), while 'rich' reads as a generic extra label.</x:v>
      </x:c>
    </x:row>
    <x:row r="118" ht="56" customHeight="1">
      <x:c r="A118" s="38" t="n">
        <x:v>106</x:v>
      </x:c>
      <x:c r="B118" s="38" t="str">
        <x:v>pulao</x:v>
      </x:c>
      <x:c r="C118" s="38" t="str">
        <x:v>Pulao</x:v>
      </x:c>
      <x:c r="D118" s="38" t="str">
        <x:v>south-asia</x:v>
      </x:c>
      <x:c r="E118" s="38" t="str">
        <x:v>rice</x:v>
      </x:c>
      <x:c r="F118" s="38" t="str">
        <x:v>comforting | rich</x:v>
      </x:c>
      <x:c r="G118" s="38" t="str">
        <x:v>YES</x:v>
      </x:c>
      <x:c r="H118" s="38" t="str">
        <x:v>REMOVE</x:v>
      </x:c>
      <x:c r="I118" s="38" t="str">
        <x:v>YES</x:v>
      </x:c>
      <x:c r="J118" s="38" t="str">
        <x:v>KEEP</x:v>
      </x:c>
      <x:c r="K118" s="38" t="str">
        <x:v>REMOVE RICH</x:v>
      </x:c>
      <x:c r="L118" s="38" t="str">
        <x:v>comforting</x:v>
      </x:c>
      <x:c r="M118" s="38" t="str">
        <x:v>Fragrant South Asian rice cooked in seasoned broth with vegetables, meat, or dried fruit.</x:v>
      </x:c>
      <x:c r="N118"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19" ht="56" customHeight="1">
      <x:c r="A119" s="38" t="n">
        <x:v>107</x:v>
      </x:c>
      <x:c r="B119" s="38" t="str">
        <x:v>momo</x:v>
      </x:c>
      <x:c r="C119" s="38" t="str">
        <x:v>Momo</x:v>
      </x:c>
      <x:c r="D119" s="38" t="str">
        <x:v>south-asia</x:v>
      </x:c>
      <x:c r="E119" s="38" t="str">
        <x:v>handheld</x:v>
      </x:c>
      <x:c r="F119" s="38" t="str">
        <x:v>rich | spicy</x:v>
      </x:c>
      <x:c r="G119" s="38" t="str">
        <x:v>YES</x:v>
      </x:c>
      <x:c r="H119" s="38" t="str">
        <x:v>REMOVE</x:v>
      </x:c>
      <x:c r="I119" s="38" t="str">
        <x:v>NO</x:v>
      </x:c>
      <x:c r="J119" s="38" t="str">
        <x:v>NOT TAGGED</x:v>
      </x:c>
      <x:c r="K119" s="38" t="str">
        <x:v>REMOVE RICH</x:v>
      </x:c>
      <x:c r="L119" s="38" t="str">
        <x:v>spicy</x:v>
      </x:c>
      <x:c r="M119" s="38" t="str">
        <x:v>Tibetan and Nepali filled dumplings steamed, pan-fried, or served in spicy sauces.</x:v>
      </x:c>
      <x:c r="N119" s="38" t="str">
        <x:v>Rich — Remove rich: the current description is more specifically defined by its other preference flavor(s), while 'rich' reads as a generic extra label.</x:v>
      </x:c>
    </x:row>
    <x:row r="120" ht="56" customHeight="1">
      <x:c r="A120" s="38" t="n">
        <x:v>108</x:v>
      </x:c>
      <x:c r="B120" s="38" t="str">
        <x:v>rasam</x:v>
      </x:c>
      <x:c r="C120" s="38" t="str">
        <x:v>Rasam</x:v>
      </x:c>
      <x:c r="D120" s="38" t="str">
        <x:v>south-asia</x:v>
      </x:c>
      <x:c r="E120" s="38" t="str">
        <x:v>soup-broth</x:v>
      </x:c>
      <x:c r="F120" s="38" t="str">
        <x:v>tangy | spicy | fresh</x:v>
      </x:c>
      <x:c r="G120" s="38" t="str">
        <x:v>NO</x:v>
      </x:c>
      <x:c r="H120" s="38" t="str">
        <x:v>NOT TAGGED</x:v>
      </x:c>
      <x:c r="I120" s="38" t="str">
        <x:v>NO</x:v>
      </x:c>
      <x:c r="J120" s="38" t="str">
        <x:v>NOT TAGGED</x:v>
      </x:c>
      <x:c r="K120" s="38" t="str">
        <x:v>KEEP CURRENT</x:v>
      </x:c>
      <x:c r="L120" s="38" t="str">
        <x:v>tangy | spicy | fresh</x:v>
      </x:c>
      <x:c r="M120" s="38" t="str">
        <x:v>Thin South Indian soup-like broth brightened with tamarind, tomato, spices, and herbs.</x:v>
      </x:c>
      <x:c r="N120" s="38" t="str">
        <x:v>Neither rich nor comforting is currently assigned; no keep/remove action is needed in this audit.</x:v>
      </x:c>
    </x:row>
    <x:row r="121" ht="56" customHeight="1">
      <x:c r="A121" s="38" t="n">
        <x:v>109</x:v>
      </x:c>
      <x:c r="B121" s="38" t="str">
        <x:v>shorbat-adas</x:v>
      </x:c>
      <x:c r="C121" s="38" t="str">
        <x:v>Shorbat Adas</x:v>
      </x:c>
      <x:c r="D121" s="38" t="str">
        <x:v>middle-east</x:v>
      </x:c>
      <x:c r="E121" s="38" t="str">
        <x:v>soup-broth</x:v>
      </x:c>
      <x:c r="F121" s="38" t="str">
        <x:v>comforting | rich</x:v>
      </x:c>
      <x:c r="G121" s="38" t="str">
        <x:v>YES</x:v>
      </x:c>
      <x:c r="H121" s="38" t="str">
        <x:v>REMOVE</x:v>
      </x:c>
      <x:c r="I121" s="38" t="str">
        <x:v>YES</x:v>
      </x:c>
      <x:c r="J121" s="38" t="str">
        <x:v>KEEP</x:v>
      </x:c>
      <x:c r="K121" s="38" t="str">
        <x:v>REMOVE RICH</x:v>
      </x:c>
      <x:c r="L121" s="38" t="str">
        <x:v>comforting</x:v>
      </x:c>
      <x:c r="M121" s="38" t="str">
        <x:v>Middle Eastern lentil soup simmered until soft and finished with warm spices and lemon.</x:v>
      </x:c>
      <x:c r="N121" s="38" t="str">
        <x:v>Rich — Remove rich: the tag appears broader than what the current catalog description supports. Comforting — The warm, soft, starchy, brothy, braised, or slow-cooked format makes comforting a defining eating experience rather than a catch-all tag.</x:v>
      </x:c>
    </x:row>
    <x:row r="122" ht="56" customHeight="1">
      <x:c r="A122" s="38" t="n">
        <x:v>110</x:v>
      </x:c>
      <x:c r="B122" s="38" t="str">
        <x:v>maqluba</x:v>
      </x:c>
      <x:c r="C122" s="38" t="str">
        <x:v>Maqluba</x:v>
      </x:c>
      <x:c r="D122" s="38" t="str">
        <x:v>middle-east</x:v>
      </x:c>
      <x:c r="E122" s="38" t="str">
        <x:v>rice</x:v>
      </x:c>
      <x:c r="F122" s="38" t="str">
        <x:v>rich | comforting</x:v>
      </x:c>
      <x:c r="G122" s="38" t="str">
        <x:v>YES</x:v>
      </x:c>
      <x:c r="H122" s="38" t="str">
        <x:v>KEEP</x:v>
      </x:c>
      <x:c r="I122" s="38" t="str">
        <x:v>YES</x:v>
      </x:c>
      <x:c r="J122" s="38" t="str">
        <x:v>KEEP</x:v>
      </x:c>
      <x:c r="K122" s="38" t="str">
        <x:v>KEEP CURRENT</x:v>
      </x:c>
      <x:c r="L122" s="38" t="str">
        <x:v>rich | comforting</x:v>
      </x:c>
      <x:c r="M122" s="38" t="str">
        <x:v>Levantine upside-down rice layered with vegetables and meat, then flipped to serve.</x:v>
      </x:c>
      <x:c r="N122"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23" ht="56" customHeight="1">
      <x:c r="A123" s="38" t="n">
        <x:v>111</x:v>
      </x:c>
      <x:c r="B123" s="38" t="str">
        <x:v>manakish</x:v>
      </x:c>
      <x:c r="C123" s="38" t="str">
        <x:v>Manakish</x:v>
      </x:c>
      <x:c r="D123" s="38" t="str">
        <x:v>middle-east</x:v>
      </x:c>
      <x:c r="E123" s="38" t="str">
        <x:v>handheld</x:v>
      </x:c>
      <x:c r="F123" s="38" t="str">
        <x:v>fresh | rich</x:v>
      </x:c>
      <x:c r="G123" s="38" t="str">
        <x:v>YES</x:v>
      </x:c>
      <x:c r="H123" s="38" t="str">
        <x:v>REMOVE</x:v>
      </x:c>
      <x:c r="I123" s="38" t="str">
        <x:v>NO</x:v>
      </x:c>
      <x:c r="J123" s="38" t="str">
        <x:v>NOT TAGGED</x:v>
      </x:c>
      <x:c r="K123" s="38" t="str">
        <x:v>REMOVE RICH</x:v>
      </x:c>
      <x:c r="L123" s="38" t="str">
        <x:v>fresh</x:v>
      </x:c>
      <x:c r="M123" s="38" t="str">
        <x:v>Levantine flatbread baked with za'atar, cheese, or seasoned meat toppings.</x:v>
      </x:c>
      <x:c r="N123" s="38" t="str">
        <x:v>Rich — Remove rich: the current description is more specifically defined by its other preference flavor(s), while 'rich' reads as a generic extra label.</x:v>
      </x:c>
    </x:row>
    <x:row r="124" ht="56" customHeight="1">
      <x:c r="A124" s="38" t="n">
        <x:v>112</x:v>
      </x:c>
      <x:c r="B124" s="38" t="str">
        <x:v>rechta</x:v>
      </x:c>
      <x:c r="C124" s="38" t="str">
        <x:v>Rechta</x:v>
      </x:c>
      <x:c r="D124" s="38" t="str">
        <x:v>africa</x:v>
      </x:c>
      <x:c r="E124" s="38" t="str">
        <x:v>noodle</x:v>
      </x:c>
      <x:c r="F124" s="38" t="str">
        <x:v>comforting | rich</x:v>
      </x:c>
      <x:c r="G124" s="38" t="str">
        <x:v>YES</x:v>
      </x:c>
      <x:c r="H124" s="38" t="str">
        <x:v>REMOVE</x:v>
      </x:c>
      <x:c r="I124" s="38" t="str">
        <x:v>YES</x:v>
      </x:c>
      <x:c r="J124" s="38" t="str">
        <x:v>KEEP</x:v>
      </x:c>
      <x:c r="K124" s="38" t="str">
        <x:v>REMOVE RICH</x:v>
      </x:c>
      <x:c r="L124" s="38" t="str">
        <x:v>comforting</x:v>
      </x:c>
      <x:c r="M124" s="38" t="str">
        <x:v>Algerian handmade pasta ribbons served with chicken, chickpeas, vegetables, and spiced sauce.</x:v>
      </x:c>
      <x:c r="N124"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25" ht="56" customHeight="1">
      <x:c r="A125" s="38" t="n">
        <x:v>113</x:v>
      </x:c>
      <x:c r="B125" s="38" t="str">
        <x:v>yassa</x:v>
      </x:c>
      <x:c r="C125" s="38" t="str">
        <x:v>Yassa</x:v>
      </x:c>
      <x:c r="D125" s="38" t="str">
        <x:v>africa</x:v>
      </x:c>
      <x:c r="E125" s="38" t="str">
        <x:v>grilled-protein</x:v>
      </x:c>
      <x:c r="F125" s="38" t="str">
        <x:v>tangy | spicy</x:v>
      </x:c>
      <x:c r="G125" s="38" t="str">
        <x:v>NO</x:v>
      </x:c>
      <x:c r="H125" s="38" t="str">
        <x:v>NOT TAGGED</x:v>
      </x:c>
      <x:c r="I125" s="38" t="str">
        <x:v>NO</x:v>
      </x:c>
      <x:c r="J125" s="38" t="str">
        <x:v>NOT TAGGED</x:v>
      </x:c>
      <x:c r="K125" s="38" t="str">
        <x:v>KEEP CURRENT</x:v>
      </x:c>
      <x:c r="L125" s="38" t="str">
        <x:v>tangy | spicy</x:v>
      </x:c>
      <x:c r="M125" s="38" t="str">
        <x:v>Senegalese marinated chicken or fish cooked with onions, citrus, mustard, and chile.</x:v>
      </x:c>
      <x:c r="N125" s="38" t="str">
        <x:v>Neither rich nor comforting is currently assigned; no keep/remove action is needed in this audit.</x:v>
      </x:c>
    </x:row>
    <x:row r="126" ht="56" customHeight="1">
      <x:c r="A126" s="38" t="n">
        <x:v>114</x:v>
      </x:c>
      <x:c r="B126" s="38" t="str">
        <x:v>bissara</x:v>
      </x:c>
      <x:c r="C126" s="38" t="str">
        <x:v>Bissara</x:v>
      </x:c>
      <x:c r="D126" s="38" t="str">
        <x:v>africa</x:v>
      </x:c>
      <x:c r="E126" s="38" t="str">
        <x:v>soup-broth</x:v>
      </x:c>
      <x:c r="F126" s="38" t="str">
        <x:v>comforting | rich</x:v>
      </x:c>
      <x:c r="G126" s="38" t="str">
        <x:v>YES</x:v>
      </x:c>
      <x:c r="H126" s="38" t="str">
        <x:v>REMOVE</x:v>
      </x:c>
      <x:c r="I126" s="38" t="str">
        <x:v>YES</x:v>
      </x:c>
      <x:c r="J126" s="38" t="str">
        <x:v>KEEP</x:v>
      </x:c>
      <x:c r="K126" s="38" t="str">
        <x:v>REMOVE RICH</x:v>
      </x:c>
      <x:c r="L126" s="38" t="str">
        <x:v>comforting</x:v>
      </x:c>
      <x:c r="M126" s="38" t="str">
        <x:v>North African fava-bean soup or purée finished with olive oil, cumin, and paprika.</x:v>
      </x:c>
      <x:c r="N126" s="38" t="str">
        <x:v>Rich — Remove rich: the tag appears broader than what the current catalog description supports. Comforting — The warm, soft, starchy, brothy, braised, or slow-cooked format makes comforting a defining eating experience rather than a catch-all tag.</x:v>
      </x:c>
    </x:row>
    <x:row r="127" ht="56" customHeight="1">
      <x:c r="A127" s="38" t="n">
        <x:v>115</x:v>
      </x:c>
      <x:c r="B127" s="38" t="str">
        <x:v>shisa-nyama</x:v>
      </x:c>
      <x:c r="C127" s="38" t="str">
        <x:v>Shisa Nyama</x:v>
      </x:c>
      <x:c r="D127" s="38" t="str">
        <x:v>africa</x:v>
      </x:c>
      <x:c r="E127" s="38" t="str">
        <x:v>grilled-protein</x:v>
      </x:c>
      <x:c r="F127" s="38" t="str">
        <x:v>rich | comforting</x:v>
      </x:c>
      <x:c r="G127" s="38" t="str">
        <x:v>YES</x:v>
      </x:c>
      <x:c r="H127" s="38" t="str">
        <x:v>KEEP</x:v>
      </x:c>
      <x:c r="I127" s="38" t="str">
        <x:v>YES</x:v>
      </x:c>
      <x:c r="J127" s="38" t="str">
        <x:v>REMOVE</x:v>
      </x:c>
      <x:c r="K127" s="38" t="str">
        <x:v>REMOVE COMFORTING</x:v>
      </x:c>
      <x:c r="L127" s="38" t="str">
        <x:v>rich</x:v>
      </x:c>
      <x:c r="M127" s="38" t="str">
        <x:v>South African township barbecue centered on meats grilled over hot coals and shared socially.</x:v>
      </x:c>
      <x:c r="N127" s="38" t="str">
        <x:v>Rich — The dish is centered on a dense, concentrated, meat-forward, fried, or thick preparation, so rich is meaningfully descriptive. Comforting — Remove comforting: the current description is primarily grilled, crisp, fresh, or portable rather than inherently cozy or soothing.</x:v>
      </x:c>
    </x:row>
    <x:row r="128" ht="56" customHeight="1">
      <x:c r="A128" s="38" t="n">
        <x:v>116</x:v>
      </x:c>
      <x:c r="B128" s="38" t="str">
        <x:v>fideua</x:v>
      </x:c>
      <x:c r="C128" s="38" t="str">
        <x:v>Fideuà</x:v>
      </x:c>
      <x:c r="D128" s="38" t="str">
        <x:v>europe</x:v>
      </x:c>
      <x:c r="E128" s="38" t="str">
        <x:v>noodle</x:v>
      </x:c>
      <x:c r="F128" s="38" t="str">
        <x:v>rich | fresh</x:v>
      </x:c>
      <x:c r="G128" s="38" t="str">
        <x:v>YES</x:v>
      </x:c>
      <x:c r="H128" s="38" t="str">
        <x:v>REMOVE</x:v>
      </x:c>
      <x:c r="I128" s="38" t="str">
        <x:v>NO</x:v>
      </x:c>
      <x:c r="J128" s="38" t="str">
        <x:v>NOT TAGGED</x:v>
      </x:c>
      <x:c r="K128" s="38" t="str">
        <x:v>REMOVE RICH</x:v>
      </x:c>
      <x:c r="L128" s="38" t="str">
        <x:v>fresh</x:v>
      </x:c>
      <x:c r="M128" s="38" t="str">
        <x:v>Valencian toasted noodle dish cooked paella-style with seafood and savory stock.</x:v>
      </x:c>
      <x:c r="N128" s="38" t="str">
        <x:v>Rich — Remove rich: the current description is more specifically defined by its other preference flavor(s), while 'rich' reads as a generic extra label.</x:v>
      </x:c>
    </x:row>
    <x:row r="129" ht="56" customHeight="1">
      <x:c r="A129" s="38" t="n">
        <x:v>117</x:v>
      </x:c>
      <x:c r="B129" s="38" t="str">
        <x:v>borscht</x:v>
      </x:c>
      <x:c r="C129" s="38" t="str">
        <x:v>Borscht</x:v>
      </x:c>
      <x:c r="D129" s="38" t="str">
        <x:v>europe</x:v>
      </x:c>
      <x:c r="E129" s="38" t="str">
        <x:v>soup-broth</x:v>
      </x:c>
      <x:c r="F129" s="38" t="str">
        <x:v>tangy | comforting | fresh</x:v>
      </x:c>
      <x:c r="G129" s="38" t="str">
        <x:v>NO</x:v>
      </x:c>
      <x:c r="H129" s="38" t="str">
        <x:v>NOT TAGGED</x:v>
      </x:c>
      <x:c r="I129" s="38" t="str">
        <x:v>YES</x:v>
      </x:c>
      <x:c r="J129" s="38" t="str">
        <x:v>KEEP</x:v>
      </x:c>
      <x:c r="K129" s="38" t="str">
        <x:v>KEEP CURRENT</x:v>
      </x:c>
      <x:c r="L129" s="38" t="str">
        <x:v>tangy | comforting | fresh</x:v>
      </x:c>
      <x:c r="M129" s="38" t="str">
        <x:v>Ukrainian beet soup with vegetables, sour notes, and optional meat or sour cream.</x:v>
      </x:c>
      <x:c r="N129" s="38" t="str">
        <x:v>Comforting — The warm, soft, starchy, brothy, braised, or slow-cooked format makes comforting a defining eating experience rather than a catch-all tag.</x:v>
      </x:c>
    </x:row>
    <x:row r="130" ht="56" customHeight="1">
      <x:c r="A130" s="38" t="n">
        <x:v>118</x:v>
      </x:c>
      <x:c r="B130" s="38" t="str">
        <x:v>pirozhki</x:v>
      </x:c>
      <x:c r="C130" s="38" t="str">
        <x:v>Pirozhki</x:v>
      </x:c>
      <x:c r="D130" s="38" t="str">
        <x:v>europe</x:v>
      </x:c>
      <x:c r="E130" s="38" t="str">
        <x:v>handheld</x:v>
      </x:c>
      <x:c r="F130" s="38" t="str">
        <x:v>comforting | rich</x:v>
      </x:c>
      <x:c r="G130" s="38" t="str">
        <x:v>YES</x:v>
      </x:c>
      <x:c r="H130" s="38" t="str">
        <x:v>REMOVE</x:v>
      </x:c>
      <x:c r="I130" s="38" t="str">
        <x:v>YES</x:v>
      </x:c>
      <x:c r="J130" s="38" t="str">
        <x:v>KEEP</x:v>
      </x:c>
      <x:c r="K130" s="38" t="str">
        <x:v>REMOVE RICH</x:v>
      </x:c>
      <x:c r="L130" s="38" t="str">
        <x:v>comforting</x:v>
      </x:c>
      <x:c r="M130" s="38" t="str">
        <x:v>Eastern European small filled buns baked or fried with savory or sweet fillings.</x:v>
      </x:c>
      <x:c r="N130" s="38" t="str">
        <x:v>Rich — Remove rich: the tag appears broader than what the current catalog description supports. Comforting — The current description supports a hearty, familiar, filling profile where comforting is useful to the recommendation experience.</x:v>
      </x:c>
    </x:row>
    <x:row r="131" ht="56" customHeight="1">
      <x:c r="A131" s="38" t="n">
        <x:v>119</x:v>
      </x:c>
      <x:c r="B131" s="38" t="str">
        <x:v>arroz-chaufa</x:v>
      </x:c>
      <x:c r="C131" s="38" t="str">
        <x:v>Arroz Chaufa</x:v>
      </x:c>
      <x:c r="D131" s="38" t="str">
        <x:v>latin-america</x:v>
      </x:c>
      <x:c r="E131" s="38" t="str">
        <x:v>rice</x:v>
      </x:c>
      <x:c r="F131" s="38" t="str">
        <x:v>rich | comforting</x:v>
      </x:c>
      <x:c r="G131" s="38" t="str">
        <x:v>YES</x:v>
      </x:c>
      <x:c r="H131" s="38" t="str">
        <x:v>REMOVE</x:v>
      </x:c>
      <x:c r="I131" s="38" t="str">
        <x:v>YES</x:v>
      </x:c>
      <x:c r="J131" s="38" t="str">
        <x:v>KEEP</x:v>
      </x:c>
      <x:c r="K131" s="38" t="str">
        <x:v>REMOVE RICH</x:v>
      </x:c>
      <x:c r="L131" s="38" t="str">
        <x:v>comforting</x:v>
      </x:c>
      <x:c r="M131" s="38" t="str">
        <x:v>Peruvian-Chinese fried rice tossed with egg, scallions, soy sauce, vegetables, and protein.</x:v>
      </x:c>
      <x:c r="N131"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32" ht="56" customHeight="1">
      <x:c r="A132" s="38" t="n">
        <x:v>120</x:v>
      </x:c>
      <x:c r="B132" s="38" t="str">
        <x:v>pupusa</x:v>
      </x:c>
      <x:c r="C132" s="38" t="str">
        <x:v>Pupusa</x:v>
      </x:c>
      <x:c r="D132" s="38" t="str">
        <x:v>latin-america</x:v>
      </x:c>
      <x:c r="E132" s="38" t="str">
        <x:v>handheld</x:v>
      </x:c>
      <x:c r="F132" s="38" t="str">
        <x:v>comforting | rich</x:v>
      </x:c>
      <x:c r="G132" s="38" t="str">
        <x:v>YES</x:v>
      </x:c>
      <x:c r="H132" s="38" t="str">
        <x:v>KEEP</x:v>
      </x:c>
      <x:c r="I132" s="38" t="str">
        <x:v>YES</x:v>
      </x:c>
      <x:c r="J132" s="38" t="str">
        <x:v>KEEP</x:v>
      </x:c>
      <x:c r="K132" s="38" t="str">
        <x:v>KEEP CURRENT</x:v>
      </x:c>
      <x:c r="L132" s="38" t="str">
        <x:v>comforting | rich</x:v>
      </x:c>
      <x:c r="M132" s="38" t="str">
        <x:v>Salvadoran stuffed corn or rice flatbread filled with cheese, beans, pork, or vegetables.</x:v>
      </x:c>
      <x:c r="N132"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33" ht="56" customHeight="1">
      <x:c r="A133" s="38" t="n">
        <x:v>121</x:v>
      </x:c>
      <x:c r="B133" s="38" t="str">
        <x:v>moqueca</x:v>
      </x:c>
      <x:c r="C133" s="38" t="str">
        <x:v>Moqueca</x:v>
      </x:c>
      <x:c r="D133" s="38" t="str">
        <x:v>latin-america</x:v>
      </x:c>
      <x:c r="E133" s="38" t="str">
        <x:v>soup-broth</x:v>
      </x:c>
      <x:c r="F133" s="38" t="str">
        <x:v>rich | fresh</x:v>
      </x:c>
      <x:c r="G133" s="38" t="str">
        <x:v>YES</x:v>
      </x:c>
      <x:c r="H133" s="38" t="str">
        <x:v>REMOVE</x:v>
      </x:c>
      <x:c r="I133" s="38" t="str">
        <x:v>NO</x:v>
      </x:c>
      <x:c r="J133" s="38" t="str">
        <x:v>NOT TAGGED</x:v>
      </x:c>
      <x:c r="K133" s="38" t="str">
        <x:v>REMOVE RICH</x:v>
      </x:c>
      <x:c r="L133" s="38" t="str">
        <x:v>fresh</x:v>
      </x:c>
      <x:c r="M133" s="38" t="str">
        <x:v>Brazilian seafood stew with tomatoes, onions, lime, herbs, and regional coconut or palm-oil variations.</x:v>
      </x:c>
      <x:c r="N133" s="38" t="str">
        <x:v>Rich — Remove rich: the current description is more specifically defined by its other preference flavor(s), while 'rich' reads as a generic extra label.</x:v>
      </x:c>
    </x:row>
    <x:row r="134" ht="56" customHeight="1">
      <x:c r="A134" s="38" t="n">
        <x:v>122</x:v>
      </x:c>
      <x:c r="B134" s="38" t="str">
        <x:v>churrasco</x:v>
      </x:c>
      <x:c r="C134" s="38" t="str">
        <x:v>Churrasco</x:v>
      </x:c>
      <x:c r="D134" s="38" t="str">
        <x:v>latin-america</x:v>
      </x:c>
      <x:c r="E134" s="38" t="str">
        <x:v>grilled-protein</x:v>
      </x:c>
      <x:c r="F134" s="38" t="str">
        <x:v>rich | comforting</x:v>
      </x:c>
      <x:c r="G134" s="38" t="str">
        <x:v>YES</x:v>
      </x:c>
      <x:c r="H134" s="38" t="str">
        <x:v>KEEP</x:v>
      </x:c>
      <x:c r="I134" s="38" t="str">
        <x:v>YES</x:v>
      </x:c>
      <x:c r="J134" s="38" t="str">
        <x:v>REMOVE</x:v>
      </x:c>
      <x:c r="K134" s="38" t="str">
        <x:v>REMOVE COMFORTING</x:v>
      </x:c>
      <x:c r="L134" s="38" t="str">
        <x:v>rich</x:v>
      </x:c>
      <x:c r="M134" s="38" t="str">
        <x:v>Brazilian-style barbecue featuring meats grilled over open fire or hot coals.</x:v>
      </x:c>
      <x:c r="N134" s="38" t="str">
        <x:v>Rich — The dish is centered on a dense, concentrated, meat-forward, fried, or thick preparation, so rich is meaningfully descriptive. Comforting — Remove comforting: the current description is primarily grilled, crisp, fresh, or portable rather than inherently cozy or soothing.</x:v>
      </x:c>
    </x:row>
    <x:row r="135" ht="56" customHeight="1">
      <x:c r="A135" s="38" t="n">
        <x:v>123</x:v>
      </x:c>
      <x:c r="B135" s="38" t="str">
        <x:v>philly-cheesesteak</x:v>
      </x:c>
      <x:c r="C135" s="38" t="str">
        <x:v>Philly Cheesesteak</x:v>
      </x:c>
      <x:c r="D135" s="38" t="str">
        <x:v>north-america</x:v>
      </x:c>
      <x:c r="E135" s="38" t="str">
        <x:v>handheld</x:v>
      </x:c>
      <x:c r="F135" s="38" t="str">
        <x:v>rich | comforting</x:v>
      </x:c>
      <x:c r="G135" s="38" t="str">
        <x:v>YES</x:v>
      </x:c>
      <x:c r="H135" s="38" t="str">
        <x:v>KEEP</x:v>
      </x:c>
      <x:c r="I135" s="38" t="str">
        <x:v>YES</x:v>
      </x:c>
      <x:c r="J135" s="38" t="str">
        <x:v>KEEP</x:v>
      </x:c>
      <x:c r="K135" s="38" t="str">
        <x:v>KEEP CURRENT</x:v>
      </x:c>
      <x:c r="L135" s="38" t="str">
        <x:v>rich | comforting</x:v>
      </x:c>
      <x:c r="M135" s="38" t="str">
        <x:v>Philadelphia sandwich of thin-sliced beef and melted cheese in a long roll.</x:v>
      </x:c>
      <x:c r="N135"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136" ht="56" customHeight="1">
      <x:c r="A136" s="38" t="n">
        <x:v>124</x:v>
      </x:c>
      <x:c r="B136" s="38" t="str">
        <x:v>chili-con-carne</x:v>
      </x:c>
      <x:c r="C136" s="38" t="str">
        <x:v>Chili con Carne</x:v>
      </x:c>
      <x:c r="D136" s="38" t="str">
        <x:v>north-america</x:v>
      </x:c>
      <x:c r="E136" s="38" t="str">
        <x:v>soup-broth</x:v>
      </x:c>
      <x:c r="F136" s="38" t="str">
        <x:v>spicy | rich</x:v>
      </x:c>
      <x:c r="G136" s="38" t="str">
        <x:v>YES</x:v>
      </x:c>
      <x:c r="H136" s="38" t="str">
        <x:v>KEEP</x:v>
      </x:c>
      <x:c r="I136" s="38" t="str">
        <x:v>NO</x:v>
      </x:c>
      <x:c r="J136" s="38" t="str">
        <x:v>NOT TAGGED</x:v>
      </x:c>
      <x:c r="K136" s="38" t="str">
        <x:v>KEEP CURRENT</x:v>
      </x:c>
      <x:c r="L136" s="38" t="str">
        <x:v>spicy | rich</x:v>
      </x:c>
      <x:c r="M136" s="38" t="str">
        <x:v>American chile-and-meat stew with tomatoes, spices, and optional beans.</x:v>
      </x:c>
      <x:c r="N136" s="38" t="str">
        <x:v>Rich — The dish is centered on a dense, concentrated, meat-forward, fried, or thick preparation, so rich is meaningfully descriptive.</x:v>
      </x:c>
    </x:row>
    <x:row r="137" ht="56" customHeight="1">
      <x:c r="A137" s="38" t="n">
        <x:v>125</x:v>
      </x:c>
      <x:c r="B137" s="38" t="str">
        <x:v>baked-ziti</x:v>
      </x:c>
      <x:c r="C137" s="38" t="str">
        <x:v>Baked Ziti</x:v>
      </x:c>
      <x:c r="D137" s="38" t="str">
        <x:v>north-america</x:v>
      </x:c>
      <x:c r="E137" s="38" t="str">
        <x:v>noodle</x:v>
      </x:c>
      <x:c r="F137" s="38" t="str">
        <x:v>rich | comforting</x:v>
      </x:c>
      <x:c r="G137" s="38" t="str">
        <x:v>YES</x:v>
      </x:c>
      <x:c r="H137" s="38" t="str">
        <x:v>KEEP</x:v>
      </x:c>
      <x:c r="I137" s="38" t="str">
        <x:v>YES</x:v>
      </x:c>
      <x:c r="J137" s="38" t="str">
        <x:v>KEEP</x:v>
      </x:c>
      <x:c r="K137" s="38" t="str">
        <x:v>KEEP CURRENT</x:v>
      </x:c>
      <x:c r="L137" s="38" t="str">
        <x:v>rich | comforting</x:v>
      </x:c>
      <x:c r="M137" s="38" t="str">
        <x:v>Italian-American baked pasta layered with tomato sauce, cheese, and optional meat.</x:v>
      </x:c>
      <x:c r="N137"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38" ht="56" customHeight="1">
      <x:c r="A138" s="38" t="n">
        <x:v>126</x:v>
      </x:c>
      <x:c r="B138" s="38" t="str">
        <x:v>mapo-tofu</x:v>
      </x:c>
      <x:c r="C138" s="38" t="str">
        <x:v>Mapo Tofu</x:v>
      </x:c>
      <x:c r="D138" s="38" t="str">
        <x:v>east-asia</x:v>
      </x:c>
      <x:c r="E138" s="38" t="str">
        <x:v>grilled-protein</x:v>
      </x:c>
      <x:c r="F138" s="38" t="str">
        <x:v>spicy | rich</x:v>
      </x:c>
      <x:c r="G138" s="38" t="str">
        <x:v>YES</x:v>
      </x:c>
      <x:c r="H138" s="38" t="str">
        <x:v>KEEP</x:v>
      </x:c>
      <x:c r="I138" s="38" t="str">
        <x:v>NO</x:v>
      </x:c>
      <x:c r="J138" s="38" t="str">
        <x:v>NOT TAGGED</x:v>
      </x:c>
      <x:c r="K138" s="38" t="str">
        <x:v>KEEP CURRENT</x:v>
      </x:c>
      <x:c r="L138" s="38" t="str">
        <x:v>spicy | rich</x:v>
      </x:c>
      <x:c r="M138" s="38" t="str">
        <x:v>Sichuan tofu in a spicy chile-and-bean sauce with minced meat and numbing peppercorn.</x:v>
      </x:c>
      <x:c r="N138" s="38" t="str">
        <x:v>Rich — The dish is centered on a dense, concentrated, meat-forward, fried, or thick preparation, so rich is meaningfully descriptive.</x:v>
      </x:c>
    </x:row>
    <x:row r="139" ht="56" customHeight="1">
      <x:c r="A139" s="38" t="n">
        <x:v>127</x:v>
      </x:c>
      <x:c r="B139" s="38" t="str">
        <x:v>japchae</x:v>
      </x:c>
      <x:c r="C139" s="38" t="str">
        <x:v>Japchae</x:v>
      </x:c>
      <x:c r="D139" s="38" t="str">
        <x:v>east-asia</x:v>
      </x:c>
      <x:c r="E139" s="38" t="str">
        <x:v>noodle</x:v>
      </x:c>
      <x:c r="F139" s="38" t="str">
        <x:v>fresh | comforting</x:v>
      </x:c>
      <x:c r="G139" s="38" t="str">
        <x:v>NO</x:v>
      </x:c>
      <x:c r="H139" s="38" t="str">
        <x:v>NOT TAGGED</x:v>
      </x:c>
      <x:c r="I139" s="38" t="str">
        <x:v>YES</x:v>
      </x:c>
      <x:c r="J139" s="38" t="str">
        <x:v>REMOVE</x:v>
      </x:c>
      <x:c r="K139" s="38" t="str">
        <x:v>REMOVE COMFORTING</x:v>
      </x:c>
      <x:c r="L139" s="38" t="str">
        <x:v>fresh</x:v>
      </x:c>
      <x:c r="M139" s="38" t="str">
        <x:v>Korean sweet-potato glass noodles stir-fried with vegetables, sesame, and savory seasoning.</x:v>
      </x:c>
      <x:c r="N139" s="38" t="str">
        <x:v>Comforting — Remove comforting: the dish is better distinguished by its sharper current preference flavor(s); comfort adds little discriminatory value.</x:v>
      </x:c>
    </x:row>
    <x:row r="140" ht="56" customHeight="1">
      <x:c r="A140" s="38" t="n">
        <x:v>128</x:v>
      </x:c>
      <x:c r="B140" s="38" t="str">
        <x:v>onigiri</x:v>
      </x:c>
      <x:c r="C140" s="38" t="str">
        <x:v>Onigiri</x:v>
      </x:c>
      <x:c r="D140" s="38" t="str">
        <x:v>east-asia</x:v>
      </x:c>
      <x:c r="E140" s="38" t="str">
        <x:v>handheld</x:v>
      </x:c>
      <x:c r="F140" s="38" t="str">
        <x:v>fresh | comforting</x:v>
      </x:c>
      <x:c r="G140" s="38" t="str">
        <x:v>NO</x:v>
      </x:c>
      <x:c r="H140" s="38" t="str">
        <x:v>NOT TAGGED</x:v>
      </x:c>
      <x:c r="I140" s="38" t="str">
        <x:v>YES</x:v>
      </x:c>
      <x:c r="J140" s="38" t="str">
        <x:v>REMOVE</x:v>
      </x:c>
      <x:c r="K140" s="38" t="str">
        <x:v>REMOVE COMFORTING</x:v>
      </x:c>
      <x:c r="L140" s="38" t="str">
        <x:v>fresh</x:v>
      </x:c>
      <x:c r="M140" s="38" t="str">
        <x:v>Japanese rice balls shaped by hand and filled or seasoned with savory ingredients.</x:v>
      </x:c>
      <x:c r="N140" s="38" t="str">
        <x:v>Comforting — Remove comforting: the dish is better distinguished by its sharper current preference flavor(s); comfort adds little discriminatory value.</x:v>
      </x:c>
    </x:row>
    <x:row r="141" ht="56" customHeight="1">
      <x:c r="A141" s="38" t="n">
        <x:v>129</x:v>
      </x:c>
      <x:c r="B141" s="38" t="str">
        <x:v>goi-cuon</x:v>
      </x:c>
      <x:c r="C141" s="38" t="str">
        <x:v>Gỏi Cuốn</x:v>
      </x:c>
      <x:c r="D141" s="38" t="str">
        <x:v>southeast-asia</x:v>
      </x:c>
      <x:c r="E141" s="38" t="str">
        <x:v>handheld</x:v>
      </x:c>
      <x:c r="F141" s="38" t="str">
        <x:v>fresh | tangy</x:v>
      </x:c>
      <x:c r="G141" s="38" t="str">
        <x:v>NO</x:v>
      </x:c>
      <x:c r="H141" s="38" t="str">
        <x:v>NOT TAGGED</x:v>
      </x:c>
      <x:c r="I141" s="38" t="str">
        <x:v>NO</x:v>
      </x:c>
      <x:c r="J141" s="38" t="str">
        <x:v>NOT TAGGED</x:v>
      </x:c>
      <x:c r="K141" s="38" t="str">
        <x:v>KEEP CURRENT</x:v>
      </x:c>
      <x:c r="L141" s="38" t="str">
        <x:v>fresh | tangy</x:v>
      </x:c>
      <x:c r="M141" s="38" t="str">
        <x:v>Vietnamese fresh rice-paper rolls packed with herbs, noodles, vegetables, and shrimp or pork.</x:v>
      </x:c>
      <x:c r="N141" s="38" t="str">
        <x:v>Neither rich nor comforting is currently assigned; no keep/remove action is needed in this audit.</x:v>
      </x:c>
    </x:row>
    <x:row r="142" ht="56" customHeight="1">
      <x:c r="A142" s="38" t="n">
        <x:v>130</x:v>
      </x:c>
      <x:c r="B142" s="38" t="str">
        <x:v>banh-xeo</x:v>
      </x:c>
      <x:c r="C142" s="38" t="str">
        <x:v>Bánh Xèo</x:v>
      </x:c>
      <x:c r="D142" s="38" t="str">
        <x:v>southeast-asia</x:v>
      </x:c>
      <x:c r="E142" s="38" t="str">
        <x:v>handheld</x:v>
      </x:c>
      <x:c r="F142" s="38" t="str">
        <x:v>crispy | fresh</x:v>
      </x:c>
      <x:c r="G142" s="38" t="str">
        <x:v>NO</x:v>
      </x:c>
      <x:c r="H142" s="38" t="str">
        <x:v>NOT TAGGED</x:v>
      </x:c>
      <x:c r="I142" s="38" t="str">
        <x:v>NO</x:v>
      </x:c>
      <x:c r="J142" s="38" t="str">
        <x:v>NOT TAGGED</x:v>
      </x:c>
      <x:c r="K142" s="38" t="str">
        <x:v>KEEP CURRENT</x:v>
      </x:c>
      <x:c r="L142" s="38" t="str">
        <x:v>crispy | fresh</x:v>
      </x:c>
      <x:c r="M142" s="38" t="str">
        <x:v>Crisp Vietnamese turmeric crepe filled with pork, shrimp, bean sprouts, and fresh herbs.</x:v>
      </x:c>
      <x:c r="N142" s="38" t="str">
        <x:v>Neither rich nor comforting is currently assigned; no keep/remove action is needed in this audit.</x:v>
      </x:c>
    </x:row>
    <x:row r="143" ht="56" customHeight="1">
      <x:c r="A143" s="38" t="n">
        <x:v>131</x:v>
      </x:c>
      <x:c r="B143" s="38" t="str">
        <x:v>ikan-bakar</x:v>
      </x:c>
      <x:c r="C143" s="38" t="str">
        <x:v>Ikan Bakar</x:v>
      </x:c>
      <x:c r="D143" s="38" t="str">
        <x:v>southeast-asia</x:v>
      </x:c>
      <x:c r="E143" s="38" t="str">
        <x:v>grilled-protein</x:v>
      </x:c>
      <x:c r="F143" s="38" t="str">
        <x:v>spicy | fresh</x:v>
      </x:c>
      <x:c r="G143" s="38" t="str">
        <x:v>NO</x:v>
      </x:c>
      <x:c r="H143" s="38" t="str">
        <x:v>NOT TAGGED</x:v>
      </x:c>
      <x:c r="I143" s="38" t="str">
        <x:v>NO</x:v>
      </x:c>
      <x:c r="J143" s="38" t="str">
        <x:v>NOT TAGGED</x:v>
      </x:c>
      <x:c r="K143" s="38" t="str">
        <x:v>KEEP CURRENT</x:v>
      </x:c>
      <x:c r="L143" s="38" t="str">
        <x:v>spicy | fresh</x:v>
      </x:c>
      <x:c r="M143" s="38" t="str">
        <x:v>Indonesian or Malay grilled fish coated with aromatic spices, chile, and regional sauces.</x:v>
      </x:c>
      <x:c r="N143" s="38" t="str">
        <x:v>Neither rich nor comforting is currently assigned; no keep/remove action is needed in this audit.</x:v>
      </x:c>
    </x:row>
    <x:row r="144" ht="56" customHeight="1">
      <x:c r="A144" s="38" t="n">
        <x:v>132</x:v>
      </x:c>
      <x:c r="B144" s="38" t="str">
        <x:v>khichdi</x:v>
      </x:c>
      <x:c r="C144" s="38" t="str">
        <x:v>Khichdi</x:v>
      </x:c>
      <x:c r="D144" s="38" t="str">
        <x:v>south-asia</x:v>
      </x:c>
      <x:c r="E144" s="38" t="str">
        <x:v>rice</x:v>
      </x:c>
      <x:c r="F144" s="38" t="str">
        <x:v>comforting | fresh</x:v>
      </x:c>
      <x:c r="G144" s="38" t="str">
        <x:v>NO</x:v>
      </x:c>
      <x:c r="H144" s="38" t="str">
        <x:v>NOT TAGGED</x:v>
      </x:c>
      <x:c r="I144" s="38" t="str">
        <x:v>YES</x:v>
      </x:c>
      <x:c r="J144" s="38" t="str">
        <x:v>KEEP</x:v>
      </x:c>
      <x:c r="K144" s="38" t="str">
        <x:v>KEEP CURRENT</x:v>
      </x:c>
      <x:c r="L144" s="38" t="str">
        <x:v>comforting | fresh</x:v>
      </x:c>
      <x:c r="M144" s="38" t="str">
        <x:v>South Asian rice-and-lentil comfort dish cooked soft with spices and optional vegetables.</x:v>
      </x:c>
      <x:c r="N144" s="38" t="str">
        <x:v>Comforting — The warm, soft, starchy, brothy, braised, or slow-cooked format makes comforting a defining eating experience rather than a catch-all tag.</x:v>
      </x:c>
    </x:row>
    <x:row r="145" ht="56" customHeight="1">
      <x:c r="A145" s="38" t="n">
        <x:v>133</x:v>
      </x:c>
      <x:c r="B145" s="38" t="str">
        <x:v>kathi-roll</x:v>
      </x:c>
      <x:c r="C145" s="38" t="str">
        <x:v>Kathi Roll</x:v>
      </x:c>
      <x:c r="D145" s="38" t="str">
        <x:v>south-asia</x:v>
      </x:c>
      <x:c r="E145" s="38" t="str">
        <x:v>handheld</x:v>
      </x:c>
      <x:c r="F145" s="38" t="str">
        <x:v>spicy | crispy</x:v>
      </x:c>
      <x:c r="G145" s="38" t="str">
        <x:v>NO</x:v>
      </x:c>
      <x:c r="H145" s="38" t="str">
        <x:v>NOT TAGGED</x:v>
      </x:c>
      <x:c r="I145" s="38" t="str">
        <x:v>NO</x:v>
      </x:c>
      <x:c r="J145" s="38" t="str">
        <x:v>NOT TAGGED</x:v>
      </x:c>
      <x:c r="K145" s="38" t="str">
        <x:v>KEEP CURRENT</x:v>
      </x:c>
      <x:c r="L145" s="38" t="str">
        <x:v>spicy | crispy</x:v>
      </x:c>
      <x:c r="M145" s="38" t="str">
        <x:v>Kolkata-style flatbread roll wrapped around grilled fillings, onions, sauces, and spices.</x:v>
      </x:c>
      <x:c r="N145" s="38" t="str">
        <x:v>Neither rich nor comforting is currently assigned; no keep/remove action is needed in this audit.</x:v>
      </x:c>
    </x:row>
    <x:row r="146" ht="56" customHeight="1">
      <x:c r="A146" s="38" t="n">
        <x:v>134</x:v>
      </x:c>
      <x:c r="B146" s="38" t="str">
        <x:v>korma</x:v>
      </x:c>
      <x:c r="C146" s="38" t="str">
        <x:v>Korma</x:v>
      </x:c>
      <x:c r="D146" s="38" t="str">
        <x:v>south-asia</x:v>
      </x:c>
      <x:c r="E146" s="38" t="str">
        <x:v>grilled-protein</x:v>
      </x:c>
      <x:c r="F146" s="38" t="str">
        <x:v>rich | comforting</x:v>
      </x:c>
      <x:c r="G146" s="38" t="str">
        <x:v>YES</x:v>
      </x:c>
      <x:c r="H146" s="38" t="str">
        <x:v>KEEP</x:v>
      </x:c>
      <x:c r="I146" s="38" t="str">
        <x:v>YES</x:v>
      </x:c>
      <x:c r="J146" s="38" t="str">
        <x:v>KEEP</x:v>
      </x:c>
      <x:c r="K146" s="38" t="str">
        <x:v>KEEP CURRENT</x:v>
      </x:c>
      <x:c r="L146" s="38" t="str">
        <x:v>rich | comforting</x:v>
      </x:c>
      <x:c r="M146" s="38" t="str">
        <x:v>South Asian meat or vegetables braised in a fragrant sauce enriched with yogurt, cream, or nuts.</x:v>
      </x:c>
      <x:c r="N146"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47" ht="56" customHeight="1">
      <x:c r="A147" s="38" t="n">
        <x:v>135</x:v>
      </x:c>
      <x:c r="B147" s="38" t="str">
        <x:v>musakhan</x:v>
      </x:c>
      <x:c r="C147" s="38" t="str">
        <x:v>Musakhan</x:v>
      </x:c>
      <x:c r="D147" s="38" t="str">
        <x:v>middle-east</x:v>
      </x:c>
      <x:c r="E147" s="38" t="str">
        <x:v>grilled-protein</x:v>
      </x:c>
      <x:c r="F147" s="38" t="str">
        <x:v>tangy | rich</x:v>
      </x:c>
      <x:c r="G147" s="38" t="str">
        <x:v>YES</x:v>
      </x:c>
      <x:c r="H147" s="38" t="str">
        <x:v>KEEP</x:v>
      </x:c>
      <x:c r="I147" s="38" t="str">
        <x:v>NO</x:v>
      </x:c>
      <x:c r="J147" s="38" t="str">
        <x:v>NOT TAGGED</x:v>
      </x:c>
      <x:c r="K147" s="38" t="str">
        <x:v>KEEP CURRENT</x:v>
      </x:c>
      <x:c r="L147" s="38" t="str">
        <x:v>tangy | rich</x:v>
      </x:c>
      <x:c r="M147" s="38" t="str">
        <x:v>Palestinian sumac-roasted chicken served over onion-soaked taboon bread with olive oil.</x:v>
      </x:c>
      <x:c r="N147" s="38" t="str">
        <x:v>Rich — The current description presents a full-bodied, substantial preparation where rich adds useful recommendation signal.</x:v>
      </x:c>
    </x:row>
    <x:row r="148" ht="56" customHeight="1">
      <x:c r="A148" s="38" t="n">
        <x:v>136</x:v>
      </x:c>
      <x:c r="B148" s="38" t="str">
        <x:v>harees</x:v>
      </x:c>
      <x:c r="C148" s="38" t="str">
        <x:v>Harees</x:v>
      </x:c>
      <x:c r="D148" s="38" t="str">
        <x:v>middle-east</x:v>
      </x:c>
      <x:c r="E148" s="38" t="str">
        <x:v>soup-broth</x:v>
      </x:c>
      <x:c r="F148" s="38" t="str">
        <x:v>comforting | rich</x:v>
      </x:c>
      <x:c r="G148" s="38" t="str">
        <x:v>YES</x:v>
      </x:c>
      <x:c r="H148" s="38" t="str">
        <x:v>KEEP</x:v>
      </x:c>
      <x:c r="I148" s="38" t="str">
        <x:v>YES</x:v>
      </x:c>
      <x:c r="J148" s="38" t="str">
        <x:v>KEEP</x:v>
      </x:c>
      <x:c r="K148" s="38" t="str">
        <x:v>KEEP CURRENT</x:v>
      </x:c>
      <x:c r="L148" s="38" t="str">
        <x:v>comforting | rich</x:v>
      </x:c>
      <x:c r="M148" s="38" t="str">
        <x:v>Gulf wheat-and-meat porridge slow-cooked until creamy, cohesive, and deeply comforting.</x:v>
      </x:c>
      <x:c r="N148"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49" ht="56" customHeight="1">
      <x:c r="A149" s="38" t="n">
        <x:v>137</x:v>
      </x:c>
      <x:c r="B149" s="38" t="str">
        <x:v>lahmacun</x:v>
      </x:c>
      <x:c r="C149" s="38" t="str">
        <x:v>Lahmacun</x:v>
      </x:c>
      <x:c r="D149" s="38" t="str">
        <x:v>middle-east</x:v>
      </x:c>
      <x:c r="E149" s="38" t="str">
        <x:v>handheld</x:v>
      </x:c>
      <x:c r="F149" s="38" t="str">
        <x:v>fresh | crispy | spicy</x:v>
      </x:c>
      <x:c r="G149" s="38" t="str">
        <x:v>NO</x:v>
      </x:c>
      <x:c r="H149" s="38" t="str">
        <x:v>NOT TAGGED</x:v>
      </x:c>
      <x:c r="I149" s="38" t="str">
        <x:v>NO</x:v>
      </x:c>
      <x:c r="J149" s="38" t="str">
        <x:v>NOT TAGGED</x:v>
      </x:c>
      <x:c r="K149" s="38" t="str">
        <x:v>KEEP CURRENT</x:v>
      </x:c>
      <x:c r="L149" s="38" t="str">
        <x:v>fresh | crispy | spicy</x:v>
      </x:c>
      <x:c r="M149" s="38" t="str">
        <x:v>Thin flatbread baked with seasoned minced meat, herbs, tomato, and pepper.</x:v>
      </x:c>
      <x:c r="N149" s="38" t="str">
        <x:v>Neither rich nor comforting is currently assigned; no keep/remove action is needed in this audit.</x:v>
      </x:c>
    </x:row>
    <x:row r="150" ht="56" customHeight="1">
      <x:c r="A150" s="38" t="n">
        <x:v>138</x:v>
      </x:c>
      <x:c r="B150" s="38" t="str">
        <x:v>ful-medames</x:v>
      </x:c>
      <x:c r="C150" s="38" t="str">
        <x:v>Ful Medames</x:v>
      </x:c>
      <x:c r="D150" s="38" t="str">
        <x:v>africa</x:v>
      </x:c>
      <x:c r="E150" s="38" t="str">
        <x:v>soup-broth</x:v>
      </x:c>
      <x:c r="F150" s="38" t="str">
        <x:v>comforting | fresh</x:v>
      </x:c>
      <x:c r="G150" s="38" t="str">
        <x:v>NO</x:v>
      </x:c>
      <x:c r="H150" s="38" t="str">
        <x:v>NOT TAGGED</x:v>
      </x:c>
      <x:c r="I150" s="38" t="str">
        <x:v>YES</x:v>
      </x:c>
      <x:c r="J150" s="38" t="str">
        <x:v>KEEP</x:v>
      </x:c>
      <x:c r="K150" s="38" t="str">
        <x:v>KEEP CURRENT</x:v>
      </x:c>
      <x:c r="L150" s="38" t="str">
        <x:v>comforting | fresh</x:v>
      </x:c>
      <x:c r="M150" s="38" t="str">
        <x:v>Egyptian slow-cooked fava beans dressed with olive oil, lemon, cumin, and fresh toppings.</x:v>
      </x:c>
      <x:c r="N150" s="38" t="str">
        <x:v>Comforting — The warm, soft, starchy, brothy, braised, or slow-cooked format makes comforting a defining eating experience rather than a catch-all tag.</x:v>
      </x:c>
    </x:row>
    <x:row r="151" ht="56" customHeight="1">
      <x:c r="A151" s="38" t="n">
        <x:v>139</x:v>
      </x:c>
      <x:c r="B151" s="38" t="str">
        <x:v>nyama-choma</x:v>
      </x:c>
      <x:c r="C151" s="38" t="str">
        <x:v>Nyama Choma</x:v>
      </x:c>
      <x:c r="D151" s="38" t="str">
        <x:v>africa</x:v>
      </x:c>
      <x:c r="E151" s="38" t="str">
        <x:v>grilled-protein</x:v>
      </x:c>
      <x:c r="F151" s="38" t="str">
        <x:v>fresh | rich</x:v>
      </x:c>
      <x:c r="G151" s="38" t="str">
        <x:v>YES</x:v>
      </x:c>
      <x:c r="H151" s="38" t="str">
        <x:v>KEEP</x:v>
      </x:c>
      <x:c r="I151" s="38" t="str">
        <x:v>NO</x:v>
      </x:c>
      <x:c r="J151" s="38" t="str">
        <x:v>NOT TAGGED</x:v>
      </x:c>
      <x:c r="K151" s="38" t="str">
        <x:v>KEEP CURRENT</x:v>
      </x:c>
      <x:c r="L151" s="38" t="str">
        <x:v>fresh | rich</x:v>
      </x:c>
      <x:c r="M151" s="38" t="str">
        <x:v>East African meat roasted or grilled over open heat and served with fresh sides.</x:v>
      </x:c>
      <x:c r="N151" s="38" t="str">
        <x:v>Rich — The dish is centered on a dense, concentrated, meat-forward, fried, or thick preparation, so rich is meaningfully descriptive.</x:v>
      </x:c>
    </x:row>
    <x:row r="152" ht="56" customHeight="1">
      <x:c r="A152" s="38" t="n">
        <x:v>140</x:v>
      </x:c>
      <x:c r="B152" s="38" t="str">
        <x:v>rolex</x:v>
      </x:c>
      <x:c r="C152" s="38" t="str">
        <x:v>Rolex</x:v>
      </x:c>
      <x:c r="D152" s="38" t="str">
        <x:v>africa</x:v>
      </x:c>
      <x:c r="E152" s="38" t="str">
        <x:v>handheld</x:v>
      </x:c>
      <x:c r="F152" s="38" t="str">
        <x:v>fresh | comforting</x:v>
      </x:c>
      <x:c r="G152" s="38" t="str">
        <x:v>NO</x:v>
      </x:c>
      <x:c r="H152" s="38" t="str">
        <x:v>NOT TAGGED</x:v>
      </x:c>
      <x:c r="I152" s="38" t="str">
        <x:v>YES</x:v>
      </x:c>
      <x:c r="J152" s="38" t="str">
        <x:v>REMOVE</x:v>
      </x:c>
      <x:c r="K152" s="38" t="str">
        <x:v>REMOVE COMFORTING</x:v>
      </x:c>
      <x:c r="L152" s="38" t="str">
        <x:v>fresh</x:v>
      </x:c>
      <x:c r="M152" s="38" t="str">
        <x:v>Ugandan street-food wrap of chapati rolled around eggs, vegetables, and optional fillings.</x:v>
      </x:c>
      <x:c r="N152" s="38" t="str">
        <x:v>Comforting — Remove comforting: the dish is better distinguished by its sharper current preference flavor(s); comfort adds little discriminatory value.</x:v>
      </x:c>
    </x:row>
    <x:row r="153" ht="56" customHeight="1">
      <x:c r="A153" s="38" t="n">
        <x:v>141</x:v>
      </x:c>
      <x:c r="B153" s="38" t="str">
        <x:v>couscous</x:v>
      </x:c>
      <x:c r="C153" s="38" t="str">
        <x:v>Couscous</x:v>
      </x:c>
      <x:c r="D153" s="38" t="str">
        <x:v>africa</x:v>
      </x:c>
      <x:c r="E153" s="38" t="str">
        <x:v>rice</x:v>
      </x:c>
      <x:c r="F153" s="38" t="str">
        <x:v>fresh | comforting</x:v>
      </x:c>
      <x:c r="G153" s="38" t="str">
        <x:v>NO</x:v>
      </x:c>
      <x:c r="H153" s="38" t="str">
        <x:v>NOT TAGGED</x:v>
      </x:c>
      <x:c r="I153" s="38" t="str">
        <x:v>YES</x:v>
      </x:c>
      <x:c r="J153" s="38" t="str">
        <x:v>KEEP</x:v>
      </x:c>
      <x:c r="K153" s="38" t="str">
        <x:v>KEEP CURRENT</x:v>
      </x:c>
      <x:c r="L153" s="38" t="str">
        <x:v>fresh | comforting</x:v>
      </x:c>
      <x:c r="M153" s="38" t="str">
        <x:v>North African steamed semolina granules served with vegetables, broth, meat, or chickpeas.</x:v>
      </x:c>
      <x:c r="N153" s="38" t="str">
        <x:v>Comforting — The warm, soft, starchy, brothy, braised, or slow-cooked format makes comforting a defining eating experience rather than a catch-all tag.</x:v>
      </x:c>
    </x:row>
    <x:row r="154" ht="56" customHeight="1">
      <x:c r="A154" s="38" t="n">
        <x:v>142</x:v>
      </x:c>
      <x:c r="B154" s="38" t="str">
        <x:v>fish-and-chips</x:v>
      </x:c>
      <x:c r="C154" s="38" t="str">
        <x:v>Fish and Chips</x:v>
      </x:c>
      <x:c r="D154" s="38" t="str">
        <x:v>europe</x:v>
      </x:c>
      <x:c r="E154" s="38" t="str">
        <x:v>grilled-protein</x:v>
      </x:c>
      <x:c r="F154" s="38" t="str">
        <x:v>crispy | comforting</x:v>
      </x:c>
      <x:c r="G154" s="38" t="str">
        <x:v>NO</x:v>
      </x:c>
      <x:c r="H154" s="38" t="str">
        <x:v>NOT TAGGED</x:v>
      </x:c>
      <x:c r="I154" s="38" t="str">
        <x:v>YES</x:v>
      </x:c>
      <x:c r="J154" s="38" t="str">
        <x:v>KEEP</x:v>
      </x:c>
      <x:c r="K154" s="38" t="str">
        <x:v>KEEP CURRENT</x:v>
      </x:c>
      <x:c r="L154" s="38" t="str">
        <x:v>crispy | comforting</x:v>
      </x:c>
      <x:c r="M154" s="38" t="str">
        <x:v>British battered fish fried crisp and served with thick-cut chips.</x:v>
      </x:c>
      <x:c r="N154" s="38" t="str">
        <x:v>Comforting — Comforting is still defensible from the dish's warm, familiar, substantial format and adds useful mood-level signal.</x:v>
      </x:c>
    </x:row>
    <x:row r="155" ht="56" customHeight="1">
      <x:c r="A155" s="38" t="n">
        <x:v>143</x:v>
      </x:c>
      <x:c r="B155" s="38" t="str">
        <x:v>moussaka</x:v>
      </x:c>
      <x:c r="C155" s="38" t="str">
        <x:v>Moussaka</x:v>
      </x:c>
      <x:c r="D155" s="38" t="str">
        <x:v>europe</x:v>
      </x:c>
      <x:c r="E155" s="38" t="str">
        <x:v>grilled-protein</x:v>
      </x:c>
      <x:c r="F155" s="38" t="str">
        <x:v>rich | comforting</x:v>
      </x:c>
      <x:c r="G155" s="38" t="str">
        <x:v>YES</x:v>
      </x:c>
      <x:c r="H155" s="38" t="str">
        <x:v>KEEP</x:v>
      </x:c>
      <x:c r="I155" s="38" t="str">
        <x:v>YES</x:v>
      </x:c>
      <x:c r="J155" s="38" t="str">
        <x:v>KEEP</x:v>
      </x:c>
      <x:c r="K155" s="38" t="str">
        <x:v>KEEP CURRENT</x:v>
      </x:c>
      <x:c r="L155" s="38" t="str">
        <x:v>rich | comforting</x:v>
      </x:c>
      <x:c r="M155" s="38" t="str">
        <x:v>Greek layered eggplant and meat casserole topped with a creamy baked sauce.</x:v>
      </x:c>
      <x:c r="N155"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56" ht="56" customHeight="1">
      <x:c r="A156" s="38" t="n">
        <x:v>144</x:v>
      </x:c>
      <x:c r="B156" s="38" t="str">
        <x:v>croque-monsieur</x:v>
      </x:c>
      <x:c r="C156" s="38" t="str">
        <x:v>Croque Monsieur</x:v>
      </x:c>
      <x:c r="D156" s="38" t="str">
        <x:v>europe</x:v>
      </x:c>
      <x:c r="E156" s="38" t="str">
        <x:v>handheld</x:v>
      </x:c>
      <x:c r="F156" s="38" t="str">
        <x:v>crispy | rich</x:v>
      </x:c>
      <x:c r="G156" s="38" t="str">
        <x:v>YES</x:v>
      </x:c>
      <x:c r="H156" s="38" t="str">
        <x:v>KEEP</x:v>
      </x:c>
      <x:c r="I156" s="38" t="str">
        <x:v>NO</x:v>
      </x:c>
      <x:c r="J156" s="38" t="str">
        <x:v>NOT TAGGED</x:v>
      </x:c>
      <x:c r="K156" s="38" t="str">
        <x:v>KEEP CURRENT</x:v>
      </x:c>
      <x:c r="L156" s="38" t="str">
        <x:v>crispy | rich</x:v>
      </x:c>
      <x:c r="M156" s="38" t="str">
        <x:v>French grilled ham-and-cheese sandwich with a crisp exterior and melted cheese.</x:v>
      </x:c>
      <x:c r="N156" s="38" t="str">
        <x:v>Rich — Richness is supported by a creamy, fatty, nutty, coconut, cheese, or similarly dense component in the current catalog description.</x:v>
      </x:c>
    </x:row>
    <x:row r="157" ht="56" customHeight="1">
      <x:c r="A157" s="38" t="n">
        <x:v>145</x:v>
      </x:c>
      <x:c r="B157" s="38" t="str">
        <x:v>aji-de-gallina</x:v>
      </x:c>
      <x:c r="C157" s="38" t="str">
        <x:v>Ají de Gallina</x:v>
      </x:c>
      <x:c r="D157" s="38" t="str">
        <x:v>latin-america</x:v>
      </x:c>
      <x:c r="E157" s="38" t="str">
        <x:v>grilled-protein</x:v>
      </x:c>
      <x:c r="F157" s="38" t="str">
        <x:v>rich | comforting</x:v>
      </x:c>
      <x:c r="G157" s="38" t="str">
        <x:v>YES</x:v>
      </x:c>
      <x:c r="H157" s="38" t="str">
        <x:v>KEEP</x:v>
      </x:c>
      <x:c r="I157" s="38" t="str">
        <x:v>YES</x:v>
      </x:c>
      <x:c r="J157" s="38" t="str">
        <x:v>KEEP</x:v>
      </x:c>
      <x:c r="K157" s="38" t="str">
        <x:v>KEEP CURRENT</x:v>
      </x:c>
      <x:c r="L157" s="38" t="str">
        <x:v>rich | comforting</x:v>
      </x:c>
      <x:c r="M157" s="38" t="str">
        <x:v>Peruvian shredded chicken in a creamy yellow-chile sauce with nuts, bread, and cheese.</x:v>
      </x:c>
      <x:c r="N157"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158" ht="56" customHeight="1">
      <x:c r="A158" s="38" t="n">
        <x:v>146</x:v>
      </x:c>
      <x:c r="B158" s="38" t="str">
        <x:v>sopa-de-fideo</x:v>
      </x:c>
      <x:c r="C158" s="38" t="str">
        <x:v>Sopa de Fideo</x:v>
      </x:c>
      <x:c r="D158" s="38" t="str">
        <x:v>latin-america</x:v>
      </x:c>
      <x:c r="E158" s="38" t="str">
        <x:v>noodle</x:v>
      </x:c>
      <x:c r="F158" s="38" t="str">
        <x:v>comforting | fresh</x:v>
      </x:c>
      <x:c r="G158" s="38" t="str">
        <x:v>NO</x:v>
      </x:c>
      <x:c r="H158" s="38" t="str">
        <x:v>NOT TAGGED</x:v>
      </x:c>
      <x:c r="I158" s="38" t="str">
        <x:v>YES</x:v>
      </x:c>
      <x:c r="J158" s="38" t="str">
        <x:v>KEEP</x:v>
      </x:c>
      <x:c r="K158" s="38" t="str">
        <x:v>KEEP CURRENT</x:v>
      </x:c>
      <x:c r="L158" s="38" t="str">
        <x:v>comforting | fresh</x:v>
      </x:c>
      <x:c r="M158" s="38" t="str">
        <x:v>Mexican noodle soup with toasted short pasta simmered in a tomato-based broth.</x:v>
      </x:c>
      <x:c r="N158" s="38" t="str">
        <x:v>Comforting — The warm, soft, starchy, brothy, braised, or slow-cooked format makes comforting a defining eating experience rather than a catch-all tag.</x:v>
      </x:c>
    </x:row>
    <x:row r="159" ht="56" customHeight="1">
      <x:c r="A159" s="38" t="n">
        <x:v>147</x:v>
      </x:c>
      <x:c r="B159" s="38" t="str">
        <x:v>coxinha</x:v>
      </x:c>
      <x:c r="C159" s="38" t="str">
        <x:v>Coxinha</x:v>
      </x:c>
      <x:c r="D159" s="38" t="str">
        <x:v>latin-america</x:v>
      </x:c>
      <x:c r="E159" s="38" t="str">
        <x:v>handheld</x:v>
      </x:c>
      <x:c r="F159" s="38" t="str">
        <x:v>crispy | rich</x:v>
      </x:c>
      <x:c r="G159" s="38" t="str">
        <x:v>YES</x:v>
      </x:c>
      <x:c r="H159" s="38" t="str">
        <x:v>KEEP</x:v>
      </x:c>
      <x:c r="I159" s="38" t="str">
        <x:v>NO</x:v>
      </x:c>
      <x:c r="J159" s="38" t="str">
        <x:v>NOT TAGGED</x:v>
      </x:c>
      <x:c r="K159" s="38" t="str">
        <x:v>KEEP CURRENT</x:v>
      </x:c>
      <x:c r="L159" s="38" t="str">
        <x:v>crispy | rich</x:v>
      </x:c>
      <x:c r="M159" s="38" t="str">
        <x:v>Brazilian teardrop-shaped fried snack filled with seasoned shredded chicken.</x:v>
      </x:c>
      <x:c r="N159" s="38" t="str">
        <x:v>Rich — Richness is supported by a creamy, fatty, nutty, coconut, cheese, or similarly dense component in the current catalog description.</x:v>
      </x:c>
    </x:row>
    <x:row r="160" ht="56" customHeight="1">
      <x:c r="A160" s="38" t="n">
        <x:v>148</x:v>
      </x:c>
      <x:c r="B160" s="38" t="str">
        <x:v>nashville-hot-chicken</x:v>
      </x:c>
      <x:c r="C160" s="38" t="str">
        <x:v>Nashville Hot Chicken</x:v>
      </x:c>
      <x:c r="D160" s="38" t="str">
        <x:v>north-america</x:v>
      </x:c>
      <x:c r="E160" s="38" t="str">
        <x:v>grilled-protein</x:v>
      </x:c>
      <x:c r="F160" s="38" t="str">
        <x:v>spicy | crispy</x:v>
      </x:c>
      <x:c r="G160" s="38" t="str">
        <x:v>NO</x:v>
      </x:c>
      <x:c r="H160" s="38" t="str">
        <x:v>NOT TAGGED</x:v>
      </x:c>
      <x:c r="I160" s="38" t="str">
        <x:v>NO</x:v>
      </x:c>
      <x:c r="J160" s="38" t="str">
        <x:v>NOT TAGGED</x:v>
      </x:c>
      <x:c r="K160" s="38" t="str">
        <x:v>KEEP CURRENT</x:v>
      </x:c>
      <x:c r="L160" s="38" t="str">
        <x:v>spicy | crispy</x:v>
      </x:c>
      <x:c r="M160" s="38" t="str">
        <x:v>Nashville fried chicken coated in a fiery cayenne-rich spice paste.</x:v>
      </x:c>
      <x:c r="N160" s="38" t="str">
        <x:v>Neither rich nor comforting is currently assigned; no keep/remove action is needed in this audit.</x:v>
      </x:c>
    </x:row>
    <x:row r="161" ht="56" customHeight="1">
      <x:c r="A161" s="38" t="n">
        <x:v>149</x:v>
      </x:c>
      <x:c r="B161" s="38" t="str">
        <x:v>reuben-sandwich</x:v>
      </x:c>
      <x:c r="C161" s="38" t="str">
        <x:v>Reuben Sandwich</x:v>
      </x:c>
      <x:c r="D161" s="38" t="str">
        <x:v>north-america</x:v>
      </x:c>
      <x:c r="E161" s="38" t="str">
        <x:v>handheld</x:v>
      </x:c>
      <x:c r="F161" s="38" t="str">
        <x:v>rich | tangy</x:v>
      </x:c>
      <x:c r="G161" s="38" t="str">
        <x:v>YES</x:v>
      </x:c>
      <x:c r="H161" s="38" t="str">
        <x:v>KEEP</x:v>
      </x:c>
      <x:c r="I161" s="38" t="str">
        <x:v>NO</x:v>
      </x:c>
      <x:c r="J161" s="38" t="str">
        <x:v>NOT TAGGED</x:v>
      </x:c>
      <x:c r="K161" s="38" t="str">
        <x:v>KEEP CURRENT</x:v>
      </x:c>
      <x:c r="L161" s="38" t="str">
        <x:v>rich | tangy</x:v>
      </x:c>
      <x:c r="M161" s="38" t="str">
        <x:v>Griddled American sandwich with corned beef, Swiss cheese, sauerkraut, and dressing.</x:v>
      </x:c>
      <x:c r="N161" s="38" t="str">
        <x:v>Rich — Richness is supported by a creamy, fatty, nutty, coconut, cheese, or similarly dense component in the current catalog description.</x:v>
      </x:c>
    </x:row>
    <x:row r="162" ht="56" customHeight="1">
      <x:c r="A162" s="38" t="n">
        <x:v>150</x:v>
      </x:c>
      <x:c r="B162" s="38" t="str">
        <x:v>loco-moco</x:v>
      </x:c>
      <x:c r="C162" s="38" t="str">
        <x:v>Loco Moco</x:v>
      </x:c>
      <x:c r="D162" s="38" t="str">
        <x:v>north-america</x:v>
      </x:c>
      <x:c r="E162" s="38" t="str">
        <x:v>rice</x:v>
      </x:c>
      <x:c r="F162" s="38" t="str">
        <x:v>rich | comforting</x:v>
      </x:c>
      <x:c r="G162" s="38" t="str">
        <x:v>YES</x:v>
      </x:c>
      <x:c r="H162" s="38" t="str">
        <x:v>KEEP</x:v>
      </x:c>
      <x:c r="I162" s="38" t="str">
        <x:v>YES</x:v>
      </x:c>
      <x:c r="J162" s="38" t="str">
        <x:v>KEEP</x:v>
      </x:c>
      <x:c r="K162" s="38" t="str">
        <x:v>KEEP CURRENT</x:v>
      </x:c>
      <x:c r="L162" s="38" t="str">
        <x:v>rich | comforting</x:v>
      </x:c>
      <x:c r="M162" s="38" t="str">
        <x:v>Hawaiian rice topped with a hamburger patty, fried egg, and brown gravy.</x:v>
      </x:c>
      <x:c r="N162"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63" ht="56" customHeight="1">
      <x:c r="A163" s="38" t="n">
        <x:v>151</x:v>
      </x:c>
      <x:c r="B163" s="38" t="str">
        <x:v>oyakodon</x:v>
      </x:c>
      <x:c r="C163" s="38" t="str">
        <x:v>Oyakodon</x:v>
      </x:c>
      <x:c r="D163" s="38" t="str">
        <x:v>east-asia</x:v>
      </x:c>
      <x:c r="E163" s="38" t="str">
        <x:v>rice</x:v>
      </x:c>
      <x:c r="F163" s="38" t="str">
        <x:v>comforting | rich</x:v>
      </x:c>
      <x:c r="G163" s="38" t="str">
        <x:v>YES</x:v>
      </x:c>
      <x:c r="H163" s="38" t="str">
        <x:v>REMOVE</x:v>
      </x:c>
      <x:c r="I163" s="38" t="str">
        <x:v>YES</x:v>
      </x:c>
      <x:c r="J163" s="38" t="str">
        <x:v>KEEP</x:v>
      </x:c>
      <x:c r="K163" s="38" t="str">
        <x:v>REMOVE RICH</x:v>
      </x:c>
      <x:c r="L163" s="38" t="str">
        <x:v>comforting</x:v>
      </x:c>
      <x:c r="M163" s="38" t="str">
        <x:v>Japanese rice bowl topped with chicken and softly set egg simmered in a sweet-savory sauce.</x:v>
      </x:c>
      <x:c r="N163"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64" ht="56" customHeight="1">
      <x:c r="A164" s="38" t="n">
        <x:v>152</x:v>
      </x:c>
      <x:c r="B164" s="38" t="str">
        <x:v>doenjang-jjigae</x:v>
      </x:c>
      <x:c r="C164" s="38" t="str">
        <x:v>Doenjang-jjigae</x:v>
      </x:c>
      <x:c r="D164" s="38" t="str">
        <x:v>east-asia</x:v>
      </x:c>
      <x:c r="E164" s="38" t="str">
        <x:v>soup-broth</x:v>
      </x:c>
      <x:c r="F164" s="38" t="str">
        <x:v>rich | comforting</x:v>
      </x:c>
      <x:c r="G164" s="38" t="str">
        <x:v>YES</x:v>
      </x:c>
      <x:c r="H164" s="38" t="str">
        <x:v>REMOVE</x:v>
      </x:c>
      <x:c r="I164" s="38" t="str">
        <x:v>YES</x:v>
      </x:c>
      <x:c r="J164" s="38" t="str">
        <x:v>KEEP</x:v>
      </x:c>
      <x:c r="K164" s="38" t="str">
        <x:v>REMOVE RICH</x:v>
      </x:c>
      <x:c r="L164" s="38" t="str">
        <x:v>comforting</x:v>
      </x:c>
      <x:c r="M164" s="38" t="str">
        <x:v>Korean soybean-paste stew with tofu, vegetables, and a deep fermented savory flavor.</x:v>
      </x:c>
      <x:c r="N164"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65" ht="56" customHeight="1">
      <x:c r="A165" s="38" t="n">
        <x:v>153</x:v>
      </x:c>
      <x:c r="B165" s="38" t="str">
        <x:v>zongzi</x:v>
      </x:c>
      <x:c r="C165" s="38" t="str">
        <x:v>Zongzi</x:v>
      </x:c>
      <x:c r="D165" s="38" t="str">
        <x:v>east-asia</x:v>
      </x:c>
      <x:c r="E165" s="38" t="str">
        <x:v>handheld</x:v>
      </x:c>
      <x:c r="F165" s="38" t="str">
        <x:v>comforting | rich</x:v>
      </x:c>
      <x:c r="G165" s="38" t="str">
        <x:v>YES</x:v>
      </x:c>
      <x:c r="H165" s="38" t="str">
        <x:v>REMOVE</x:v>
      </x:c>
      <x:c r="I165" s="38" t="str">
        <x:v>YES</x:v>
      </x:c>
      <x:c r="J165" s="38" t="str">
        <x:v>KEEP</x:v>
      </x:c>
      <x:c r="K165" s="38" t="str">
        <x:v>REMOVE RICH</x:v>
      </x:c>
      <x:c r="L165" s="38" t="str">
        <x:v>comforting</x:v>
      </x:c>
      <x:c r="M165" s="38" t="str">
        <x:v>Chinese sticky rice parcels wrapped in bamboo or reed leaves with savory or sweet fillings.</x:v>
      </x:c>
      <x:c r="N165"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66" ht="56" customHeight="1">
      <x:c r="A166" s="38" t="n">
        <x:v>154</x:v>
      </x:c>
      <x:c r="B166" s="38" t="str">
        <x:v>bai-sach-chrouk</x:v>
      </x:c>
      <x:c r="C166" s="38" t="str">
        <x:v>Bai Sach Chrouk</x:v>
      </x:c>
      <x:c r="D166" s="38" t="str">
        <x:v>southeast-asia</x:v>
      </x:c>
      <x:c r="E166" s="38" t="str">
        <x:v>rice</x:v>
      </x:c>
      <x:c r="F166" s="38" t="str">
        <x:v>comforting | fresh</x:v>
      </x:c>
      <x:c r="G166" s="38" t="str">
        <x:v>NO</x:v>
      </x:c>
      <x:c r="H166" s="38" t="str">
        <x:v>NOT TAGGED</x:v>
      </x:c>
      <x:c r="I166" s="38" t="str">
        <x:v>YES</x:v>
      </x:c>
      <x:c r="J166" s="38" t="str">
        <x:v>KEEP</x:v>
      </x:c>
      <x:c r="K166" s="38" t="str">
        <x:v>KEEP CURRENT</x:v>
      </x:c>
      <x:c r="L166" s="38" t="str">
        <x:v>comforting | fresh</x:v>
      </x:c>
      <x:c r="M166" s="38" t="str">
        <x:v>Cambodian grilled pork served over rice with pickled vegetables and light broth.</x:v>
      </x:c>
      <x:c r="N166" s="38" t="str">
        <x:v>Comforting — The warm, soft, starchy, brothy, braised, or slow-cooked format makes comforting a defining eating experience rather than a catch-all tag.</x:v>
      </x:c>
    </x:row>
    <x:row r="167" ht="56" customHeight="1">
      <x:c r="A167" s="38" t="n">
        <x:v>155</x:v>
      </x:c>
      <x:c r="B167" s="38" t="str">
        <x:v>kuy-teav</x:v>
      </x:c>
      <x:c r="C167" s="38" t="str">
        <x:v>Kuy Teav</x:v>
      </x:c>
      <x:c r="D167" s="38" t="str">
        <x:v>southeast-asia</x:v>
      </x:c>
      <x:c r="E167" s="38" t="str">
        <x:v>soup-broth</x:v>
      </x:c>
      <x:c r="F167" s="38" t="str">
        <x:v>fresh | comforting</x:v>
      </x:c>
      <x:c r="G167" s="38" t="str">
        <x:v>NO</x:v>
      </x:c>
      <x:c r="H167" s="38" t="str">
        <x:v>NOT TAGGED</x:v>
      </x:c>
      <x:c r="I167" s="38" t="str">
        <x:v>YES</x:v>
      </x:c>
      <x:c r="J167" s="38" t="str">
        <x:v>KEEP</x:v>
      </x:c>
      <x:c r="K167" s="38" t="str">
        <x:v>KEEP CURRENT</x:v>
      </x:c>
      <x:c r="L167" s="38" t="str">
        <x:v>fresh | comforting</x:v>
      </x:c>
      <x:c r="M167" s="38" t="str">
        <x:v>Cambodian rice-noodle soup with clear savory broth, herbs, vegetables, and varied proteins.</x:v>
      </x:c>
      <x:c r="N167" s="38" t="str">
        <x:v>Comforting — The warm, soft, starchy, brothy, braised, or slow-cooked format makes comforting a defining eating experience rather than a catch-all tag.</x:v>
      </x:c>
    </x:row>
    <x:row r="168" ht="56" customHeight="1">
      <x:c r="A168" s="38" t="n">
        <x:v>156</x:v>
      </x:c>
      <x:c r="B168" s="38" t="str">
        <x:v>fish-amok</x:v>
      </x:c>
      <x:c r="C168" s="38" t="str">
        <x:v>Fish Amok</x:v>
      </x:c>
      <x:c r="D168" s="38" t="str">
        <x:v>southeast-asia</x:v>
      </x:c>
      <x:c r="E168" s="38" t="str">
        <x:v>grilled-protein</x:v>
      </x:c>
      <x:c r="F168" s="38" t="str">
        <x:v>rich | fresh</x:v>
      </x:c>
      <x:c r="G168" s="38" t="str">
        <x:v>YES</x:v>
      </x:c>
      <x:c r="H168" s="38" t="str">
        <x:v>KEEP</x:v>
      </x:c>
      <x:c r="I168" s="38" t="str">
        <x:v>NO</x:v>
      </x:c>
      <x:c r="J168" s="38" t="str">
        <x:v>NOT TAGGED</x:v>
      </x:c>
      <x:c r="K168" s="38" t="str">
        <x:v>KEEP CURRENT</x:v>
      </x:c>
      <x:c r="L168" s="38" t="str">
        <x:v>rich | fresh</x:v>
      </x:c>
      <x:c r="M168" s="38" t="str">
        <x:v>Cambodian fish curry steamed with coconut, kroeung aromatics, and herbs until softly set.</x:v>
      </x:c>
      <x:c r="N168" s="38" t="str">
        <x:v>Rich — Richness is supported by a creamy, fatty, nutty, coconut, cheese, or similarly dense component in the current catalog description.</x:v>
      </x:c>
    </x:row>
    <x:row r="169" ht="56" customHeight="1">
      <x:c r="A169" s="38" t="n">
        <x:v>157</x:v>
      </x:c>
      <x:c r="B169" s="38" t="str">
        <x:v>butter-chicken</x:v>
      </x:c>
      <x:c r="C169" s="38" t="str">
        <x:v>Butter Chicken</x:v>
      </x:c>
      <x:c r="D169" s="38" t="str">
        <x:v>south-asia</x:v>
      </x:c>
      <x:c r="E169" s="38" t="str">
        <x:v>grilled-protein</x:v>
      </x:c>
      <x:c r="F169" s="38" t="str">
        <x:v>rich | comforting</x:v>
      </x:c>
      <x:c r="G169" s="38" t="str">
        <x:v>YES</x:v>
      </x:c>
      <x:c r="H169" s="38" t="str">
        <x:v>KEEP</x:v>
      </x:c>
      <x:c r="I169" s="38" t="str">
        <x:v>YES</x:v>
      </x:c>
      <x:c r="J169" s="38" t="str">
        <x:v>KEEP</x:v>
      </x:c>
      <x:c r="K169" s="38" t="str">
        <x:v>KEEP CURRENT</x:v>
      </x:c>
      <x:c r="L169" s="38" t="str">
        <x:v>rich | comforting</x:v>
      </x:c>
      <x:c r="M169" s="38" t="str">
        <x:v>North Indian chicken in a buttery tomato sauce enriched with cream and warm spices.</x:v>
      </x:c>
      <x:c r="N169" s="38" t="str">
        <x:v>Rich — Richness is supported by a creamy, fatty, nutty, coconut, cheese, or similarly dense component in the current catalog description. Comforting — Comforting is still defensible from the dish's warm, familiar, substantial format and adds useful mood-level signal.</x:v>
      </x:c>
    </x:row>
    <x:row r="170" ht="56" customHeight="1">
      <x:c r="A170" s="38" t="n">
        <x:v>158</x:v>
      </x:c>
      <x:c r="B170" s="38" t="str">
        <x:v>poha</x:v>
      </x:c>
      <x:c r="C170" s="38" t="str">
        <x:v>Poha</x:v>
      </x:c>
      <x:c r="D170" s="38" t="str">
        <x:v>south-asia</x:v>
      </x:c>
      <x:c r="E170" s="38" t="str">
        <x:v>rice</x:v>
      </x:c>
      <x:c r="F170" s="38" t="str">
        <x:v>fresh | comforting</x:v>
      </x:c>
      <x:c r="G170" s="38" t="str">
        <x:v>NO</x:v>
      </x:c>
      <x:c r="H170" s="38" t="str">
        <x:v>NOT TAGGED</x:v>
      </x:c>
      <x:c r="I170" s="38" t="str">
        <x:v>YES</x:v>
      </x:c>
      <x:c r="J170" s="38" t="str">
        <x:v>KEEP</x:v>
      </x:c>
      <x:c r="K170" s="38" t="str">
        <x:v>KEEP CURRENT</x:v>
      </x:c>
      <x:c r="L170" s="38" t="str">
        <x:v>fresh | comforting</x:v>
      </x:c>
      <x:c r="M170" s="38" t="str">
        <x:v>Indian flattened rice cooked with onions, spices, herbs, and fresh garnishes.</x:v>
      </x:c>
      <x:c r="N170" s="38" t="str">
        <x:v>Comforting — The warm, soft, starchy, brothy, braised, or slow-cooked format makes comforting a defining eating experience rather than a catch-all tag.</x:v>
      </x:c>
    </x:row>
    <x:row r="171" ht="56" customHeight="1">
      <x:c r="A171" s="38" t="n">
        <x:v>159</x:v>
      </x:c>
      <x:c r="B171" s="38" t="str">
        <x:v>dal-dhokli</x:v>
      </x:c>
      <x:c r="C171" s="38" t="str">
        <x:v>Dal Dhokli</x:v>
      </x:c>
      <x:c r="D171" s="38" t="str">
        <x:v>south-asia</x:v>
      </x:c>
      <x:c r="E171" s="38" t="str">
        <x:v>noodle</x:v>
      </x:c>
      <x:c r="F171" s="38" t="str">
        <x:v>comforting | tangy</x:v>
      </x:c>
      <x:c r="G171" s="38" t="str">
        <x:v>NO</x:v>
      </x:c>
      <x:c r="H171" s="38" t="str">
        <x:v>NOT TAGGED</x:v>
      </x:c>
      <x:c r="I171" s="38" t="str">
        <x:v>YES</x:v>
      </x:c>
      <x:c r="J171" s="38" t="str">
        <x:v>KEEP</x:v>
      </x:c>
      <x:c r="K171" s="38" t="str">
        <x:v>KEEP CURRENT</x:v>
      </x:c>
      <x:c r="L171" s="38" t="str">
        <x:v>comforting | tangy</x:v>
      </x:c>
      <x:c r="M171" s="38" t="str">
        <x:v>Gujarati wheat-dough pieces simmered in spiced lentil dal until tender and comforting.</x:v>
      </x:c>
      <x:c r="N171" s="38" t="str">
        <x:v>Comforting — The current description supports a hearty, familiar, filling profile where comforting is useful to the recommendation experience.</x:v>
      </x:c>
    </x:row>
    <x:row r="172" ht="56" customHeight="1">
      <x:c r="A172" s="38" t="n">
        <x:v>160</x:v>
      </x:c>
      <x:c r="B172" s="38" t="str">
        <x:v>manti</x:v>
      </x:c>
      <x:c r="C172" s="38" t="str">
        <x:v>Manti</x:v>
      </x:c>
      <x:c r="D172" s="38" t="str">
        <x:v>middle-east</x:v>
      </x:c>
      <x:c r="E172" s="38" t="str">
        <x:v>noodle</x:v>
      </x:c>
      <x:c r="F172" s="38" t="str">
        <x:v>rich | tangy</x:v>
      </x:c>
      <x:c r="G172" s="38" t="str">
        <x:v>YES</x:v>
      </x:c>
      <x:c r="H172" s="38" t="str">
        <x:v>KEEP</x:v>
      </x:c>
      <x:c r="I172" s="38" t="str">
        <x:v>NO</x:v>
      </x:c>
      <x:c r="J172" s="38" t="str">
        <x:v>NOT TAGGED</x:v>
      </x:c>
      <x:c r="K172" s="38" t="str">
        <x:v>KEEP CURRENT</x:v>
      </x:c>
      <x:c r="L172" s="38" t="str">
        <x:v>rich | tangy</x:v>
      </x:c>
      <x:c r="M172" s="38" t="str">
        <x:v>Turkish filled dumplings served with garlicky yogurt and spiced butter or sauce.</x:v>
      </x:c>
      <x:c r="N172" s="38" t="str">
        <x:v>Rich — Richness is supported by a creamy, fatty, nutty, coconut, cheese, or similarly dense component in the current catalog description.</x:v>
      </x:c>
    </x:row>
    <x:row r="173" ht="56" customHeight="1">
      <x:c r="A173" s="38" t="n">
        <x:v>161</x:v>
      </x:c>
      <x:c r="B173" s="38" t="str">
        <x:v>adana-kebab</x:v>
      </x:c>
      <x:c r="C173" s="38" t="str">
        <x:v>Adana Kebab</x:v>
      </x:c>
      <x:c r="D173" s="38" t="str">
        <x:v>middle-east</x:v>
      </x:c>
      <x:c r="E173" s="38" t="str">
        <x:v>grilled-protein</x:v>
      </x:c>
      <x:c r="F173" s="38" t="str">
        <x:v>spicy | rich</x:v>
      </x:c>
      <x:c r="G173" s="38" t="str">
        <x:v>YES</x:v>
      </x:c>
      <x:c r="H173" s="38" t="str">
        <x:v>KEEP</x:v>
      </x:c>
      <x:c r="I173" s="38" t="str">
        <x:v>NO</x:v>
      </x:c>
      <x:c r="J173" s="38" t="str">
        <x:v>NOT TAGGED</x:v>
      </x:c>
      <x:c r="K173" s="38" t="str">
        <x:v>KEEP CURRENT</x:v>
      </x:c>
      <x:c r="L173" s="38" t="str">
        <x:v>spicy | rich</x:v>
      </x:c>
      <x:c r="M173" s="38" t="str">
        <x:v>Turkish minced-meat kebab seasoned with chile and grilled on wide metal skewers.</x:v>
      </x:c>
      <x:c r="N173" s="38" t="str">
        <x:v>Rich — The dish is centered on a dense, concentrated, meat-forward, fried, or thick preparation, so rich is meaningfully descriptive.</x:v>
      </x:c>
    </x:row>
    <x:row r="174" ht="56" customHeight="1">
      <x:c r="A174" s="38" t="n">
        <x:v>162</x:v>
      </x:c>
      <x:c r="B174" s="38" t="str">
        <x:v>freekeh-pilaf</x:v>
      </x:c>
      <x:c r="C174" s="38" t="str">
        <x:v>Freekeh Pilaf</x:v>
      </x:c>
      <x:c r="D174" s="38" t="str">
        <x:v>middle-east</x:v>
      </x:c>
      <x:c r="E174" s="38" t="str">
        <x:v>rice</x:v>
      </x:c>
      <x:c r="F174" s="38" t="str">
        <x:v>fresh | comforting</x:v>
      </x:c>
      <x:c r="G174" s="38" t="str">
        <x:v>NO</x:v>
      </x:c>
      <x:c r="H174" s="38" t="str">
        <x:v>NOT TAGGED</x:v>
      </x:c>
      <x:c r="I174" s="38" t="str">
        <x:v>YES</x:v>
      </x:c>
      <x:c r="J174" s="38" t="str">
        <x:v>KEEP</x:v>
      </x:c>
      <x:c r="K174" s="38" t="str">
        <x:v>KEEP CURRENT</x:v>
      </x:c>
      <x:c r="L174" s="38" t="str">
        <x:v>fresh | comforting</x:v>
      </x:c>
      <x:c r="M174" s="38" t="str">
        <x:v>Levantine roasted green-wheat pilaf with a nutty, smoky character and savory toppings.</x:v>
      </x:c>
      <x:c r="N174" s="38" t="str">
        <x:v>Comforting — Comforting is still defensible from the dish's warm, familiar, substantial format and adds useful mood-level signal.</x:v>
      </x:c>
    </x:row>
    <x:row r="175" ht="56" customHeight="1">
      <x:c r="A175" s="38" t="n">
        <x:v>163</x:v>
      </x:c>
      <x:c r="B175" s="38" t="str">
        <x:v>sfiha</x:v>
      </x:c>
      <x:c r="C175" s="38" t="str">
        <x:v>Sfiha</x:v>
      </x:c>
      <x:c r="D175" s="38" t="str">
        <x:v>middle-east</x:v>
      </x:c>
      <x:c r="E175" s="38" t="str">
        <x:v>handheld</x:v>
      </x:c>
      <x:c r="F175" s="38" t="str">
        <x:v>crispy | fresh</x:v>
      </x:c>
      <x:c r="G175" s="38" t="str">
        <x:v>NO</x:v>
      </x:c>
      <x:c r="H175" s="38" t="str">
        <x:v>NOT TAGGED</x:v>
      </x:c>
      <x:c r="I175" s="38" t="str">
        <x:v>NO</x:v>
      </x:c>
      <x:c r="J175" s="38" t="str">
        <x:v>NOT TAGGED</x:v>
      </x:c>
      <x:c r="K175" s="38" t="str">
        <x:v>KEEP CURRENT</x:v>
      </x:c>
      <x:c r="L175" s="38" t="str">
        <x:v>crispy | fresh</x:v>
      </x:c>
      <x:c r="M175" s="38" t="str">
        <x:v>Levantine open-faced meat flatbread baked with tomato, onion, herbs, and spices.</x:v>
      </x:c>
      <x:c r="N175" s="38" t="str">
        <x:v>Neither rich nor comforting is currently assigned; no keep/remove action is needed in this audit.</x:v>
      </x:c>
    </x:row>
    <x:row r="176" ht="56" customHeight="1">
      <x:c r="A176" s="38" t="n">
        <x:v>164</x:v>
      </x:c>
      <x:c r="B176" s="38" t="str">
        <x:v>baasto-iyo-suugo</x:v>
      </x:c>
      <x:c r="C176" s="38" t="str">
        <x:v>Baasto iyo Suugo</x:v>
      </x:c>
      <x:c r="D176" s="38" t="str">
        <x:v>africa</x:v>
      </x:c>
      <x:c r="E176" s="38" t="str">
        <x:v>noodle</x:v>
      </x:c>
      <x:c r="F176" s="38" t="str">
        <x:v>rich | spicy</x:v>
      </x:c>
      <x:c r="G176" s="38" t="str">
        <x:v>YES</x:v>
      </x:c>
      <x:c r="H176" s="38" t="str">
        <x:v>REMOVE</x:v>
      </x:c>
      <x:c r="I176" s="38" t="str">
        <x:v>NO</x:v>
      </x:c>
      <x:c r="J176" s="38" t="str">
        <x:v>NOT TAGGED</x:v>
      </x:c>
      <x:c r="K176" s="38" t="str">
        <x:v>REMOVE RICH</x:v>
      </x:c>
      <x:c r="L176" s="38" t="str">
        <x:v>spicy</x:v>
      </x:c>
      <x:c r="M176" s="38" t="str">
        <x:v>Somali pasta served with a spiced tomato meat sauce and often banana on the side.</x:v>
      </x:c>
      <x:c r="N176" s="38" t="str">
        <x:v>Rich — Remove rich: the current description is more specifically defined by its other preference flavor(s), while 'rich' reads as a generic extra label.</x:v>
      </x:c>
    </x:row>
    <x:row r="177" ht="56" customHeight="1">
      <x:c r="A177" s="38" t="n">
        <x:v>165</x:v>
      </x:c>
      <x:c r="B177" s="38" t="str">
        <x:v>pastilla</x:v>
      </x:c>
      <x:c r="C177" s="38" t="str">
        <x:v>Pastilla</x:v>
      </x:c>
      <x:c r="D177" s="38" t="str">
        <x:v>africa</x:v>
      </x:c>
      <x:c r="E177" s="38" t="str">
        <x:v>handheld</x:v>
      </x:c>
      <x:c r="F177" s="38" t="str">
        <x:v>crispy | rich</x:v>
      </x:c>
      <x:c r="G177" s="38" t="str">
        <x:v>YES</x:v>
      </x:c>
      <x:c r="H177" s="38" t="str">
        <x:v>KEEP</x:v>
      </x:c>
      <x:c r="I177" s="38" t="str">
        <x:v>NO</x:v>
      </x:c>
      <x:c r="J177" s="38" t="str">
        <x:v>NOT TAGGED</x:v>
      </x:c>
      <x:c r="K177" s="38" t="str">
        <x:v>KEEP CURRENT</x:v>
      </x:c>
      <x:c r="L177" s="38" t="str">
        <x:v>crispy | rich</x:v>
      </x:c>
      <x:c r="M177" s="38" t="str">
        <x:v>Moroccan layered pastry filled with spiced poultry or seafood, almonds, and delicate crisp pastry.</x:v>
      </x:c>
      <x:c r="N177" s="38" t="str">
        <x:v>Rich — The current description presents a full-bodied, substantial preparation where rich adds useful recommendation signal.</x:v>
      </x:c>
    </x:row>
    <x:row r="178" ht="56" customHeight="1">
      <x:c r="A178" s="38" t="n">
        <x:v>166</x:v>
      </x:c>
      <x:c r="B178" s="38" t="str">
        <x:v>moi-moi</x:v>
      </x:c>
      <x:c r="C178" s="38" t="str">
        <x:v>Moi Moi</x:v>
      </x:c>
      <x:c r="D178" s="38" t="str">
        <x:v>africa</x:v>
      </x:c>
      <x:c r="E178" s="38" t="str">
        <x:v>handheld</x:v>
      </x:c>
      <x:c r="F178" s="38" t="str">
        <x:v>fresh | comforting</x:v>
      </x:c>
      <x:c r="G178" s="38" t="str">
        <x:v>NO</x:v>
      </x:c>
      <x:c r="H178" s="38" t="str">
        <x:v>NOT TAGGED</x:v>
      </x:c>
      <x:c r="I178" s="38" t="str">
        <x:v>YES</x:v>
      </x:c>
      <x:c r="J178" s="38" t="str">
        <x:v>REMOVE</x:v>
      </x:c>
      <x:c r="K178" s="38" t="str">
        <x:v>REMOVE COMFORTING</x:v>
      </x:c>
      <x:c r="L178" s="38" t="str">
        <x:v>fresh</x:v>
      </x:c>
      <x:c r="M178" s="38" t="str">
        <x:v>Nigerian steamed bean pudding seasoned with peppers, onions, and savory aromatics.</x:v>
      </x:c>
      <x:c r="N178" s="38" t="str">
        <x:v>Comforting — Remove comforting: the dish is better distinguished by its sharper current preference flavor(s); comfort adds little discriminatory value.</x:v>
      </x:c>
    </x:row>
    <x:row r="179" ht="56" customHeight="1">
      <x:c r="A179" s="38" t="n">
        <x:v>167</x:v>
      </x:c>
      <x:c r="B179" s="38" t="str">
        <x:v>attieke-fish</x:v>
      </x:c>
      <x:c r="C179" s="38" t="str">
        <x:v>Attiéké with Grilled Fish</x:v>
      </x:c>
      <x:c r="D179" s="38" t="str">
        <x:v>africa</x:v>
      </x:c>
      <x:c r="E179" s="38" t="str">
        <x:v>rice</x:v>
      </x:c>
      <x:c r="F179" s="38" t="str">
        <x:v>fresh | tangy</x:v>
      </x:c>
      <x:c r="G179" s="38" t="str">
        <x:v>NO</x:v>
      </x:c>
      <x:c r="H179" s="38" t="str">
        <x:v>NOT TAGGED</x:v>
      </x:c>
      <x:c r="I179" s="38" t="str">
        <x:v>NO</x:v>
      </x:c>
      <x:c r="J179" s="38" t="str">
        <x:v>NOT TAGGED</x:v>
      </x:c>
      <x:c r="K179" s="38" t="str">
        <x:v>KEEP CURRENT</x:v>
      </x:c>
      <x:c r="L179" s="38" t="str">
        <x:v>fresh | tangy</x:v>
      </x:c>
      <x:c r="M179" s="38" t="str">
        <x:v>Ivorian fermented cassava couscous served with grilled fish, onions, tomato, and fresh chile.</x:v>
      </x:c>
      <x:c r="N179" s="38" t="str">
        <x:v>Neither rich nor comforting is currently assigned; no keep/remove action is needed in this audit.</x:v>
      </x:c>
    </x:row>
    <x:row r="180" ht="56" customHeight="1">
      <x:c r="A180" s="38" t="n">
        <x:v>168</x:v>
      </x:c>
      <x:c r="B180" s="38" t="str">
        <x:v>arroz-de-marisco</x:v>
      </x:c>
      <x:c r="C180" s="38" t="str">
        <x:v>Arroz de Marisco</x:v>
      </x:c>
      <x:c r="D180" s="38" t="str">
        <x:v>europe</x:v>
      </x:c>
      <x:c r="E180" s="38" t="str">
        <x:v>rice</x:v>
      </x:c>
      <x:c r="F180" s="38" t="str">
        <x:v>rich | fresh</x:v>
      </x:c>
      <x:c r="G180" s="38" t="str">
        <x:v>YES</x:v>
      </x:c>
      <x:c r="H180" s="38" t="str">
        <x:v>REMOVE</x:v>
      </x:c>
      <x:c r="I180" s="38" t="str">
        <x:v>NO</x:v>
      </x:c>
      <x:c r="J180" s="38" t="str">
        <x:v>NOT TAGGED</x:v>
      </x:c>
      <x:c r="K180" s="38" t="str">
        <x:v>REMOVE RICH</x:v>
      </x:c>
      <x:c r="L180" s="38" t="str">
        <x:v>fresh</x:v>
      </x:c>
      <x:c r="M180" s="38" t="str">
        <x:v>Portuguese seafood rice cooked in a tomato-rich broth with shellfish, fish, and herbs.</x:v>
      </x:c>
      <x:c r="N180" s="38" t="str">
        <x:v>Rich — Remove rich: the current description is more specifically defined by its other preference flavor(s), while 'rich' reads as a generic extra label.</x:v>
      </x:c>
    </x:row>
    <x:row r="181" ht="56" customHeight="1">
      <x:c r="A181" s="38" t="n">
        <x:v>169</x:v>
      </x:c>
      <x:c r="B181" s="38" t="str">
        <x:v>arroz-negro</x:v>
      </x:c>
      <x:c r="C181" s="38" t="str">
        <x:v>Arroz Negro</x:v>
      </x:c>
      <x:c r="D181" s="38" t="str">
        <x:v>europe</x:v>
      </x:c>
      <x:c r="E181" s="38" t="str">
        <x:v>rice</x:v>
      </x:c>
      <x:c r="F181" s="38" t="str">
        <x:v>rich | fresh</x:v>
      </x:c>
      <x:c r="G181" s="38" t="str">
        <x:v>YES</x:v>
      </x:c>
      <x:c r="H181" s="38" t="str">
        <x:v>REMOVE</x:v>
      </x:c>
      <x:c r="I181" s="38" t="str">
        <x:v>NO</x:v>
      </x:c>
      <x:c r="J181" s="38" t="str">
        <x:v>NOT TAGGED</x:v>
      </x:c>
      <x:c r="K181" s="38" t="str">
        <x:v>REMOVE RICH</x:v>
      </x:c>
      <x:c r="L181" s="38" t="str">
        <x:v>fresh</x:v>
      </x:c>
      <x:c r="M181" s="38" t="str">
        <x:v>Spanish black rice colored with squid ink and cooked with seafood in a wide pan.</x:v>
      </x:c>
      <x:c r="N181" s="38" t="str">
        <x:v>Rich — Remove rich: the current description is more specifically defined by its other preference flavor(s), while 'rich' reads as a generic extra label.</x:v>
      </x:c>
    </x:row>
    <x:row r="182" ht="56" customHeight="1">
      <x:c r="A182" s="38" t="n">
        <x:v>170</x:v>
      </x:c>
      <x:c r="B182" s="38" t="str">
        <x:v>cevapi</x:v>
      </x:c>
      <x:c r="C182" s="38" t="str">
        <x:v>Ćevapi</x:v>
      </x:c>
      <x:c r="D182" s="38" t="str">
        <x:v>europe</x:v>
      </x:c>
      <x:c r="E182" s="38" t="str">
        <x:v>grilled-protein</x:v>
      </x:c>
      <x:c r="F182" s="38" t="str">
        <x:v>rich | fresh</x:v>
      </x:c>
      <x:c r="G182" s="38" t="str">
        <x:v>YES</x:v>
      </x:c>
      <x:c r="H182" s="38" t="str">
        <x:v>KEEP</x:v>
      </x:c>
      <x:c r="I182" s="38" t="str">
        <x:v>NO</x:v>
      </x:c>
      <x:c r="J182" s="38" t="str">
        <x:v>NOT TAGGED</x:v>
      </x:c>
      <x:c r="K182" s="38" t="str">
        <x:v>KEEP CURRENT</x:v>
      </x:c>
      <x:c r="L182" s="38" t="str">
        <x:v>rich | fresh</x:v>
      </x:c>
      <x:c r="M182" s="38" t="str">
        <x:v>Balkan grilled minced-meat sausages served with flatbread, onions, and fresh accompaniments.</x:v>
      </x:c>
      <x:c r="N182" s="38" t="str">
        <x:v>Rich — The dish is centered on a dense, concentrated, meat-forward, fried, or thick preparation, so rich is meaningfully descriptive.</x:v>
      </x:c>
    </x:row>
    <x:row r="183" ht="56" customHeight="1">
      <x:c r="A183" s="38" t="n">
        <x:v>171</x:v>
      </x:c>
      <x:c r="B183" s="38" t="str">
        <x:v>arroz-con-gandules</x:v>
      </x:c>
      <x:c r="C183" s="38" t="str">
        <x:v>Arroz con Gandules</x:v>
      </x:c>
      <x:c r="D183" s="38" t="str">
        <x:v>latin-america</x:v>
      </x:c>
      <x:c r="E183" s="38" t="str">
        <x:v>rice</x:v>
      </x:c>
      <x:c r="F183" s="38" t="str">
        <x:v>comforting | rich</x:v>
      </x:c>
      <x:c r="G183" s="38" t="str">
        <x:v>YES</x:v>
      </x:c>
      <x:c r="H183" s="38" t="str">
        <x:v>KEEP</x:v>
      </x:c>
      <x:c r="I183" s="38" t="str">
        <x:v>YES</x:v>
      </x:c>
      <x:c r="J183" s="38" t="str">
        <x:v>KEEP</x:v>
      </x:c>
      <x:c r="K183" s="38" t="str">
        <x:v>KEEP CURRENT</x:v>
      </x:c>
      <x:c r="L183" s="38" t="str">
        <x:v>comforting | rich</x:v>
      </x:c>
      <x:c r="M183" s="38" t="str">
        <x:v>Puerto Rican rice with pigeon peas, sofrito, seasonings, and savory additions.</x:v>
      </x:c>
      <x:c r="N183" s="38" t="str">
        <x:v>Rich — The current description presents a full-bodied, substantial preparation where rich adds useful recommendation signal. Comforting — The warm, soft, starchy, brothy, braised, or slow-cooked format makes comforting a defining eating experience rather than a catch-all tag.</x:v>
      </x:c>
    </x:row>
    <x:row r="184" ht="56" customHeight="1">
      <x:c r="A184" s="38" t="n">
        <x:v>172</x:v>
      </x:c>
      <x:c r="B184" s="38" t="str">
        <x:v>chivito</x:v>
      </x:c>
      <x:c r="C184" s="38" t="str">
        <x:v>Chivito</x:v>
      </x:c>
      <x:c r="D184" s="38" t="str">
        <x:v>latin-america</x:v>
      </x:c>
      <x:c r="E184" s="38" t="str">
        <x:v>handheld</x:v>
      </x:c>
      <x:c r="F184" s="38" t="str">
        <x:v>rich | fresh</x:v>
      </x:c>
      <x:c r="G184" s="38" t="str">
        <x:v>YES</x:v>
      </x:c>
      <x:c r="H184" s="38" t="str">
        <x:v>KEEP</x:v>
      </x:c>
      <x:c r="I184" s="38" t="str">
        <x:v>NO</x:v>
      </x:c>
      <x:c r="J184" s="38" t="str">
        <x:v>NOT TAGGED</x:v>
      </x:c>
      <x:c r="K184" s="38" t="str">
        <x:v>KEEP CURRENT</x:v>
      </x:c>
      <x:c r="L184" s="38" t="str">
        <x:v>rich | fresh</x:v>
      </x:c>
      <x:c r="M184" s="38" t="str">
        <x:v>Uruguayan steak sandwich stacked with ham, cheese, vegetables, egg, and sauces.</x:v>
      </x:c>
      <x:c r="N184" s="38" t="str">
        <x:v>Rich — Richness is supported by a creamy, fatty, nutty, coconut, cheese, or similarly dense component in the current catalog description.</x:v>
      </x:c>
    </x:row>
    <x:row r="185" ht="56" customHeight="1">
      <x:c r="A185" s="38" t="n">
        <x:v>173</x:v>
      </x:c>
      <x:c r="B185" s="38" t="str">
        <x:v>jerk-chicken</x:v>
      </x:c>
      <x:c r="C185" s="38" t="str">
        <x:v>Jerk Chicken</x:v>
      </x:c>
      <x:c r="D185" s="38" t="str">
        <x:v>latin-america</x:v>
      </x:c>
      <x:c r="E185" s="38" t="str">
        <x:v>grilled-protein</x:v>
      </x:c>
      <x:c r="F185" s="38" t="str">
        <x:v>spicy | fresh</x:v>
      </x:c>
      <x:c r="G185" s="38" t="str">
        <x:v>NO</x:v>
      </x:c>
      <x:c r="H185" s="38" t="str">
        <x:v>NOT TAGGED</x:v>
      </x:c>
      <x:c r="I185" s="38" t="str">
        <x:v>NO</x:v>
      </x:c>
      <x:c r="J185" s="38" t="str">
        <x:v>NOT TAGGED</x:v>
      </x:c>
      <x:c r="K185" s="38" t="str">
        <x:v>KEEP CURRENT</x:v>
      </x:c>
      <x:c r="L185" s="38" t="str">
        <x:v>spicy | fresh</x:v>
      </x:c>
      <x:c r="M185" s="38" t="str">
        <x:v>Jamaican chicken marinated with allspice, chile, herbs, and aromatics, then grilled or smoked.</x:v>
      </x:c>
      <x:c r="N185" s="38" t="str">
        <x:v>Neither rich nor comforting is currently assigned; no keep/remove action is needed in this audit.</x:v>
      </x:c>
    </x:row>
    <x:row r="186" ht="56" customHeight="1">
      <x:c r="A186" s="38" t="n">
        <x:v>174</x:v>
      </x:c>
      <x:c r="B186" s="38" t="str">
        <x:v>montreal-smoked-meat-sandwich</x:v>
      </x:c>
      <x:c r="C186" s="38" t="str">
        <x:v>Montreal Smoked Meat Sandwich</x:v>
      </x:c>
      <x:c r="D186" s="38" t="str">
        <x:v>north-america</x:v>
      </x:c>
      <x:c r="E186" s="38" t="str">
        <x:v>handheld</x:v>
      </x:c>
      <x:c r="F186" s="38" t="str">
        <x:v>rich | tangy</x:v>
      </x:c>
      <x:c r="G186" s="38" t="str">
        <x:v>YES</x:v>
      </x:c>
      <x:c r="H186" s="38" t="str">
        <x:v>KEEP</x:v>
      </x:c>
      <x:c r="I186" s="38" t="str">
        <x:v>NO</x:v>
      </x:c>
      <x:c r="J186" s="38" t="str">
        <x:v>NOT TAGGED</x:v>
      </x:c>
      <x:c r="K186" s="38" t="str">
        <x:v>KEEP CURRENT</x:v>
      </x:c>
      <x:c r="L186" s="38" t="str">
        <x:v>rich | tangy</x:v>
      </x:c>
      <x:c r="M186" s="38" t="str">
        <x:v>Montreal deli sandwich piled with cured smoked beef, mustard, and rye bread.</x:v>
      </x:c>
      <x:c r="N186" s="38" t="str">
        <x:v>Rich — The current description presents a full-bodied, substantial preparation where rich adds useful recommendation signal.</x:v>
      </x:c>
    </x:row>
    <x:row r="187" ht="56" customHeight="1">
      <x:c r="A187" s="38" t="n">
        <x:v>175</x:v>
      </x:c>
      <x:c r="B187" s="38" t="str">
        <x:v>chicken-and-waffles</x:v>
      </x:c>
      <x:c r="C187" s="38" t="str">
        <x:v>Chicken and Waffles</x:v>
      </x:c>
      <x:c r="D187" s="38" t="str">
        <x:v>north-america</x:v>
      </x:c>
      <x:c r="E187" s="38" t="str">
        <x:v>grilled-protein</x:v>
      </x:c>
      <x:c r="F187" s="38" t="str">
        <x:v>crispy | rich</x:v>
      </x:c>
      <x:c r="G187" s="38" t="str">
        <x:v>YES</x:v>
      </x:c>
      <x:c r="H187" s="38" t="str">
        <x:v>KEEP</x:v>
      </x:c>
      <x:c r="I187" s="38" t="str">
        <x:v>NO</x:v>
      </x:c>
      <x:c r="J187" s="38" t="str">
        <x:v>NOT TAGGED</x:v>
      </x:c>
      <x:c r="K187" s="38" t="str">
        <x:v>KEEP CURRENT</x:v>
      </x:c>
      <x:c r="L187" s="38" t="str">
        <x:v>crispy | rich</x:v>
      </x:c>
      <x:c r="M187" s="38" t="str">
        <x:v>American fried chicken paired with waffles for a crisp, savory, lightly sweet meal.</x:v>
      </x:c>
      <x:c r="N187" s="38" t="str">
        <x:v>Rich — Richness is supported by a creamy, fatty, nutty, coconut, cheese, or similarly dense component in the current catalog description.</x:v>
      </x:c>
    </x:row>
    <x:row r="188" ht="56" customHeight="1">
      <x:c r="A188" s="38" t="n">
        <x:v>176</x:v>
      </x:c>
      <x:c r="B188" s="38" t="str">
        <x:v>katsudon</x:v>
      </x:c>
      <x:c r="C188" s="38" t="str">
        <x:v>Katsudon</x:v>
      </x:c>
      <x:c r="D188" s="38" t="str">
        <x:v>east-asia</x:v>
      </x:c>
      <x:c r="E188" s="38" t="str">
        <x:v>rice</x:v>
      </x:c>
      <x:c r="F188" s="38" t="str">
        <x:v>comforting | crispy</x:v>
      </x:c>
      <x:c r="G188" s="38" t="str">
        <x:v>NO</x:v>
      </x:c>
      <x:c r="H188" s="38" t="str">
        <x:v>NOT TAGGED</x:v>
      </x:c>
      <x:c r="I188" s="38" t="str">
        <x:v>YES</x:v>
      </x:c>
      <x:c r="J188" s="38" t="str">
        <x:v>KEEP</x:v>
      </x:c>
      <x:c r="K188" s="38" t="str">
        <x:v>KEEP CURRENT</x:v>
      </x:c>
      <x:c r="L188" s="38" t="str">
        <x:v>comforting | crispy</x:v>
      </x:c>
      <x:c r="M188" s="38" t="str">
        <x:v>Japanese rice bowl topped with a crisp pork cutlet, egg, onion, and sweet-savory sauce.</x:v>
      </x:c>
      <x:c r="N188" s="38" t="str">
        <x:v>Comforting — The warm, soft, starchy, brothy, braised, or slow-cooked format makes comforting a defining eating experience rather than a catch-all tag.</x:v>
      </x:c>
    </x:row>
    <x:row r="189" ht="56" customHeight="1">
      <x:c r="A189" s="38" t="n">
        <x:v>177</x:v>
      </x:c>
      <x:c r="B189" s="38" t="str">
        <x:v>jjajangmyeon</x:v>
      </x:c>
      <x:c r="C189" s="38" t="str">
        <x:v>Jjajangmyeon</x:v>
      </x:c>
      <x:c r="D189" s="38" t="str">
        <x:v>east-asia</x:v>
      </x:c>
      <x:c r="E189" s="38" t="str">
        <x:v>noodle</x:v>
      </x:c>
      <x:c r="F189" s="38" t="str">
        <x:v>rich | comforting</x:v>
      </x:c>
      <x:c r="G189" s="38" t="str">
        <x:v>YES</x:v>
      </x:c>
      <x:c r="H189" s="38" t="str">
        <x:v>KEEP</x:v>
      </x:c>
      <x:c r="I189" s="38" t="str">
        <x:v>YES</x:v>
      </x:c>
      <x:c r="J189" s="38" t="str">
        <x:v>KEEP</x:v>
      </x:c>
      <x:c r="K189" s="38" t="str">
        <x:v>KEEP CURRENT</x:v>
      </x:c>
      <x:c r="L189" s="38" t="str">
        <x:v>rich | comforting</x:v>
      </x:c>
      <x:c r="M189" s="38" t="str">
        <x:v>Korean wheat noodles coated in a thick black-bean sauce with pork and vegetables.</x:v>
      </x:c>
      <x:c r="N189"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90" ht="56" customHeight="1">
      <x:c r="A190" s="38" t="n">
        <x:v>178</x:v>
      </x:c>
      <x:c r="B190" s="38" t="str">
        <x:v>wonton-soup</x:v>
      </x:c>
      <x:c r="C190" s="38" t="str">
        <x:v>Wonton Soup</x:v>
      </x:c>
      <x:c r="D190" s="38" t="str">
        <x:v>east-asia</x:v>
      </x:c>
      <x:c r="E190" s="38" t="str">
        <x:v>soup-broth</x:v>
      </x:c>
      <x:c r="F190" s="38" t="str">
        <x:v>comforting | fresh</x:v>
      </x:c>
      <x:c r="G190" s="38" t="str">
        <x:v>NO</x:v>
      </x:c>
      <x:c r="H190" s="38" t="str">
        <x:v>NOT TAGGED</x:v>
      </x:c>
      <x:c r="I190" s="38" t="str">
        <x:v>YES</x:v>
      </x:c>
      <x:c r="J190" s="38" t="str">
        <x:v>KEEP</x:v>
      </x:c>
      <x:c r="K190" s="38" t="str">
        <x:v>KEEP CURRENT</x:v>
      </x:c>
      <x:c r="L190" s="38" t="str">
        <x:v>comforting | fresh</x:v>
      </x:c>
      <x:c r="M190" s="38" t="str">
        <x:v>Chinese broth with delicate filled wontons, greens, scallions, and optional noodles.</x:v>
      </x:c>
      <x:c r="N190" s="38" t="str">
        <x:v>Comforting — The warm, soft, starchy, brothy, braised, or slow-cooked format makes comforting a defining eating experience rather than a catch-all tag.</x:v>
      </x:c>
    </x:row>
    <x:row r="191" ht="56" customHeight="1">
      <x:c r="A191" s="38" t="n">
        <x:v>179</x:v>
      </x:c>
      <x:c r="B191" s="38" t="str">
        <x:v>lemon-rice</x:v>
      </x:c>
      <x:c r="C191" s="38" t="str">
        <x:v>Lemon Rice</x:v>
      </x:c>
      <x:c r="D191" s="38" t="str">
        <x:v>south-asia</x:v>
      </x:c>
      <x:c r="E191" s="38" t="str">
        <x:v>rice</x:v>
      </x:c>
      <x:c r="F191" s="38" t="str">
        <x:v>fresh | tangy</x:v>
      </x:c>
      <x:c r="G191" s="38" t="str">
        <x:v>NO</x:v>
      </x:c>
      <x:c r="H191" s="38" t="str">
        <x:v>NOT TAGGED</x:v>
      </x:c>
      <x:c r="I191" s="38" t="str">
        <x:v>NO</x:v>
      </x:c>
      <x:c r="J191" s="38" t="str">
        <x:v>NOT TAGGED</x:v>
      </x:c>
      <x:c r="K191" s="38" t="str">
        <x:v>KEEP CURRENT</x:v>
      </x:c>
      <x:c r="L191" s="38" t="str">
        <x:v>fresh | tangy</x:v>
      </x:c>
      <x:c r="M191" s="38" t="str">
        <x:v>South Indian rice brightened with lemon, tempered spices, curry leaves, and crunchy garnishes.</x:v>
      </x:c>
      <x:c r="N191" s="38" t="str">
        <x:v>Neither rich nor comforting is currently assigned; no keep/remove action is needed in this audit.</x:v>
      </x:c>
    </x:row>
    <x:row r="192" ht="56" customHeight="1">
      <x:c r="A192" s="38" t="n">
        <x:v>180</x:v>
      </x:c>
      <x:c r="B192" s="38" t="str">
        <x:v>paya</x:v>
      </x:c>
      <x:c r="C192" s="38" t="str">
        <x:v>Paya</x:v>
      </x:c>
      <x:c r="D192" s="38" t="str">
        <x:v>south-asia</x:v>
      </x:c>
      <x:c r="E192" s="38" t="str">
        <x:v>soup-broth</x:v>
      </x:c>
      <x:c r="F192" s="38" t="str">
        <x:v>rich | comforting</x:v>
      </x:c>
      <x:c r="G192" s="38" t="str">
        <x:v>YES</x:v>
      </x:c>
      <x:c r="H192" s="38" t="str">
        <x:v>KEEP</x:v>
      </x:c>
      <x:c r="I192" s="38" t="str">
        <x:v>YES</x:v>
      </x:c>
      <x:c r="J192" s="38" t="str">
        <x:v>KEEP</x:v>
      </x:c>
      <x:c r="K192" s="38" t="str">
        <x:v>KEEP CURRENT</x:v>
      </x:c>
      <x:c r="L192" s="38" t="str">
        <x:v>rich | comforting</x:v>
      </x:c>
      <x:c r="M192" s="38" t="str">
        <x:v>South Asian slow-cooked trotter stew with warming spices and a deeply gelatinous broth.</x:v>
      </x:c>
      <x:c r="N192"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93" ht="56" customHeight="1">
      <x:c r="A193" s="38" t="n">
        <x:v>181</x:v>
      </x:c>
      <x:c r="B193" s="38" t="str">
        <x:v>chicken-chettinad</x:v>
      </x:c>
      <x:c r="C193" s="38" t="str">
        <x:v>Chicken Chettinad</x:v>
      </x:c>
      <x:c r="D193" s="38" t="str">
        <x:v>south-asia</x:v>
      </x:c>
      <x:c r="E193" s="38" t="str">
        <x:v>grilled-protein</x:v>
      </x:c>
      <x:c r="F193" s="38" t="str">
        <x:v>spicy | rich</x:v>
      </x:c>
      <x:c r="G193" s="38" t="str">
        <x:v>YES</x:v>
      </x:c>
      <x:c r="H193" s="38" t="str">
        <x:v>REMOVE</x:v>
      </x:c>
      <x:c r="I193" s="38" t="str">
        <x:v>NO</x:v>
      </x:c>
      <x:c r="J193" s="38" t="str">
        <x:v>NOT TAGGED</x:v>
      </x:c>
      <x:c r="K193" s="38" t="str">
        <x:v>REMOVE RICH</x:v>
      </x:c>
      <x:c r="L193" s="38" t="str">
        <x:v>spicy</x:v>
      </x:c>
      <x:c r="M193" s="38" t="str">
        <x:v>Tamil chicken cooked with a bold Chettinad spice blend, aromatics, and roasted seasonings.</x:v>
      </x:c>
      <x:c r="N193" s="38" t="str">
        <x:v>Rich — Remove rich: the current description is more specifically defined by its other preference flavor(s), while 'rich' reads as a generic extra label.</x:v>
      </x:c>
    </x:row>
    <x:row r="194" ht="56" customHeight="1">
      <x:c r="A194" s="38" t="n">
        <x:v>182</x:v>
      </x:c>
      <x:c r="B194" s="38" t="str">
        <x:v>mandi</x:v>
      </x:c>
      <x:c r="C194" s="38" t="str">
        <x:v>Mandi</x:v>
      </x:c>
      <x:c r="D194" s="38" t="str">
        <x:v>middle-east</x:v>
      </x:c>
      <x:c r="E194" s="38" t="str">
        <x:v>rice</x:v>
      </x:c>
      <x:c r="F194" s="38" t="str">
        <x:v>rich | comforting</x:v>
      </x:c>
      <x:c r="G194" s="38" t="str">
        <x:v>YES</x:v>
      </x:c>
      <x:c r="H194" s="38" t="str">
        <x:v>REMOVE</x:v>
      </x:c>
      <x:c r="I194" s="38" t="str">
        <x:v>YES</x:v>
      </x:c>
      <x:c r="J194" s="38" t="str">
        <x:v>KEEP</x:v>
      </x:c>
      <x:c r="K194" s="38" t="str">
        <x:v>REMOVE RICH</x:v>
      </x:c>
      <x:c r="L194" s="38" t="str">
        <x:v>comforting</x:v>
      </x:c>
      <x:c r="M194" s="38" t="str">
        <x:v>Yemeni spiced rice topped with slow-cooked meat and a distinctive smoky aroma.</x:v>
      </x:c>
      <x:c r="N194"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95" ht="56" customHeight="1">
      <x:c r="A195" s="38" t="n">
        <x:v>183</x:v>
      </x:c>
      <x:c r="B195" s="38" t="str">
        <x:v>shish-barak</x:v>
      </x:c>
      <x:c r="C195" s="38" t="str">
        <x:v>Shish Barak</x:v>
      </x:c>
      <x:c r="D195" s="38" t="str">
        <x:v>middle-east</x:v>
      </x:c>
      <x:c r="E195" s="38" t="str">
        <x:v>soup-broth</x:v>
      </x:c>
      <x:c r="F195" s="38" t="str">
        <x:v>rich | tangy</x:v>
      </x:c>
      <x:c r="G195" s="38" t="str">
        <x:v>YES</x:v>
      </x:c>
      <x:c r="H195" s="38" t="str">
        <x:v>KEEP</x:v>
      </x:c>
      <x:c r="I195" s="38" t="str">
        <x:v>NO</x:v>
      </x:c>
      <x:c r="J195" s="38" t="str">
        <x:v>NOT TAGGED</x:v>
      </x:c>
      <x:c r="K195" s="38" t="str">
        <x:v>KEEP CURRENT</x:v>
      </x:c>
      <x:c r="L195" s="38" t="str">
        <x:v>rich | tangy</x:v>
      </x:c>
      <x:c r="M195" s="38" t="str">
        <x:v>Levantine meat dumplings simmered in a tangy yogurt sauce with garlic and herbs.</x:v>
      </x:c>
      <x:c r="N195" s="38" t="str">
        <x:v>Rich — Richness is supported by a creamy, fatty, nutty, coconut, cheese, or similarly dense component in the current catalog description.</x:v>
      </x:c>
    </x:row>
    <x:row r="196" ht="56" customHeight="1">
      <x:c r="A196" s="38" t="n">
        <x:v>184</x:v>
      </x:c>
      <x:c r="B196" s="38" t="str">
        <x:v>maftoul</x:v>
      </x:c>
      <x:c r="C196" s="38" t="str">
        <x:v>Maftoul</x:v>
      </x:c>
      <x:c r="D196" s="38" t="str">
        <x:v>middle-east</x:v>
      </x:c>
      <x:c r="E196" s="38" t="str">
        <x:v>rice</x:v>
      </x:c>
      <x:c r="F196" s="38" t="str">
        <x:v>comforting | fresh</x:v>
      </x:c>
      <x:c r="G196" s="38" t="str">
        <x:v>NO</x:v>
      </x:c>
      <x:c r="H196" s="38" t="str">
        <x:v>NOT TAGGED</x:v>
      </x:c>
      <x:c r="I196" s="38" t="str">
        <x:v>YES</x:v>
      </x:c>
      <x:c r="J196" s="38" t="str">
        <x:v>KEEP</x:v>
      </x:c>
      <x:c r="K196" s="38" t="str">
        <x:v>KEEP CURRENT</x:v>
      </x:c>
      <x:c r="L196" s="38" t="str">
        <x:v>comforting | fresh</x:v>
      </x:c>
      <x:c r="M196" s="38" t="str">
        <x:v>Palestinian hand-rolled wheat grains steamed and served with chickpeas, vegetables, and broth.</x:v>
      </x:c>
      <x:c r="N196" s="38" t="str">
        <x:v>Comforting — The warm, soft, starchy, brothy, braised, or slow-cooked format makes comforting a defining eating experience rather than a catch-all tag.</x:v>
      </x:c>
    </x:row>
    <x:row r="197" ht="56" customHeight="1">
      <x:c r="A197" s="38" t="n">
        <x:v>185</x:v>
      </x:c>
      <x:c r="B197" s="38" t="str">
        <x:v>sambousek</x:v>
      </x:c>
      <x:c r="C197" s="38" t="str">
        <x:v>Sambousek</x:v>
      </x:c>
      <x:c r="D197" s="38" t="str">
        <x:v>middle-east</x:v>
      </x:c>
      <x:c r="E197" s="38" t="str">
        <x:v>handheld</x:v>
      </x:c>
      <x:c r="F197" s="38" t="str">
        <x:v>crispy | rich</x:v>
      </x:c>
      <x:c r="G197" s="38" t="str">
        <x:v>YES</x:v>
      </x:c>
      <x:c r="H197" s="38" t="str">
        <x:v>KEEP</x:v>
      </x:c>
      <x:c r="I197" s="38" t="str">
        <x:v>NO</x:v>
      </x:c>
      <x:c r="J197" s="38" t="str">
        <x:v>NOT TAGGED</x:v>
      </x:c>
      <x:c r="K197" s="38" t="str">
        <x:v>KEEP CURRENT</x:v>
      </x:c>
      <x:c r="L197" s="38" t="str">
        <x:v>crispy | rich</x:v>
      </x:c>
      <x:c r="M197" s="38" t="str">
        <x:v>Levantine savory pastry filled with meat, cheese, or vegetables and baked or fried.</x:v>
      </x:c>
      <x:c r="N197" s="38" t="str">
        <x:v>Rich — Richness is supported by a creamy, fatty, nutty, coconut, cheese, or similarly dense component in the current catalog description.</x:v>
      </x:c>
    </x:row>
    <x:row r="198" ht="56" customHeight="1">
      <x:c r="A198" s="38" t="n">
        <x:v>186</x:v>
      </x:c>
      <x:c r="B198" s="38" t="str">
        <x:v>pepper-soup</x:v>
      </x:c>
      <x:c r="C198" s="38" t="str">
        <x:v>Pepper Soup</x:v>
      </x:c>
      <x:c r="D198" s="38" t="str">
        <x:v>africa</x:v>
      </x:c>
      <x:c r="E198" s="38" t="str">
        <x:v>soup-broth</x:v>
      </x:c>
      <x:c r="F198" s="38" t="str">
        <x:v>spicy | fresh</x:v>
      </x:c>
      <x:c r="G198" s="38" t="str">
        <x:v>NO</x:v>
      </x:c>
      <x:c r="H198" s="38" t="str">
        <x:v>NOT TAGGED</x:v>
      </x:c>
      <x:c r="I198" s="38" t="str">
        <x:v>NO</x:v>
      </x:c>
      <x:c r="J198" s="38" t="str">
        <x:v>NOT TAGGED</x:v>
      </x:c>
      <x:c r="K198" s="38" t="str">
        <x:v>KEEP CURRENT</x:v>
      </x:c>
      <x:c r="L198" s="38" t="str">
        <x:v>spicy | fresh</x:v>
      </x:c>
      <x:c r="M198" s="38" t="str">
        <x:v>West African spicy broth with meat or fish and a fragrant blend of local spices.</x:v>
      </x:c>
      <x:c r="N198" s="38" t="str">
        <x:v>Neither rich nor comforting is currently assigned; no keep/remove action is needed in this audit.</x:v>
      </x:c>
    </x:row>
    <x:row r="199" ht="56" customHeight="1">
      <x:c r="A199" s="38" t="n">
        <x:v>187</x:v>
      </x:c>
      <x:c r="B199" s="38" t="str">
        <x:v>kitfo</x:v>
      </x:c>
      <x:c r="C199" s="38" t="str">
        <x:v>Kitfo</x:v>
      </x:c>
      <x:c r="D199" s="38" t="str">
        <x:v>africa</x:v>
      </x:c>
      <x:c r="E199" s="38" t="str">
        <x:v>grilled-protein</x:v>
      </x:c>
      <x:c r="F199" s="38" t="str">
        <x:v>rich | spicy</x:v>
      </x:c>
      <x:c r="G199" s="38" t="str">
        <x:v>YES</x:v>
      </x:c>
      <x:c r="H199" s="38" t="str">
        <x:v>KEEP</x:v>
      </x:c>
      <x:c r="I199" s="38" t="str">
        <x:v>NO</x:v>
      </x:c>
      <x:c r="J199" s="38" t="str">
        <x:v>NOT TAGGED</x:v>
      </x:c>
      <x:c r="K199" s="38" t="str">
        <x:v>KEEP CURRENT</x:v>
      </x:c>
      <x:c r="L199" s="38" t="str">
        <x:v>rich | spicy</x:v>
      </x:c>
      <x:c r="M199" s="38" t="str">
        <x:v>Ethiopian finely minced beef seasoned with spiced clarified butter and mitmita.</x:v>
      </x:c>
      <x:c r="N199" s="38" t="str">
        <x:v>Rich — Richness is supported by a creamy, fatty, nutty, coconut, cheese, or similarly dense component in the current catalog description.</x:v>
      </x:c>
    </x:row>
    <x:row r="200" ht="56" customHeight="1">
      <x:c r="A200" s="38" t="n">
        <x:v>188</x:v>
      </x:c>
      <x:c r="B200" s="38" t="str">
        <x:v>tagliatelle-al-ragu</x:v>
      </x:c>
      <x:c r="C200" s="38" t="str">
        <x:v>Tagliatelle al Ragù</x:v>
      </x:c>
      <x:c r="D200" s="38" t="str">
        <x:v>europe</x:v>
      </x:c>
      <x:c r="E200" s="38" t="str">
        <x:v>noodle</x:v>
      </x:c>
      <x:c r="F200" s="38" t="str">
        <x:v>rich | comforting</x:v>
      </x:c>
      <x:c r="G200" s="38" t="str">
        <x:v>YES</x:v>
      </x:c>
      <x:c r="H200" s="38" t="str">
        <x:v>KEEP</x:v>
      </x:c>
      <x:c r="I200" s="38" t="str">
        <x:v>YES</x:v>
      </x:c>
      <x:c r="J200" s="38" t="str">
        <x:v>KEEP</x:v>
      </x:c>
      <x:c r="K200" s="38" t="str">
        <x:v>KEEP CURRENT</x:v>
      </x:c>
      <x:c r="L200" s="38" t="str">
        <x:v>rich | comforting</x:v>
      </x:c>
      <x:c r="M200" s="38" t="str">
        <x:v>Emilian ribbon pasta coated in a slow-cooked meat-and-tomato ragù.</x:v>
      </x:c>
      <x:c r="N200"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201" ht="56" customHeight="1">
      <x:c r="A201" s="38" t="n">
        <x:v>189</x:v>
      </x:c>
      <x:c r="B201" s="38" t="str">
        <x:v>minestrone</x:v>
      </x:c>
      <x:c r="C201" s="38" t="str">
        <x:v>Minestrone</x:v>
      </x:c>
      <x:c r="D201" s="38" t="str">
        <x:v>europe</x:v>
      </x:c>
      <x:c r="E201" s="38" t="str">
        <x:v>soup-broth</x:v>
      </x:c>
      <x:c r="F201" s="38" t="str">
        <x:v>fresh | comforting</x:v>
      </x:c>
      <x:c r="G201" s="38" t="str">
        <x:v>NO</x:v>
      </x:c>
      <x:c r="H201" s="38" t="str">
        <x:v>NOT TAGGED</x:v>
      </x:c>
      <x:c r="I201" s="38" t="str">
        <x:v>YES</x:v>
      </x:c>
      <x:c r="J201" s="38" t="str">
        <x:v>KEEP</x:v>
      </x:c>
      <x:c r="K201" s="38" t="str">
        <x:v>KEEP CURRENT</x:v>
      </x:c>
      <x:c r="L201" s="38" t="str">
        <x:v>fresh | comforting</x:v>
      </x:c>
      <x:c r="M201" s="38" t="str">
        <x:v>Italian vegetable soup with beans, seasonal produce, and optional pasta or rice.</x:v>
      </x:c>
      <x:c r="N201" s="38" t="str">
        <x:v>Comforting — The warm, soft, starchy, brothy, braised, or slow-cooked format makes comforting a defining eating experience rather than a catch-all tag.</x:v>
      </x:c>
    </x:row>
    <x:row r="202" ht="56" customHeight="1">
      <x:c r="A202" s="38" t="n">
        <x:v>190</x:v>
      </x:c>
      <x:c r="B202" s="38" t="str">
        <x:v>shepherds-pie</x:v>
      </x:c>
      <x:c r="C202" s="38" t="str">
        <x:v>Shepherd's Pie</x:v>
      </x:c>
      <x:c r="D202" s="38" t="str">
        <x:v>europe</x:v>
      </x:c>
      <x:c r="E202" s="38" t="str">
        <x:v>grilled-protein</x:v>
      </x:c>
      <x:c r="F202" s="38" t="str">
        <x:v>rich | comforting</x:v>
      </x:c>
      <x:c r="G202" s="38" t="str">
        <x:v>YES</x:v>
      </x:c>
      <x:c r="H202" s="38" t="str">
        <x:v>KEEP</x:v>
      </x:c>
      <x:c r="I202" s="38" t="str">
        <x:v>YES</x:v>
      </x:c>
      <x:c r="J202" s="38" t="str">
        <x:v>KEEP</x:v>
      </x:c>
      <x:c r="K202" s="38" t="str">
        <x:v>KEEP CURRENT</x:v>
      </x:c>
      <x:c r="L202" s="38" t="str">
        <x:v>rich | comforting</x:v>
      </x:c>
      <x:c r="M202" s="38" t="str">
        <x:v>British baked meat-and-vegetable filling topped with a browned layer of mashed potato.</x:v>
      </x:c>
      <x:c r="N202"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203" ht="56" customHeight="1">
      <x:c r="A203" s="38" t="n">
        <x:v>191</x:v>
      </x:c>
      <x:c r="B203" s="38" t="str">
        <x:v>arroz-con-coco</x:v>
      </x:c>
      <x:c r="C203" s="38" t="str">
        <x:v>Arroz con Coco</x:v>
      </x:c>
      <x:c r="D203" s="38" t="str">
        <x:v>latin-america</x:v>
      </x:c>
      <x:c r="E203" s="38" t="str">
        <x:v>rice</x:v>
      </x:c>
      <x:c r="F203" s="38" t="str">
        <x:v>rich | comforting</x:v>
      </x:c>
      <x:c r="G203" s="38" t="str">
        <x:v>YES</x:v>
      </x:c>
      <x:c r="H203" s="38" t="str">
        <x:v>KEEP</x:v>
      </x:c>
      <x:c r="I203" s="38" t="str">
        <x:v>YES</x:v>
      </x:c>
      <x:c r="J203" s="38" t="str">
        <x:v>REMOVE</x:v>
      </x:c>
      <x:c r="K203" s="38" t="str">
        <x:v>REMOVE COMFORTING</x:v>
      </x:c>
      <x:c r="L203" s="38" t="str">
        <x:v>rich</x:v>
      </x:c>
      <x:c r="M203" s="38" t="str">
        <x:v>Colombian Caribbean coconut rice with a fragrant, lightly sweet-savory profile.</x:v>
      </x:c>
      <x:c r="N203" s="38" t="str">
        <x:v>Rich — Richness is supported by a creamy, fatty, nutty, coconut, cheese, or similarly dense component in the current catalog description. Comforting — Remove comforting: the label feels subjective and broader than the current catalog description supports.</x:v>
      </x:c>
    </x:row>
    <x:row r="204" ht="56" customHeight="1">
      <x:c r="A204" s="38" t="n">
        <x:v>192</x:v>
      </x:c>
      <x:c r="B204" s="38" t="str">
        <x:v>pozole</x:v>
      </x:c>
      <x:c r="C204" s="38" t="str">
        <x:v>Pozole</x:v>
      </x:c>
      <x:c r="D204" s="38" t="str">
        <x:v>latin-america</x:v>
      </x:c>
      <x:c r="E204" s="38" t="str">
        <x:v>soup-broth</x:v>
      </x:c>
      <x:c r="F204" s="38" t="str">
        <x:v>fresh | spicy</x:v>
      </x:c>
      <x:c r="G204" s="38" t="str">
        <x:v>NO</x:v>
      </x:c>
      <x:c r="H204" s="38" t="str">
        <x:v>NOT TAGGED</x:v>
      </x:c>
      <x:c r="I204" s="38" t="str">
        <x:v>NO</x:v>
      </x:c>
      <x:c r="J204" s="38" t="str">
        <x:v>NOT TAGGED</x:v>
      </x:c>
      <x:c r="K204" s="38" t="str">
        <x:v>KEEP CURRENT</x:v>
      </x:c>
      <x:c r="L204" s="38" t="str">
        <x:v>fresh | spicy</x:v>
      </x:c>
      <x:c r="M204" s="38" t="str">
        <x:v>Mexican hominy stew with pork or chicken and a tableful of crisp, fresh garnishes.</x:v>
      </x:c>
      <x:c r="N204" s="38" t="str">
        <x:v>Neither rich nor comforting is currently assigned; no keep/remove action is needed in this audit.</x:v>
      </x:c>
    </x:row>
    <x:row r="205" ht="56" customHeight="1">
      <x:c r="A205" s="38" t="n">
        <x:v>193</x:v>
      </x:c>
      <x:c r="B205" s="38" t="str">
        <x:v>locro</x:v>
      </x:c>
      <x:c r="C205" s="38" t="str">
        <x:v>Locro</x:v>
      </x:c>
      <x:c r="D205" s="38" t="str">
        <x:v>latin-america</x:v>
      </x:c>
      <x:c r="E205" s="38" t="str">
        <x:v>soup-broth</x:v>
      </x:c>
      <x:c r="F205" s="38" t="str">
        <x:v>rich | comforting</x:v>
      </x:c>
      <x:c r="G205" s="38" t="str">
        <x:v>YES</x:v>
      </x:c>
      <x:c r="H205" s="38" t="str">
        <x:v>KEEP</x:v>
      </x:c>
      <x:c r="I205" s="38" t="str">
        <x:v>YES</x:v>
      </x:c>
      <x:c r="J205" s="38" t="str">
        <x:v>KEEP</x:v>
      </x:c>
      <x:c r="K205" s="38" t="str">
        <x:v>KEEP CURRENT</x:v>
      </x:c>
      <x:c r="L205" s="38" t="str">
        <x:v>rich | comforting</x:v>
      </x:c>
      <x:c r="M205" s="38" t="str">
        <x:v>Andean thick stew of corn, beans, squash, potatoes, and regional meats or cheese.</x:v>
      </x:c>
      <x:c r="N205"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206" ht="56" customHeight="1">
      <x:c r="A206" s="38" t="n">
        <x:v>194</x:v>
      </x:c>
      <x:c r="B206" s="38" t="str">
        <x:v>mofongo</x:v>
      </x:c>
      <x:c r="C206" s="38" t="str">
        <x:v>Mofongo</x:v>
      </x:c>
      <x:c r="D206" s="38" t="str">
        <x:v>latin-america</x:v>
      </x:c>
      <x:c r="E206" s="38" t="str">
        <x:v>rice</x:v>
      </x:c>
      <x:c r="F206" s="38" t="str">
        <x:v>rich | comforting</x:v>
      </x:c>
      <x:c r="G206" s="38" t="str">
        <x:v>YES</x:v>
      </x:c>
      <x:c r="H206" s="38" t="str">
        <x:v>KEEP</x:v>
      </x:c>
      <x:c r="I206" s="38" t="str">
        <x:v>YES</x:v>
      </x:c>
      <x:c r="J206" s="38" t="str">
        <x:v>KEEP</x:v>
      </x:c>
      <x:c r="K206" s="38" t="str">
        <x:v>KEEP CURRENT</x:v>
      </x:c>
      <x:c r="L206" s="38" t="str">
        <x:v>rich | comforting</x:v>
      </x:c>
      <x:c r="M206" s="38" t="str">
        <x:v>Puerto Rican mashed fried plantain seasoned with garlic and filled or topped with savory proteins.</x:v>
      </x:c>
      <x:c r="N206" s="38" t="str">
        <x:v>Rich — The dish is centered on a dense, concentrated, meat-forward, fried, or thick preparation, so rich is meaningfully descriptive. Comforting — Comforting is still defensible from the dish's warm, familiar, substantial format and adds useful mood-level signal.</x:v>
      </x:c>
    </x:row>
    <x:row r="207" ht="56" customHeight="1">
      <x:c r="A207" s="38" t="n">
        <x:v>195</x:v>
      </x:c>
      <x:c r="B207" s="38" t="str">
        <x:v>red-beans-and-rice</x:v>
      </x:c>
      <x:c r="C207" s="38" t="str">
        <x:v>Red Beans and Rice</x:v>
      </x:c>
      <x:c r="D207" s="38" t="str">
        <x:v>north-america</x:v>
      </x:c>
      <x:c r="E207" s="38" t="str">
        <x:v>rice</x:v>
      </x:c>
      <x:c r="F207" s="38" t="str">
        <x:v>comforting | rich</x:v>
      </x:c>
      <x:c r="G207" s="38" t="str">
        <x:v>YES</x:v>
      </x:c>
      <x:c r="H207" s="38" t="str">
        <x:v>KEEP</x:v>
      </x:c>
      <x:c r="I207" s="38" t="str">
        <x:v>YES</x:v>
      </x:c>
      <x:c r="J207" s="38" t="str">
        <x:v>KEEP</x:v>
      </x:c>
      <x:c r="K207" s="38" t="str">
        <x:v>KEEP CURRENT</x:v>
      </x:c>
      <x:c r="L207" s="38" t="str">
        <x:v>comforting | rich</x:v>
      </x:c>
      <x:c r="M207" s="38" t="str">
        <x:v>Louisiana red beans slow-cooked with aromatics and sausage, served over rice.</x:v>
      </x:c>
      <x:c r="N207"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208" ht="56" customHeight="1">
      <x:c r="A208" s="38" t="n">
        <x:v>196</x:v>
      </x:c>
      <x:c r="B208" s="38" t="str">
        <x:v>crawfish-etouffee</x:v>
      </x:c>
      <x:c r="C208" s="38" t="str">
        <x:v>Crawfish Étouffée</x:v>
      </x:c>
      <x:c r="D208" s="38" t="str">
        <x:v>north-america</x:v>
      </x:c>
      <x:c r="E208" s="38" t="str">
        <x:v>rice</x:v>
      </x:c>
      <x:c r="F208" s="38" t="str">
        <x:v>rich | comforting</x:v>
      </x:c>
      <x:c r="G208" s="38" t="str">
        <x:v>YES</x:v>
      </x:c>
      <x:c r="H208" s="38" t="str">
        <x:v>KEEP</x:v>
      </x:c>
      <x:c r="I208" s="38" t="str">
        <x:v>YES</x:v>
      </x:c>
      <x:c r="J208" s="38" t="str">
        <x:v>KEEP</x:v>
      </x:c>
      <x:c r="K208" s="38" t="str">
        <x:v>KEEP CURRENT</x:v>
      </x:c>
      <x:c r="L208" s="38" t="str">
        <x:v>rich | comforting</x:v>
      </x:c>
      <x:c r="M208" s="38" t="str">
        <x:v>Louisiana crawfish in a thick, seasoned sauce served generously over rice.</x:v>
      </x:c>
      <x:c r="N208"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209" ht="56" customHeight="1">
      <x:c r="A209" s="38" t="n">
        <x:v>197</x:v>
      </x:c>
      <x:c r="B209" s="38" t="str">
        <x:v>saimin</x:v>
      </x:c>
      <x:c r="C209" s="38" t="str">
        <x:v>Saimin</x:v>
      </x:c>
      <x:c r="D209" s="38" t="str">
        <x:v>north-america</x:v>
      </x:c>
      <x:c r="E209" s="38" t="str">
        <x:v>noodle</x:v>
      </x:c>
      <x:c r="F209" s="38" t="str">
        <x:v>comforting | fresh</x:v>
      </x:c>
      <x:c r="G209" s="38" t="str">
        <x:v>NO</x:v>
      </x:c>
      <x:c r="H209" s="38" t="str">
        <x:v>NOT TAGGED</x:v>
      </x:c>
      <x:c r="I209" s="38" t="str">
        <x:v>YES</x:v>
      </x:c>
      <x:c r="J209" s="38" t="str">
        <x:v>KEEP</x:v>
      </x:c>
      <x:c r="K209" s="38" t="str">
        <x:v>KEEP CURRENT</x:v>
      </x:c>
      <x:c r="L209" s="38" t="str">
        <x:v>comforting | fresh</x:v>
      </x:c>
      <x:c r="M209" s="38" t="str">
        <x:v>Hawaii noodle soup with wheat-and-egg noodles, clear broth, and local toppings.</x:v>
      </x:c>
      <x:c r="N209" s="38" t="str">
        <x:v>Comforting — The warm, soft, starchy, brothy, braised, or slow-cooked format makes comforting a defining eating experience rather than a catch-all tag.</x:v>
      </x:c>
    </x:row>
    <x:row r="210" ht="56" customHeight="1">
      <x:c r="A210" s="38" t="n">
        <x:v>198</x:v>
      </x:c>
      <x:c r="B210" s="38" t="str">
        <x:v>cincinnati-chili</x:v>
      </x:c>
      <x:c r="C210" s="38" t="str">
        <x:v>Cincinnati Chili</x:v>
      </x:c>
      <x:c r="D210" s="38" t="str">
        <x:v>north-america</x:v>
      </x:c>
      <x:c r="E210" s="38" t="str">
        <x:v>noodle</x:v>
      </x:c>
      <x:c r="F210" s="38" t="str">
        <x:v>rich | comforting</x:v>
      </x:c>
      <x:c r="G210" s="38" t="str">
        <x:v>YES</x:v>
      </x:c>
      <x:c r="H210" s="38" t="str">
        <x:v>KEEP</x:v>
      </x:c>
      <x:c r="I210" s="38" t="str">
        <x:v>YES</x:v>
      </x:c>
      <x:c r="J210" s="38" t="str">
        <x:v>KEEP</x:v>
      </x:c>
      <x:c r="K210" s="38" t="str">
        <x:v>KEEP CURRENT</x:v>
      </x:c>
      <x:c r="L210" s="38" t="str">
        <x:v>rich | comforting</x:v>
      </x:c>
      <x:c r="M210" s="38" t="str">
        <x:v>Cincinnati spiced meat sauce served over spaghetti with cheese and optional beans or onions.</x:v>
      </x:c>
      <x:c r="N210"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211" ht="56" customHeight="1">
      <x:c r="A211" s="38" t="n">
        <x:v>199</x:v>
      </x:c>
      <x:c r="B211" s="38" t="str">
        <x:v>canadian-split-pea-soup</x:v>
      </x:c>
      <x:c r="C211" s="38" t="str">
        <x:v>Canadian Split Pea Soup</x:v>
      </x:c>
      <x:c r="D211" s="38" t="str">
        <x:v>north-america</x:v>
      </x:c>
      <x:c r="E211" s="38" t="str">
        <x:v>soup-broth</x:v>
      </x:c>
      <x:c r="F211" s="38" t="str">
        <x:v>comforting | rich</x:v>
      </x:c>
      <x:c r="G211" s="38" t="str">
        <x:v>YES</x:v>
      </x:c>
      <x:c r="H211" s="38" t="str">
        <x:v>REMOVE</x:v>
      </x:c>
      <x:c r="I211" s="38" t="str">
        <x:v>YES</x:v>
      </x:c>
      <x:c r="J211" s="38" t="str">
        <x:v>KEEP</x:v>
      </x:c>
      <x:c r="K211" s="38" t="str">
        <x:v>REMOVE RICH</x:v>
      </x:c>
      <x:c r="L211" s="38" t="str">
        <x:v>comforting</x:v>
      </x:c>
      <x:c r="M211" s="38" t="str">
        <x:v>Québécois split-pea soup slow-cooked with vegetables, herbs, and often salted pork or ham.</x:v>
      </x:c>
      <x:c r="N211"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212" ht="56" customHeight="1">
      <x:c r="A212" s="38" t="n">
        <x:v>200</x:v>
      </x:c>
      <x:c r="B212" s="38" t="str">
        <x:v>matzo-ball-soup</x:v>
      </x:c>
      <x:c r="C212" s="38" t="str">
        <x:v>Matzo Ball Soup</x:v>
      </x:c>
      <x:c r="D212" s="38" t="str">
        <x:v>north-america</x:v>
      </x:c>
      <x:c r="E212" s="38" t="str">
        <x:v>soup-broth</x:v>
      </x:c>
      <x:c r="F212" s="38" t="str">
        <x:v>comforting | fresh</x:v>
      </x:c>
      <x:c r="G212" s="38" t="str">
        <x:v>NO</x:v>
      </x:c>
      <x:c r="H212" s="38" t="str">
        <x:v>NOT TAGGED</x:v>
      </x:c>
      <x:c r="I212" s="38" t="str">
        <x:v>YES</x:v>
      </x:c>
      <x:c r="J212" s="38" t="str">
        <x:v>KEEP</x:v>
      </x:c>
      <x:c r="K212" s="38" t="str">
        <x:v>KEEP CURRENT</x:v>
      </x:c>
      <x:c r="L212" s="38" t="str">
        <x:v>comforting | fresh</x:v>
      </x:c>
      <x:c r="M212" s="38" t="str">
        <x:v>Jewish-American chicken soup served with tender dumplings made from matzo meal.</x:v>
      </x:c>
      <x:c r="N212" s="38" t="str">
        <x:v>Comforting — The warm, soft, starchy, brothy, braised, or slow-cooked format makes comforting a defining eating experience rather than a catch-all tag.</x:v>
      </x:c>
    </x:row>
  </x:sheetData>
  <x:mergeCells>
    <x:mergeCell ref="A1:N1"/>
    <x:mergeCell ref="A2:N2"/>
  </x:mergeCells>
  <x:conditionalFormatting sqref="H13:H212">
    <x:cfRule type="expression" dxfId="14" priority="1">
      <x:formula>H13="REMOVE"</x:formula>
    </x:cfRule>
    <x:cfRule type="expression" dxfId="15" priority="2">
      <x:formula>H13="KEEP"</x:formula>
    </x:cfRule>
  </x:conditionalFormatting>
  <x:conditionalFormatting sqref="J13:J212">
    <x:cfRule type="expression" dxfId="16" priority="3">
      <x:formula>J13="REMOVE"</x:formula>
    </x:cfRule>
    <x:cfRule type="expression" dxfId="17" priority="4">
      <x:formula>J13="KEEP"</x:formula>
    </x:cfRule>
  </x:conditionalFormatting>
  <x:conditionalFormatting sqref="K13:K212">
    <x:cfRule type="expression" dxfId="18" priority="5">
      <x:formula>K13="RETAG NEEDED"</x:formula>
    </x:cfRule>
    <x:cfRule type="expression" dxfId="19" priority="6">
      <x:formula>OR(K13="REMOVE RICH",K13="REMOVE COMFORTING",K13="REMOVE BOTH")</x:formula>
    </x:cfRule>
  </x:conditionalFormatting>
  <x:pageMargins left="0.7" right="0.7" top="0.75" bottom="0.75" header="0.3" footer="0.3"/>
  <x:drawing xmlns:r="http://schemas.openxmlformats.org/officeDocument/2006/relationships" r:id="R316c2be68ae04b00"/>
</x:worksheet>
</file>

<file path=xl/worksheets/sheet8.xml><?xml version="1.0" encoding="utf-8"?>
<x:worksheet xmlns:x="http://schemas.openxmlformats.org/spreadsheetml/2006/main">
  <x:sheetFormatPr defaultRowHeight="15"/>
  <x:cols>
    <x:col min="1" max="1" width="24" hidden="0" customWidth="1"/>
    <x:col min="2" max="2" width="25" hidden="0" customWidth="1"/>
    <x:col min="3" max="3" width="16" hidden="0" customWidth="1"/>
    <x:col min="4" max="4" width="16" hidden="0" customWidth="1"/>
    <x:col min="5" max="5" width="16" hidden="0" customWidth="1"/>
    <x:col min="6" max="6" width="28" hidden="0" customWidth="1"/>
    <x:col min="7" max="7" width="16" hidden="0" customWidth="1"/>
    <x:col min="8" max="8" width="20" hidden="0" customWidth="1"/>
    <x:col min="9" max="9" width="18" hidden="0" customWidth="1"/>
    <x:col min="10" max="10" width="30" hidden="0" customWidth="1"/>
    <x:col min="11" max="11" width="70" hidden="0" customWidth="1"/>
  </x:cols>
  <x:sheetData>
    <x:row r="1" ht="28" customHeight="1">
      <x:c r="A1" s="105" t="str">
        <x:v>Nom Flavor Tags Backup — Before Rich/Comforting Audit Application</x:v>
      </x:c>
      <x:c r="B1" s="105"/>
      <x:c r="C1" s="105"/>
      <x:c r="D1" s="105"/>
      <x:c r="E1" s="105"/>
      <x:c r="F1" s="105"/>
      <x:c r="G1" s="105"/>
      <x:c r="H1" s="105"/>
      <x:c r="I1" s="105"/>
      <x:c r="J1" s="105"/>
      <x:c r="K1" s="105"/>
    </x:row>
    <x:row r="2" ht="38" customHeight="1">
      <x:c r="A2" s="109" t="str">
        <x:v>Exact pre-change preference flavor columns from Dishes. Use this sheet to restore any rich/comforting tag that was removed by the audit. The master Dishes sheet is updated separately.</x:v>
      </x:c>
      <x:c r="B2" s="109"/>
      <x:c r="C2" s="109"/>
      <x:c r="D2" s="109"/>
      <x:c r="E2" s="109"/>
      <x:c r="F2" s="109"/>
      <x:c r="G2" s="109"/>
      <x:c r="H2" s="109"/>
      <x:c r="I2" s="109"/>
      <x:c r="J2" s="109"/>
      <x:c r="K2" s="109"/>
    </x:row>
    <x:row r="4" ht="30" customHeight="1">
      <x:c r="A4" s="113" t="str">
        <x:v>dishId</x:v>
      </x:c>
      <x:c r="B4" s="113" t="str">
        <x:v>Dish</x:v>
      </x:c>
      <x:c r="C4" s="113" t="str">
        <x:v>Original flavor1</x:v>
      </x:c>
      <x:c r="D4" s="113" t="str">
        <x:v>Original flavor2</x:v>
      </x:c>
      <x:c r="E4" s="113" t="str">
        <x:v>Original flavor3</x:v>
      </x:c>
      <x:c r="F4" s="113" t="str">
        <x:v>Original tags</x:v>
      </x:c>
      <x:c r="G4" s="113" t="str">
        <x:v>Rich decision</x:v>
      </x:c>
      <x:c r="H4" s="113" t="str">
        <x:v>Comforting decision</x:v>
      </x:c>
      <x:c r="I4" s="113" t="str">
        <x:v>Audit flag</x:v>
      </x:c>
      <x:c r="J4" s="113" t="str">
        <x:v>Recommended tags</x:v>
      </x:c>
      <x:c r="K4" s="113" t="str">
        <x:v>Audit rationale</x:v>
      </x:c>
    </x:row>
    <x:row r="5" ht="48" customHeight="1">
      <x:c r="A5" s="38" t="str">
        <x:v>lort-cha</x:v>
      </x:c>
      <x:c r="B5" s="38" t="str">
        <x:v>Lort Cha</x:v>
      </x:c>
      <x:c r="C5" s="38" t="str">
        <x:v>comforting</x:v>
      </x:c>
      <x:c r="D5" s="38"/>
      <x:c r="E5" s="38"/>
      <x:c r="F5" s="38" t="str">
        <x:v>comforting</x:v>
      </x:c>
      <x:c r="G5" s="38" t="str">
        <x:v>NOT TAGGED</x:v>
      </x:c>
      <x:c r="H5" s="38" t="str">
        <x:v>KEEP</x:v>
      </x:c>
      <x:c r="I5" s="38" t="str">
        <x:v>KEEP CURRENT</x:v>
      </x:c>
      <x:c r="J5" s="38" t="str">
        <x:v>comforting</x:v>
      </x:c>
      <x:c r="K5" s="38" t="str">
        <x:v>Comforting — The warm, soft, starchy, brothy, braised, or slow-cooked format makes comforting a defining eating experience rather than a catch-all tag.</x:v>
      </x:c>
    </x:row>
    <x:row r="6" ht="48" customHeight="1">
      <x:c r="A6" s="38" t="str">
        <x:v>mie-goreng</x:v>
      </x:c>
      <x:c r="B6" s="38" t="str">
        <x:v>Mie Goreng</x:v>
      </x:c>
      <x:c r="C6" s="38" t="str">
        <x:v>rich</x:v>
      </x:c>
      <x:c r="D6" s="38"/>
      <x:c r="E6" s="38"/>
      <x:c r="F6" s="38" t="str">
        <x:v>rich</x:v>
      </x:c>
      <x:c r="G6" s="38" t="str">
        <x:v>REMOVE</x:v>
      </x:c>
      <x:c r="H6" s="38" t="str">
        <x:v>NOT TAGGED</x:v>
      </x:c>
      <x:c r="I6" s="38" t="str">
        <x:v>RETAG NEEDED</x:v>
      </x:c>
      <x:c r="J6" s="38" t="str">
        <x:v>NEEDS RETAG</x:v>
      </x:c>
      <x:c r="K6" s="38" t="str">
        <x:v>Rich — Remove rich: the current description does not make richness a defining sensory trait; starch, meat, or savory flavor alone is not enough. Removing the current tag leaves no preference flavor; this is a taxonomy/retagging issue to resolve in the later full flavor audit rather than keeping an inaccurate tag.</x:v>
      </x:c>
    </x:row>
    <x:row r="7" ht="48" customHeight="1">
      <x:c r="A7" s="38" t="str">
        <x:v>pancit-canton</x:v>
      </x:c>
      <x:c r="B7" s="38" t="str">
        <x:v>Pancit Canton</x:v>
      </x:c>
      <x:c r="C7" s="38" t="str">
        <x:v>comforting</x:v>
      </x:c>
      <x:c r="D7" s="38"/>
      <x:c r="E7" s="38"/>
      <x:c r="F7" s="38" t="str">
        <x:v>comforting</x:v>
      </x:c>
      <x:c r="G7" s="38" t="str">
        <x:v>NOT TAGGED</x:v>
      </x:c>
      <x:c r="H7" s="38" t="str">
        <x:v>KEEP</x:v>
      </x:c>
      <x:c r="I7" s="38" t="str">
        <x:v>KEEP CURRENT</x:v>
      </x:c>
      <x:c r="J7" s="38" t="str">
        <x:v>comforting</x:v>
      </x:c>
      <x:c r="K7" s="38" t="str">
        <x:v>Comforting — The warm, soft, starchy, brothy, braised, or slow-cooked format makes comforting a defining eating experience rather than a catch-all tag.</x:v>
      </x:c>
    </x:row>
    <x:row r="8" ht="48" customHeight="1">
      <x:c r="A8" s="38" t="str">
        <x:v>char-kway-teow</x:v>
      </x:c>
      <x:c r="B8" s="38" t="str">
        <x:v>Char Kway Teow</x:v>
      </x:c>
      <x:c r="C8" s="38" t="str">
        <x:v>rich</x:v>
      </x:c>
      <x:c r="D8" s="38"/>
      <x:c r="E8" s="38"/>
      <x:c r="F8" s="38" t="str">
        <x:v>rich</x:v>
      </x:c>
      <x:c r="G8" s="38" t="str">
        <x:v>KEEP</x:v>
      </x:c>
      <x:c r="H8" s="38" t="str">
        <x:v>NOT TAGGED</x:v>
      </x:c>
      <x:c r="I8" s="38" t="str">
        <x:v>KEEP CURRENT</x:v>
      </x:c>
      <x:c r="J8" s="38" t="str">
        <x:v>rich</x:v>
      </x:c>
      <x:c r="K8" s="38" t="str">
        <x:v>Rich — The dish is centered on a dense, concentrated, meat-forward, fried, or thick preparation, so rich is meaningfully descriptive.</x:v>
      </x:c>
    </x:row>
    <x:row r="9" ht="48" customHeight="1">
      <x:c r="A9" s="38" t="str">
        <x:v>mi-quang</x:v>
      </x:c>
      <x:c r="B9" s="38" t="str">
        <x:v>Mì Quảng</x:v>
      </x:c>
      <x:c r="C9" s="38" t="str">
        <x:v>fresh</x:v>
      </x:c>
      <x:c r="D9" s="38" t="str">
        <x:v>rich</x:v>
      </x:c>
      <x:c r="E9" s="38"/>
      <x:c r="F9" s="38" t="str">
        <x:v>fresh | rich</x:v>
      </x:c>
      <x:c r="G9" s="38" t="str">
        <x:v>REMOVE</x:v>
      </x:c>
      <x:c r="H9" s="38" t="str">
        <x:v>NOT TAGGED</x:v>
      </x:c>
      <x:c r="I9" s="38" t="str">
        <x:v>REMOVE RICH</x:v>
      </x:c>
      <x:c r="J9" s="38" t="str">
        <x:v>fresh</x:v>
      </x:c>
      <x:c r="K9" s="38" t="str">
        <x:v>Rich — Remove rich: the current description is more specifically defined by its other preference flavor(s), while 'rich' reads as a generic extra label.</x:v>
      </x:c>
    </x:row>
    <x:row r="10" ht="48" customHeight="1">
      <x:c r="A10" s="38" t="str">
        <x:v>hokkien-mee</x:v>
      </x:c>
      <x:c r="B10" s="38" t="str">
        <x:v>Hokkien Mee</x:v>
      </x:c>
      <x:c r="C10" s="38" t="str">
        <x:v>rich</x:v>
      </x:c>
      <x:c r="D10" s="38"/>
      <x:c r="E10" s="38"/>
      <x:c r="F10" s="38" t="str">
        <x:v>rich</x:v>
      </x:c>
      <x:c r="G10" s="38" t="str">
        <x:v>KEEP</x:v>
      </x:c>
      <x:c r="H10" s="38" t="str">
        <x:v>NOT TAGGED</x:v>
      </x:c>
      <x:c r="I10" s="38" t="str">
        <x:v>KEEP CURRENT</x:v>
      </x:c>
      <x:c r="J10" s="38" t="str">
        <x:v>rich</x:v>
      </x:c>
      <x:c r="K10" s="38" t="str">
        <x:v>Rich — The current description presents a full-bodied, substantial preparation where rich adds useful recommendation signal.</x:v>
      </x:c>
    </x:row>
    <x:row r="11" ht="48" customHeight="1">
      <x:c r="A11" s="38" t="str">
        <x:v>kolo-mee</x:v>
      </x:c>
      <x:c r="B11" s="38" t="str">
        <x:v>Kolo Mee</x:v>
      </x:c>
      <x:c r="C11" s="38" t="str">
        <x:v>comforting</x:v>
      </x:c>
      <x:c r="D11" s="38"/>
      <x:c r="E11" s="38"/>
      <x:c r="F11" s="38" t="str">
        <x:v>comforting</x:v>
      </x:c>
      <x:c r="G11" s="38" t="str">
        <x:v>NOT TAGGED</x:v>
      </x:c>
      <x:c r="H11" s="38" t="str">
        <x:v>KEEP</x:v>
      </x:c>
      <x:c r="I11" s="38" t="str">
        <x:v>KEEP CURRENT</x:v>
      </x:c>
      <x:c r="J11" s="38" t="str">
        <x:v>comforting</x:v>
      </x:c>
      <x:c r="K11" s="38" t="str">
        <x:v>Comforting — The warm, soft, starchy, brothy, braised, or slow-cooked format makes comforting a defining eating experience rather than a catch-all tag.</x:v>
      </x:c>
    </x:row>
    <x:row r="12" ht="48" customHeight="1">
      <x:c r="A12" s="38" t="str">
        <x:v>pancit-bihon</x:v>
      </x:c>
      <x:c r="B12" s="38" t="str">
        <x:v>Pancit Bihon</x:v>
      </x:c>
      <x:c r="C12" s="38" t="str">
        <x:v>comforting</x:v>
      </x:c>
      <x:c r="D12" s="38"/>
      <x:c r="E12" s="38"/>
      <x:c r="F12" s="38" t="str">
        <x:v>comforting</x:v>
      </x:c>
      <x:c r="G12" s="38" t="str">
        <x:v>NOT TAGGED</x:v>
      </x:c>
      <x:c r="H12" s="38" t="str">
        <x:v>KEEP</x:v>
      </x:c>
      <x:c r="I12" s="38" t="str">
        <x:v>KEEP CURRENT</x:v>
      </x:c>
      <x:c r="J12" s="38" t="str">
        <x:v>comforting</x:v>
      </x:c>
      <x:c r="K12" s="38" t="str">
        <x:v>Comforting — The warm, soft, starchy, brothy, braised, or slow-cooked format makes comforting a defining eating experience rather than a catch-all tag.</x:v>
      </x:c>
    </x:row>
    <x:row r="13" ht="48" customHeight="1">
      <x:c r="A13" s="38" t="str">
        <x:v>cao-lau</x:v>
      </x:c>
      <x:c r="B13" s="38" t="str">
        <x:v>Cao Lầu</x:v>
      </x:c>
      <x:c r="C13" s="38" t="str">
        <x:v>fresh</x:v>
      </x:c>
      <x:c r="D13" s="38" t="str">
        <x:v>crispy</x:v>
      </x:c>
      <x:c r="E13" s="38"/>
      <x:c r="F13" s="38" t="str">
        <x:v>fresh | crispy</x:v>
      </x:c>
      <x:c r="G13" s="38" t="str">
        <x:v>NOT TAGGED</x:v>
      </x:c>
      <x:c r="H13" s="38" t="str">
        <x:v>NOT TAGGED</x:v>
      </x:c>
      <x:c r="I13" s="38" t="str">
        <x:v>KEEP CURRENT</x:v>
      </x:c>
      <x:c r="J13" s="38" t="str">
        <x:v>fresh | crispy</x:v>
      </x:c>
      <x:c r="K13" s="38" t="str">
        <x:v>Neither rich nor comforting is currently assigned; no keep/remove action is needed in this audit.</x:v>
      </x:c>
    </x:row>
    <x:row r="14" ht="48" customHeight="1">
      <x:c r="A14" s="38" t="str">
        <x:v>num-banh-chok</x:v>
      </x:c>
      <x:c r="B14" s="38" t="str">
        <x:v>Num Banh Chok</x:v>
      </x:c>
      <x:c r="C14" s="38" t="str">
        <x:v>fresh</x:v>
      </x:c>
      <x:c r="D14" s="38" t="str">
        <x:v>comforting</x:v>
      </x:c>
      <x:c r="E14" s="38"/>
      <x:c r="F14" s="38" t="str">
        <x:v>fresh | comforting</x:v>
      </x:c>
      <x:c r="G14" s="38" t="str">
        <x:v>NOT TAGGED</x:v>
      </x:c>
      <x:c r="H14" s="38" t="str">
        <x:v>KEEP</x:v>
      </x:c>
      <x:c r="I14" s="38" t="str">
        <x:v>KEEP CURRENT</x:v>
      </x:c>
      <x:c r="J14" s="38" t="str">
        <x:v>fresh | comforting</x:v>
      </x:c>
      <x:c r="K14" s="38" t="str">
        <x:v>Comforting — The warm, soft, starchy, brothy, braised, or slow-cooked format makes comforting a defining eating experience rather than a catch-all tag.</x:v>
      </x:c>
    </x:row>
    <x:row r="15" ht="48" customHeight="1">
      <x:c r="A15" s="38" t="str">
        <x:v>ramen</x:v>
      </x:c>
      <x:c r="B15" s="38" t="str">
        <x:v>Ramen</x:v>
      </x:c>
      <x:c r="C15" s="38" t="str">
        <x:v>rich</x:v>
      </x:c>
      <x:c r="D15" s="38" t="str">
        <x:v>comforting</x:v>
      </x:c>
      <x:c r="E15" s="38"/>
      <x:c r="F15" s="38" t="str">
        <x:v>rich | comforting</x:v>
      </x:c>
      <x:c r="G15" s="38" t="str">
        <x:v>REMOVE</x:v>
      </x:c>
      <x:c r="H15" s="38" t="str">
        <x:v>KEEP</x:v>
      </x:c>
      <x:c r="I15" s="38" t="str">
        <x:v>REMOVE RICH</x:v>
      </x:c>
      <x:c r="J15" s="38" t="str">
        <x:v>comforting</x:v>
      </x:c>
      <x:c r="K15"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6" ht="48" customHeight="1">
      <x:c r="A16" s="38" t="str">
        <x:v>bibimbap</x:v>
      </x:c>
      <x:c r="B16" s="38" t="str">
        <x:v>Bibimbap</x:v>
      </x:c>
      <x:c r="C16" s="38" t="str">
        <x:v>fresh</x:v>
      </x:c>
      <x:c r="D16" s="38" t="str">
        <x:v>spicy</x:v>
      </x:c>
      <x:c r="E16" s="38"/>
      <x:c r="F16" s="38" t="str">
        <x:v>fresh | spicy</x:v>
      </x:c>
      <x:c r="G16" s="38" t="str">
        <x:v>NOT TAGGED</x:v>
      </x:c>
      <x:c r="H16" s="38" t="str">
        <x:v>NOT TAGGED</x:v>
      </x:c>
      <x:c r="I16" s="38" t="str">
        <x:v>KEEP CURRENT</x:v>
      </x:c>
      <x:c r="J16" s="38" t="str">
        <x:v>fresh | spicy</x:v>
      </x:c>
      <x:c r="K16" s="38" t="str">
        <x:v>Neither rich nor comforting is currently assigned; no keep/remove action is needed in this audit.</x:v>
      </x:c>
    </x:row>
    <x:row r="17" ht="48" customHeight="1">
      <x:c r="A17" s="38" t="str">
        <x:v>yakitori</x:v>
      </x:c>
      <x:c r="B17" s="38" t="str">
        <x:v>Yakitori</x:v>
      </x:c>
      <x:c r="C17" s="38" t="str">
        <x:v>comforting</x:v>
      </x:c>
      <x:c r="D17" s="38"/>
      <x:c r="E17" s="38"/>
      <x:c r="F17" s="38" t="str">
        <x:v>comforting</x:v>
      </x:c>
      <x:c r="G17" s="38" t="str">
        <x:v>NOT TAGGED</x:v>
      </x:c>
      <x:c r="H17" s="38" t="str">
        <x:v>KEEP</x:v>
      </x:c>
      <x:c r="I17" s="38" t="str">
        <x:v>KEEP CURRENT</x:v>
      </x:c>
      <x:c r="J17" s="38" t="str">
        <x:v>comforting</x:v>
      </x:c>
      <x:c r="K17" s="38" t="str">
        <x:v>Comforting — Comforting is still defensible from the dish's warm, familiar, substantial format and adds useful mood-level signal.</x:v>
      </x:c>
    </x:row>
    <x:row r="18" ht="48" customHeight="1">
      <x:c r="A18" s="38" t="str">
        <x:v>biryani</x:v>
      </x:c>
      <x:c r="B18" s="38" t="str">
        <x:v>Biryani</x:v>
      </x:c>
      <x:c r="C18" s="38" t="str">
        <x:v>rich</x:v>
      </x:c>
      <x:c r="D18" s="38" t="str">
        <x:v>spicy</x:v>
      </x:c>
      <x:c r="E18" s="38"/>
      <x:c r="F18" s="38" t="str">
        <x:v>rich | spicy</x:v>
      </x:c>
      <x:c r="G18" s="38" t="str">
        <x:v>KEEP</x:v>
      </x:c>
      <x:c r="H18" s="38" t="str">
        <x:v>NOT TAGGED</x:v>
      </x:c>
      <x:c r="I18" s="38" t="str">
        <x:v>KEEP CURRENT</x:v>
      </x:c>
      <x:c r="J18" s="38" t="str">
        <x:v>rich | spicy</x:v>
      </x:c>
      <x:c r="K18" s="38" t="str">
        <x:v>Rich — The dish is centered on a dense, concentrated, meat-forward, fried, or thick preparation, so rich is meaningfully descriptive.</x:v>
      </x:c>
    </x:row>
    <x:row r="19" ht="48" customHeight="1">
      <x:c r="A19" s="38" t="str">
        <x:v>masala-dosa</x:v>
      </x:c>
      <x:c r="B19" s="38" t="str">
        <x:v>Masala Dosa</x:v>
      </x:c>
      <x:c r="C19" s="38" t="str">
        <x:v>crispy</x:v>
      </x:c>
      <x:c r="D19" s="38" t="str">
        <x:v>tangy</x:v>
      </x:c>
      <x:c r="E19" s="38"/>
      <x:c r="F19" s="38" t="str">
        <x:v>crispy | tangy</x:v>
      </x:c>
      <x:c r="G19" s="38" t="str">
        <x:v>NOT TAGGED</x:v>
      </x:c>
      <x:c r="H19" s="38" t="str">
        <x:v>NOT TAGGED</x:v>
      </x:c>
      <x:c r="I19" s="38" t="str">
        <x:v>KEEP CURRENT</x:v>
      </x:c>
      <x:c r="J19" s="38" t="str">
        <x:v>crispy | tangy</x:v>
      </x:c>
      <x:c r="K19" s="38" t="str">
        <x:v>Neither rich nor comforting is currently assigned; no keep/remove action is needed in this audit.</x:v>
      </x:c>
    </x:row>
    <x:row r="20" ht="48" customHeight="1">
      <x:c r="A20" s="38" t="str">
        <x:v>mansaf</x:v>
      </x:c>
      <x:c r="B20" s="38" t="str">
        <x:v>Mansaf</x:v>
      </x:c>
      <x:c r="C20" s="38" t="str">
        <x:v>rich</x:v>
      </x:c>
      <x:c r="D20" s="38" t="str">
        <x:v>tangy</x:v>
      </x:c>
      <x:c r="E20" s="38"/>
      <x:c r="F20" s="38" t="str">
        <x:v>rich | tangy</x:v>
      </x:c>
      <x:c r="G20" s="38" t="str">
        <x:v>KEEP</x:v>
      </x:c>
      <x:c r="H20" s="38" t="str">
        <x:v>NOT TAGGED</x:v>
      </x:c>
      <x:c r="I20" s="38" t="str">
        <x:v>KEEP CURRENT</x:v>
      </x:c>
      <x:c r="J20" s="38" t="str">
        <x:v>rich | tangy</x:v>
      </x:c>
      <x:c r="K20" s="38" t="str">
        <x:v>Rich — Richness is supported by a creamy, fatty, nutty, coconut, cheese, or similarly dense component in the current catalog description.</x:v>
      </x:c>
    </x:row>
    <x:row r="21" ht="48" customHeight="1">
      <x:c r="A21" s="38" t="str">
        <x:v>shish-taouk</x:v>
      </x:c>
      <x:c r="B21" s="38" t="str">
        <x:v>Shish Taouk</x:v>
      </x:c>
      <x:c r="C21" s="38" t="str">
        <x:v>fresh</x:v>
      </x:c>
      <x:c r="D21" s="38" t="str">
        <x:v>tangy</x:v>
      </x:c>
      <x:c r="E21" s="38"/>
      <x:c r="F21" s="38" t="str">
        <x:v>fresh | tangy</x:v>
      </x:c>
      <x:c r="G21" s="38" t="str">
        <x:v>NOT TAGGED</x:v>
      </x:c>
      <x:c r="H21" s="38" t="str">
        <x:v>NOT TAGGED</x:v>
      </x:c>
      <x:c r="I21" s="38" t="str">
        <x:v>KEEP CURRENT</x:v>
      </x:c>
      <x:c r="J21" s="38" t="str">
        <x:v>fresh | tangy</x:v>
      </x:c>
      <x:c r="K21" s="38" t="str">
        <x:v>Neither rich nor comforting is currently assigned; no keep/remove action is needed in this audit.</x:v>
      </x:c>
    </x:row>
    <x:row r="22" ht="48" customHeight="1">
      <x:c r="A22" s="38" t="str">
        <x:v>harira</x:v>
      </x:c>
      <x:c r="B22" s="38" t="str">
        <x:v>Harira</x:v>
      </x:c>
      <x:c r="C22" s="38" t="str">
        <x:v>rich</x:v>
      </x:c>
      <x:c r="D22" s="38" t="str">
        <x:v>comforting</x:v>
      </x:c>
      <x:c r="E22" s="38"/>
      <x:c r="F22" s="38" t="str">
        <x:v>rich | comforting</x:v>
      </x:c>
      <x:c r="G22" s="38" t="str">
        <x:v>REMOVE</x:v>
      </x:c>
      <x:c r="H22" s="38" t="str">
        <x:v>KEEP</x:v>
      </x:c>
      <x:c r="I22" s="38" t="str">
        <x:v>REMOVE RICH</x:v>
      </x:c>
      <x:c r="J22" s="38" t="str">
        <x:v>comforting</x:v>
      </x:c>
      <x:c r="K22" s="38" t="str">
        <x:v>Rich — Remove rich: the tag appears broader than what the current catalog description supports. Comforting — The warm, soft, starchy, brothy, braised, or slow-cooked format makes comforting a defining eating experience rather than a catch-all tag.</x:v>
      </x:c>
    </x:row>
    <x:row r="23" ht="48" customHeight="1">
      <x:c r="A23" s="38" t="str">
        <x:v>suya</x:v>
      </x:c>
      <x:c r="B23" s="38" t="str">
        <x:v>Suya</x:v>
      </x:c>
      <x:c r="C23" s="38" t="str">
        <x:v>spicy</x:v>
      </x:c>
      <x:c r="D23" s="38"/>
      <x:c r="E23" s="38"/>
      <x:c r="F23" s="38" t="str">
        <x:v>spicy</x:v>
      </x:c>
      <x:c r="G23" s="38" t="str">
        <x:v>NOT TAGGED</x:v>
      </x:c>
      <x:c r="H23" s="38" t="str">
        <x:v>NOT TAGGED</x:v>
      </x:c>
      <x:c r="I23" s="38" t="str">
        <x:v>KEEP CURRENT</x:v>
      </x:c>
      <x:c r="J23" s="38" t="str">
        <x:v>spicy</x:v>
      </x:c>
      <x:c r="K23" s="38" t="str">
        <x:v>Neither rich nor comforting is currently assigned; no keep/remove action is needed in this audit.</x:v>
      </x:c>
    </x:row>
    <x:row r="24" ht="48" customHeight="1">
      <x:c r="A24" s="38" t="str">
        <x:v>carbonara</x:v>
      </x:c>
      <x:c r="B24" s="38" t="str">
        <x:v>Spaghetti Carbonara</x:v>
      </x:c>
      <x:c r="C24" s="38" t="str">
        <x:v>rich</x:v>
      </x:c>
      <x:c r="D24" s="38" t="str">
        <x:v>comforting</x:v>
      </x:c>
      <x:c r="E24" s="38"/>
      <x:c r="F24" s="38" t="str">
        <x:v>rich | comforting</x:v>
      </x:c>
      <x:c r="G24" s="38" t="str">
        <x:v>KEEP</x:v>
      </x:c>
      <x:c r="H24" s="38" t="str">
        <x:v>KEEP</x:v>
      </x:c>
      <x:c r="I24" s="38" t="str">
        <x:v>KEEP CURRENT</x:v>
      </x:c>
      <x:c r="J24" s="38" t="str">
        <x:v>rich | comforting</x:v>
      </x:c>
      <x:c r="K24"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25" ht="48" customHeight="1">
      <x:c r="A25" s="38" t="str">
        <x:v>french-onion-soup</x:v>
      </x:c>
      <x:c r="B25" s="38" t="str">
        <x:v>French Onion Soup</x:v>
      </x:c>
      <x:c r="C25" s="38" t="str">
        <x:v>rich</x:v>
      </x:c>
      <x:c r="D25" s="38" t="str">
        <x:v>comforting</x:v>
      </x:c>
      <x:c r="E25" s="38"/>
      <x:c r="F25" s="38" t="str">
        <x:v>rich | comforting</x:v>
      </x:c>
      <x:c r="G25" s="38" t="str">
        <x:v>KEEP</x:v>
      </x:c>
      <x:c r="H25" s="38" t="str">
        <x:v>KEEP</x:v>
      </x:c>
      <x:c r="I25" s="38" t="str">
        <x:v>KEEP CURRENT</x:v>
      </x:c>
      <x:c r="J25" s="38" t="str">
        <x:v>rich | comforting</x:v>
      </x:c>
      <x:c r="K25"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26" ht="48" customHeight="1">
      <x:c r="A26" s="38" t="str">
        <x:v>tacos-al-pastor</x:v>
      </x:c>
      <x:c r="B26" s="38" t="str">
        <x:v>Tacos al Pastor</x:v>
      </x:c>
      <x:c r="C26" s="38" t="str">
        <x:v>spicy</x:v>
      </x:c>
      <x:c r="D26" s="38" t="str">
        <x:v>tangy</x:v>
      </x:c>
      <x:c r="E26" s="38"/>
      <x:c r="F26" s="38" t="str">
        <x:v>spicy | tangy</x:v>
      </x:c>
      <x:c r="G26" s="38" t="str">
        <x:v>NOT TAGGED</x:v>
      </x:c>
      <x:c r="H26" s="38" t="str">
        <x:v>NOT TAGGED</x:v>
      </x:c>
      <x:c r="I26" s="38" t="str">
        <x:v>KEEP CURRENT</x:v>
      </x:c>
      <x:c r="J26" s="38" t="str">
        <x:v>spicy | tangy</x:v>
      </x:c>
      <x:c r="K26" s="38" t="str">
        <x:v>Neither rich nor comforting is currently assigned; no keep/remove action is needed in this audit.</x:v>
      </x:c>
    </x:row>
    <x:row r="27" ht="48" customHeight="1">
      <x:c r="A27" s="38" t="str">
        <x:v>sopa-de-lima</x:v>
      </x:c>
      <x:c r="B27" s="38" t="str">
        <x:v>Sopa de Lima</x:v>
      </x:c>
      <x:c r="C27" s="38" t="str">
        <x:v>fresh</x:v>
      </x:c>
      <x:c r="D27" s="38" t="str">
        <x:v>tangy</x:v>
      </x:c>
      <x:c r="E27" s="38"/>
      <x:c r="F27" s="38" t="str">
        <x:v>fresh | tangy</x:v>
      </x:c>
      <x:c r="G27" s="38" t="str">
        <x:v>NOT TAGGED</x:v>
      </x:c>
      <x:c r="H27" s="38" t="str">
        <x:v>NOT TAGGED</x:v>
      </x:c>
      <x:c r="I27" s="38" t="str">
        <x:v>KEEP CURRENT</x:v>
      </x:c>
      <x:c r="J27" s="38" t="str">
        <x:v>fresh | tangy</x:v>
      </x:c>
      <x:c r="K27" s="38" t="str">
        <x:v>Neither rich nor comforting is currently assigned; no keep/remove action is needed in this audit.</x:v>
      </x:c>
    </x:row>
    <x:row r="28" ht="48" customHeight="1">
      <x:c r="A28" s="38" t="str">
        <x:v>jambalaya</x:v>
      </x:c>
      <x:c r="B28" s="38" t="str">
        <x:v>Jambalaya</x:v>
      </x:c>
      <x:c r="C28" s="38" t="str">
        <x:v>rich</x:v>
      </x:c>
      <x:c r="D28" s="38" t="str">
        <x:v>spicy</x:v>
      </x:c>
      <x:c r="E28" s="38"/>
      <x:c r="F28" s="38" t="str">
        <x:v>rich | spicy</x:v>
      </x:c>
      <x:c r="G28" s="38" t="str">
        <x:v>REMOVE</x:v>
      </x:c>
      <x:c r="H28" s="38" t="str">
        <x:v>NOT TAGGED</x:v>
      </x:c>
      <x:c r="I28" s="38" t="str">
        <x:v>REMOVE RICH</x:v>
      </x:c>
      <x:c r="J28" s="38" t="str">
        <x:v>spicy</x:v>
      </x:c>
      <x:c r="K28" s="38" t="str">
        <x:v>Rich — Remove rich: the current description is more specifically defined by its other preference flavor(s), while 'rich' reads as a generic extra label.</x:v>
      </x:c>
    </x:row>
    <x:row r="29" ht="48" customHeight="1">
      <x:c r="A29" s="38" t="str">
        <x:v>lobster-roll</x:v>
      </x:c>
      <x:c r="B29" s="38" t="str">
        <x:v>Lobster Roll</x:v>
      </x:c>
      <x:c r="C29" s="38" t="str">
        <x:v>rich</x:v>
      </x:c>
      <x:c r="D29" s="38" t="str">
        <x:v>fresh</x:v>
      </x:c>
      <x:c r="E29" s="38"/>
      <x:c r="F29" s="38" t="str">
        <x:v>rich | fresh</x:v>
      </x:c>
      <x:c r="G29" s="38" t="str">
        <x:v>KEEP</x:v>
      </x:c>
      <x:c r="H29" s="38" t="str">
        <x:v>NOT TAGGED</x:v>
      </x:c>
      <x:c r="I29" s="38" t="str">
        <x:v>KEEP CURRENT</x:v>
      </x:c>
      <x:c r="J29" s="38" t="str">
        <x:v>rich | fresh</x:v>
      </x:c>
      <x:c r="K29" s="38" t="str">
        <x:v>Rich — Richness is supported by a creamy, fatty, nutty, coconut, cheese, or similarly dense component in the current catalog description.</x:v>
      </x:c>
    </x:row>
    <x:row r="30" ht="48" customHeight="1">
      <x:c r="A30" s="38" t="str">
        <x:v>udon</x:v>
      </x:c>
      <x:c r="B30" s="38" t="str">
        <x:v>Udon</x:v>
      </x:c>
      <x:c r="C30" s="38" t="str">
        <x:v>comforting</x:v>
      </x:c>
      <x:c r="D30" s="38"/>
      <x:c r="E30" s="38"/>
      <x:c r="F30" s="38" t="str">
        <x:v>comforting</x:v>
      </x:c>
      <x:c r="G30" s="38" t="str">
        <x:v>NOT TAGGED</x:v>
      </x:c>
      <x:c r="H30" s="38" t="str">
        <x:v>KEEP</x:v>
      </x:c>
      <x:c r="I30" s="38" t="str">
        <x:v>KEEP CURRENT</x:v>
      </x:c>
      <x:c r="J30" s="38" t="str">
        <x:v>comforting</x:v>
      </x:c>
      <x:c r="K30" s="38" t="str">
        <x:v>Comforting — The warm, soft, starchy, brothy, braised, or slow-cooked format makes comforting a defining eating experience rather than a catch-all tag.</x:v>
      </x:c>
    </x:row>
    <x:row r="31" ht="48" customHeight="1">
      <x:c r="A31" s="38" t="str">
        <x:v>kimchi-jjigae</x:v>
      </x:c>
      <x:c r="B31" s="38" t="str">
        <x:v>Kimchi-jjigae</x:v>
      </x:c>
      <x:c r="C31" s="38" t="str">
        <x:v>spicy</x:v>
      </x:c>
      <x:c r="D31" s="38" t="str">
        <x:v>rich</x:v>
      </x:c>
      <x:c r="E31" s="38"/>
      <x:c r="F31" s="38" t="str">
        <x:v>spicy | rich</x:v>
      </x:c>
      <x:c r="G31" s="38" t="str">
        <x:v>REMOVE</x:v>
      </x:c>
      <x:c r="H31" s="38" t="str">
        <x:v>NOT TAGGED</x:v>
      </x:c>
      <x:c r="I31" s="38" t="str">
        <x:v>REMOVE RICH</x:v>
      </x:c>
      <x:c r="J31" s="38" t="str">
        <x:v>spicy</x:v>
      </x:c>
      <x:c r="K31" s="38" t="str">
        <x:v>Rich — Remove rich: the current description is more specifically defined by its other preference flavor(s), while 'rich' reads as a generic extra label.</x:v>
      </x:c>
    </x:row>
    <x:row r="32" ht="48" customHeight="1">
      <x:c r="A32" s="38" t="str">
        <x:v>bulgogi</x:v>
      </x:c>
      <x:c r="B32" s="38" t="str">
        <x:v>Bulgogi</x:v>
      </x:c>
      <x:c r="C32" s="38" t="str">
        <x:v>comforting</x:v>
      </x:c>
      <x:c r="D32" s="38" t="str">
        <x:v>rich</x:v>
      </x:c>
      <x:c r="E32" s="38"/>
      <x:c r="F32" s="38" t="str">
        <x:v>comforting | rich</x:v>
      </x:c>
      <x:c r="G32" s="38" t="str">
        <x:v>KEEP</x:v>
      </x:c>
      <x:c r="H32" s="38" t="str">
        <x:v>KEEP</x:v>
      </x:c>
      <x:c r="I32" s="38" t="str">
        <x:v>KEEP CURRENT</x:v>
      </x:c>
      <x:c r="J32" s="38" t="str">
        <x:v>comforting | rich</x:v>
      </x:c>
      <x:c r="K32" s="38" t="str">
        <x:v>Rich — The current description presents a full-bodied, substantial preparation where rich adds useful recommendation signal. Comforting — Comforting is still defensible from the dish's warm, familiar, substantial format and adds useful mood-level signal.</x:v>
      </x:c>
    </x:row>
    <x:row r="33" ht="48" customHeight="1">
      <x:c r="A33" s="38" t="str">
        <x:v>jianbing</x:v>
      </x:c>
      <x:c r="B33" s="38" t="str">
        <x:v>Jianbing</x:v>
      </x:c>
      <x:c r="C33" s="38" t="str">
        <x:v>crispy</x:v>
      </x:c>
      <x:c r="D33" s="38" t="str">
        <x:v>comforting</x:v>
      </x:c>
      <x:c r="E33" s="38"/>
      <x:c r="F33" s="38" t="str">
        <x:v>crispy | comforting</x:v>
      </x:c>
      <x:c r="G33" s="38" t="str">
        <x:v>NOT TAGGED</x:v>
      </x:c>
      <x:c r="H33" s="38" t="str">
        <x:v>REMOVE</x:v>
      </x:c>
      <x:c r="I33" s="38" t="str">
        <x:v>REMOVE COMFORTING</x:v>
      </x:c>
      <x:c r="J33" s="38" t="str">
        <x:v>crispy</x:v>
      </x:c>
      <x:c r="K33" s="38" t="str">
        <x:v>Comforting — Remove comforting: the dish is better distinguished by its sharper current preference flavor(s); comfort adds little discriminatory value.</x:v>
      </x:c>
    </x:row>
    <x:row r="34" ht="48" customHeight="1">
      <x:c r="A34" s="38" t="str">
        <x:v>chole-bhature</x:v>
      </x:c>
      <x:c r="B34" s="38" t="str">
        <x:v>Chole Bhature</x:v>
      </x:c>
      <x:c r="C34" s="38" t="str">
        <x:v>rich</x:v>
      </x:c>
      <x:c r="D34" s="38" t="str">
        <x:v>spicy</x:v>
      </x:c>
      <x:c r="E34" s="38"/>
      <x:c r="F34" s="38" t="str">
        <x:v>rich | spicy</x:v>
      </x:c>
      <x:c r="G34" s="38" t="str">
        <x:v>KEEP</x:v>
      </x:c>
      <x:c r="H34" s="38" t="str">
        <x:v>NOT TAGGED</x:v>
      </x:c>
      <x:c r="I34" s="38" t="str">
        <x:v>KEEP CURRENT</x:v>
      </x:c>
      <x:c r="J34" s="38" t="str">
        <x:v>rich | spicy</x:v>
      </x:c>
      <x:c r="K34" s="38" t="str">
        <x:v>Rich — The dish is centered on a dense, concentrated, meat-forward, fried, or thick preparation, so rich is meaningfully descriptive.</x:v>
      </x:c>
    </x:row>
    <x:row r="35" ht="48" customHeight="1">
      <x:c r="A35" s="38" t="str">
        <x:v>chicken-tikka</x:v>
      </x:c>
      <x:c r="B35" s="38" t="str">
        <x:v>Chicken Tikka</x:v>
      </x:c>
      <x:c r="C35" s="38" t="str">
        <x:v>spicy</x:v>
      </x:c>
      <x:c r="D35" s="38" t="str">
        <x:v>rich</x:v>
      </x:c>
      <x:c r="E35" s="38"/>
      <x:c r="F35" s="38" t="str">
        <x:v>spicy | rich</x:v>
      </x:c>
      <x:c r="G35" s="38" t="str">
        <x:v>REMOVE</x:v>
      </x:c>
      <x:c r="H35" s="38" t="str">
        <x:v>NOT TAGGED</x:v>
      </x:c>
      <x:c r="I35" s="38" t="str">
        <x:v>REMOVE RICH</x:v>
      </x:c>
      <x:c r="J35" s="38" t="str">
        <x:v>spicy</x:v>
      </x:c>
      <x:c r="K35" s="38" t="str">
        <x:v>Rich — Remove rich: the current description is more specifically defined by its other preference flavor(s), while 'rich' reads as a generic extra label.</x:v>
      </x:c>
    </x:row>
    <x:row r="36" ht="48" customHeight="1">
      <x:c r="A36" s="38" t="str">
        <x:v>haleem</x:v>
      </x:c>
      <x:c r="B36" s="38" t="str">
        <x:v>Haleem</x:v>
      </x:c>
      <x:c r="C36" s="38" t="str">
        <x:v>rich</x:v>
      </x:c>
      <x:c r="D36" s="38" t="str">
        <x:v>comforting</x:v>
      </x:c>
      <x:c r="E36" s="38"/>
      <x:c r="F36" s="38" t="str">
        <x:v>rich | comforting</x:v>
      </x:c>
      <x:c r="G36" s="38" t="str">
        <x:v>KEEP</x:v>
      </x:c>
      <x:c r="H36" s="38" t="str">
        <x:v>KEEP</x:v>
      </x:c>
      <x:c r="I36" s="38" t="str">
        <x:v>KEEP CURRENT</x:v>
      </x:c>
      <x:c r="J36" s="38" t="str">
        <x:v>rich | comforting</x:v>
      </x:c>
      <x:c r="K36"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37" ht="48" customHeight="1">
      <x:c r="A37" s="38" t="str">
        <x:v>kabsa</x:v>
      </x:c>
      <x:c r="B37" s="38" t="str">
        <x:v>Kabsa</x:v>
      </x:c>
      <x:c r="C37" s="38" t="str">
        <x:v>rich</x:v>
      </x:c>
      <x:c r="D37" s="38" t="str">
        <x:v>comforting</x:v>
      </x:c>
      <x:c r="E37" s="38"/>
      <x:c r="F37" s="38" t="str">
        <x:v>rich | comforting</x:v>
      </x:c>
      <x:c r="G37" s="38" t="str">
        <x:v>REMOVE</x:v>
      </x:c>
      <x:c r="H37" s="38" t="str">
        <x:v>KEEP</x:v>
      </x:c>
      <x:c r="I37" s="38" t="str">
        <x:v>REMOVE RICH</x:v>
      </x:c>
      <x:c r="J37" s="38" t="str">
        <x:v>comforting</x:v>
      </x:c>
      <x:c r="K37"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38" ht="48" customHeight="1">
      <x:c r="A38" s="38" t="str">
        <x:v>shawarma</x:v>
      </x:c>
      <x:c r="B38" s="38" t="str">
        <x:v>Shawarma</x:v>
      </x:c>
      <x:c r="C38" s="38" t="str">
        <x:v>rich</x:v>
      </x:c>
      <x:c r="D38" s="38" t="str">
        <x:v>tangy</x:v>
      </x:c>
      <x:c r="E38" s="38"/>
      <x:c r="F38" s="38" t="str">
        <x:v>rich | tangy</x:v>
      </x:c>
      <x:c r="G38" s="38" t="str">
        <x:v>KEEP</x:v>
      </x:c>
      <x:c r="H38" s="38" t="str">
        <x:v>NOT TAGGED</x:v>
      </x:c>
      <x:c r="I38" s="38" t="str">
        <x:v>KEEP CURRENT</x:v>
      </x:c>
      <x:c r="J38" s="38" t="str">
        <x:v>rich | tangy</x:v>
      </x:c>
      <x:c r="K38" s="38" t="str">
        <x:v>Rich — The dish is centered on a dense, concentrated, meat-forward, fried, or thick preparation, so rich is meaningfully descriptive.</x:v>
      </x:c>
    </x:row>
    <x:row r="39" ht="48" customHeight="1">
      <x:c r="A39" s="38" t="str">
        <x:v>ash-reshteh</x:v>
      </x:c>
      <x:c r="B39" s="38" t="str">
        <x:v>Ash Reshteh</x:v>
      </x:c>
      <x:c r="C39" s="38" t="str">
        <x:v>comforting</x:v>
      </x:c>
      <x:c r="D39" s="38" t="str">
        <x:v>rich</x:v>
      </x:c>
      <x:c r="E39" s="38"/>
      <x:c r="F39" s="38" t="str">
        <x:v>comforting | rich</x:v>
      </x:c>
      <x:c r="G39" s="38" t="str">
        <x:v>KEEP</x:v>
      </x:c>
      <x:c r="H39" s="38" t="str">
        <x:v>KEEP</x:v>
      </x:c>
      <x:c r="I39" s="38" t="str">
        <x:v>KEEP CURRENT</x:v>
      </x:c>
      <x:c r="J39" s="38" t="str">
        <x:v>comforting | rich</x:v>
      </x:c>
      <x:c r="K39"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40" ht="48" customHeight="1">
      <x:c r="A40" s="38" t="str">
        <x:v>jollof-rice</x:v>
      </x:c>
      <x:c r="B40" s="38" t="str">
        <x:v>Jollof Rice</x:v>
      </x:c>
      <x:c r="C40" s="38" t="str">
        <x:v>spicy</x:v>
      </x:c>
      <x:c r="D40" s="38" t="str">
        <x:v>rich</x:v>
      </x:c>
      <x:c r="E40" s="38"/>
      <x:c r="F40" s="38" t="str">
        <x:v>spicy | rich</x:v>
      </x:c>
      <x:c r="G40" s="38" t="str">
        <x:v>REMOVE</x:v>
      </x:c>
      <x:c r="H40" s="38" t="str">
        <x:v>NOT TAGGED</x:v>
      </x:c>
      <x:c r="I40" s="38" t="str">
        <x:v>REMOVE RICH</x:v>
      </x:c>
      <x:c r="J40" s="38" t="str">
        <x:v>spicy</x:v>
      </x:c>
      <x:c r="K40" s="38" t="str">
        <x:v>Rich — Remove rich: the current description is more specifically defined by its other preference flavor(s), while 'rich' reads as a generic extra label.</x:v>
      </x:c>
    </x:row>
    <x:row r="41" ht="48" customHeight="1">
      <x:c r="A41" s="38" t="str">
        <x:v>doro-wat</x:v>
      </x:c>
      <x:c r="B41" s="38" t="str">
        <x:v>Doro Wat</x:v>
      </x:c>
      <x:c r="C41" s="38" t="str">
        <x:v>spicy</x:v>
      </x:c>
      <x:c r="D41" s="38" t="str">
        <x:v>rich</x:v>
      </x:c>
      <x:c r="E41" s="38"/>
      <x:c r="F41" s="38" t="str">
        <x:v>spicy | rich</x:v>
      </x:c>
      <x:c r="G41" s="38" t="str">
        <x:v>KEEP</x:v>
      </x:c>
      <x:c r="H41" s="38" t="str">
        <x:v>NOT TAGGED</x:v>
      </x:c>
      <x:c r="I41" s="38" t="str">
        <x:v>KEEP CURRENT</x:v>
      </x:c>
      <x:c r="J41" s="38" t="str">
        <x:v>spicy | rich</x:v>
      </x:c>
      <x:c r="K41" s="38" t="str">
        <x:v>Rich — The dish is centered on a dense, concentrated, meat-forward, fried, or thick preparation, so rich is meaningfully descriptive.</x:v>
      </x:c>
    </x:row>
    <x:row r="42" ht="48" customHeight="1">
      <x:c r="A42" s="38" t="str">
        <x:v>koshari</x:v>
      </x:c>
      <x:c r="B42" s="38" t="str">
        <x:v>Koshari</x:v>
      </x:c>
      <x:c r="C42" s="38" t="str">
        <x:v>comforting</x:v>
      </x:c>
      <x:c r="D42" s="38" t="str">
        <x:v>tangy</x:v>
      </x:c>
      <x:c r="E42" s="38"/>
      <x:c r="F42" s="38" t="str">
        <x:v>comforting | tangy</x:v>
      </x:c>
      <x:c r="G42" s="38" t="str">
        <x:v>NOT TAGGED</x:v>
      </x:c>
      <x:c r="H42" s="38" t="str">
        <x:v>KEEP</x:v>
      </x:c>
      <x:c r="I42" s="38" t="str">
        <x:v>KEEP CURRENT</x:v>
      </x:c>
      <x:c r="J42" s="38" t="str">
        <x:v>comforting | tangy</x:v>
      </x:c>
      <x:c r="K42" s="38" t="str">
        <x:v>Comforting — The warm, soft, starchy, brothy, braised, or slow-cooked format makes comforting a defining eating experience rather than a catch-all tag.</x:v>
      </x:c>
    </x:row>
    <x:row r="43" ht="48" customHeight="1">
      <x:c r="A43" s="38" t="str">
        <x:v>thieboudienne</x:v>
      </x:c>
      <x:c r="B43" s="38" t="str">
        <x:v>Thieboudienne</x:v>
      </x:c>
      <x:c r="C43" s="38" t="str">
        <x:v>fresh</x:v>
      </x:c>
      <x:c r="D43" s="38" t="str">
        <x:v>rich</x:v>
      </x:c>
      <x:c r="E43" s="38"/>
      <x:c r="F43" s="38" t="str">
        <x:v>fresh | rich</x:v>
      </x:c>
      <x:c r="G43" s="38" t="str">
        <x:v>REMOVE</x:v>
      </x:c>
      <x:c r="H43" s="38" t="str">
        <x:v>NOT TAGGED</x:v>
      </x:c>
      <x:c r="I43" s="38" t="str">
        <x:v>REMOVE RICH</x:v>
      </x:c>
      <x:c r="J43" s="38" t="str">
        <x:v>fresh</x:v>
      </x:c>
      <x:c r="K43" s="38" t="str">
        <x:v>Rich — Remove rich: the current description is more specifically defined by its other preference flavor(s), while 'rich' reads as a generic extra label.</x:v>
      </x:c>
    </x:row>
    <x:row r="44" ht="48" customHeight="1">
      <x:c r="A44" s="38" t="str">
        <x:v>paella</x:v>
      </x:c>
      <x:c r="B44" s="38" t="str">
        <x:v>Paella</x:v>
      </x:c>
      <x:c r="C44" s="38" t="str">
        <x:v>fresh</x:v>
      </x:c>
      <x:c r="D44" s="38" t="str">
        <x:v>rich</x:v>
      </x:c>
      <x:c r="E44" s="38"/>
      <x:c r="F44" s="38" t="str">
        <x:v>fresh | rich</x:v>
      </x:c>
      <x:c r="G44" s="38" t="str">
        <x:v>REMOVE</x:v>
      </x:c>
      <x:c r="H44" s="38" t="str">
        <x:v>NOT TAGGED</x:v>
      </x:c>
      <x:c r="I44" s="38" t="str">
        <x:v>REMOVE RICH</x:v>
      </x:c>
      <x:c r="J44" s="38" t="str">
        <x:v>fresh</x:v>
      </x:c>
      <x:c r="K44" s="38" t="str">
        <x:v>Rich — Remove rich: the current description is more specifically defined by its other preference flavor(s), while 'rich' reads as a generic extra label.</x:v>
      </x:c>
    </x:row>
    <x:row r="45" ht="48" customHeight="1">
      <x:c r="A45" s="38" t="str">
        <x:v>goulash</x:v>
      </x:c>
      <x:c r="B45" s="38" t="str">
        <x:v>Goulash</x:v>
      </x:c>
      <x:c r="C45" s="38" t="str">
        <x:v>rich</x:v>
      </x:c>
      <x:c r="D45" s="38" t="str">
        <x:v>comforting</x:v>
      </x:c>
      <x:c r="E45" s="38"/>
      <x:c r="F45" s="38" t="str">
        <x:v>rich | comforting</x:v>
      </x:c>
      <x:c r="G45" s="38" t="str">
        <x:v>KEEP</x:v>
      </x:c>
      <x:c r="H45" s="38" t="str">
        <x:v>KEEP</x:v>
      </x:c>
      <x:c r="I45" s="38" t="str">
        <x:v>KEEP CURRENT</x:v>
      </x:c>
      <x:c r="J45" s="38" t="str">
        <x:v>rich | comforting</x:v>
      </x:c>
      <x:c r="K45"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46" ht="48" customHeight="1">
      <x:c r="A46" s="38" t="str">
        <x:v>souvlaki</x:v>
      </x:c>
      <x:c r="B46" s="38" t="str">
        <x:v>Souvlaki</x:v>
      </x:c>
      <x:c r="C46" s="38" t="str">
        <x:v>fresh</x:v>
      </x:c>
      <x:c r="D46" s="38" t="str">
        <x:v>tangy</x:v>
      </x:c>
      <x:c r="E46" s="38"/>
      <x:c r="F46" s="38" t="str">
        <x:v>fresh | tangy</x:v>
      </x:c>
      <x:c r="G46" s="38" t="str">
        <x:v>NOT TAGGED</x:v>
      </x:c>
      <x:c r="H46" s="38" t="str">
        <x:v>NOT TAGGED</x:v>
      </x:c>
      <x:c r="I46" s="38" t="str">
        <x:v>KEEP CURRENT</x:v>
      </x:c>
      <x:c r="J46" s="38" t="str">
        <x:v>fresh | tangy</x:v>
      </x:c>
      <x:c r="K46" s="38" t="str">
        <x:v>Neither rich nor comforting is currently assigned; no keep/remove action is needed in this audit.</x:v>
      </x:c>
    </x:row>
    <x:row r="47" ht="48" customHeight="1">
      <x:c r="A47" s="38" t="str">
        <x:v>pierogi</x:v>
      </x:c>
      <x:c r="B47" s="38" t="str">
        <x:v>Pierogi</x:v>
      </x:c>
      <x:c r="C47" s="38" t="str">
        <x:v>comforting</x:v>
      </x:c>
      <x:c r="D47" s="38" t="str">
        <x:v>rich</x:v>
      </x:c>
      <x:c r="E47" s="38"/>
      <x:c r="F47" s="38" t="str">
        <x:v>comforting | rich</x:v>
      </x:c>
      <x:c r="G47" s="38" t="str">
        <x:v>KEEP</x:v>
      </x:c>
      <x:c r="H47" s="38" t="str">
        <x:v>KEEP</x:v>
      </x:c>
      <x:c r="I47" s="38" t="str">
        <x:v>KEEP CURRENT</x:v>
      </x:c>
      <x:c r="J47" s="38" t="str">
        <x:v>comforting | rich</x:v>
      </x:c>
      <x:c r="K47"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48" ht="48" customHeight="1">
      <x:c r="A48" s="38" t="str">
        <x:v>arepa</x:v>
      </x:c>
      <x:c r="B48" s="38" t="str">
        <x:v>Arepa</x:v>
      </x:c>
      <x:c r="C48" s="38" t="str">
        <x:v>comforting</x:v>
      </x:c>
      <x:c r="D48" s="38" t="str">
        <x:v>rich</x:v>
      </x:c>
      <x:c r="E48" s="38"/>
      <x:c r="F48" s="38" t="str">
        <x:v>comforting | rich</x:v>
      </x:c>
      <x:c r="G48" s="38" t="str">
        <x:v>REMOVE</x:v>
      </x:c>
      <x:c r="H48" s="38" t="str">
        <x:v>KEEP</x:v>
      </x:c>
      <x:c r="I48" s="38" t="str">
        <x:v>REMOVE RICH</x:v>
      </x:c>
      <x:c r="J48" s="38" t="str">
        <x:v>comforting</x:v>
      </x:c>
      <x:c r="K48" s="38" t="str">
        <x:v>Rich — Remove rich: the tag appears broader than what the current catalog description supports. Comforting — The current description supports a hearty, familiar, filling profile where comforting is useful to the recommendation experience.</x:v>
      </x:c>
    </x:row>
    <x:row r="49" ht="48" customHeight="1">
      <x:c r="A49" s="38" t="str">
        <x:v>ceviche</x:v>
      </x:c>
      <x:c r="B49" s="38" t="str">
        <x:v>Ceviche</x:v>
      </x:c>
      <x:c r="C49" s="38" t="str">
        <x:v>fresh</x:v>
      </x:c>
      <x:c r="D49" s="38" t="str">
        <x:v>tangy</x:v>
      </x:c>
      <x:c r="E49" s="38"/>
      <x:c r="F49" s="38" t="str">
        <x:v>fresh | tangy</x:v>
      </x:c>
      <x:c r="G49" s="38" t="str">
        <x:v>NOT TAGGED</x:v>
      </x:c>
      <x:c r="H49" s="38" t="str">
        <x:v>NOT TAGGED</x:v>
      </x:c>
      <x:c r="I49" s="38" t="str">
        <x:v>KEEP CURRENT</x:v>
      </x:c>
      <x:c r="J49" s="38" t="str">
        <x:v>fresh | tangy</x:v>
      </x:c>
      <x:c r="K49" s="38" t="str">
        <x:v>Neither rich nor comforting is currently assigned; no keep/remove action is needed in this audit.</x:v>
      </x:c>
    </x:row>
    <x:row r="50" ht="48" customHeight="1">
      <x:c r="A50" s="38" t="str">
        <x:v>arroz-con-pollo</x:v>
      </x:c>
      <x:c r="B50" s="38" t="str">
        <x:v>Arroz con Pollo</x:v>
      </x:c>
      <x:c r="C50" s="38" t="str">
        <x:v>comforting</x:v>
      </x:c>
      <x:c r="D50" s="38" t="str">
        <x:v>rich</x:v>
      </x:c>
      <x:c r="E50" s="38"/>
      <x:c r="F50" s="38" t="str">
        <x:v>comforting | rich</x:v>
      </x:c>
      <x:c r="G50" s="38" t="str">
        <x:v>REMOVE</x:v>
      </x:c>
      <x:c r="H50" s="38" t="str">
        <x:v>KEEP</x:v>
      </x:c>
      <x:c r="I50" s="38" t="str">
        <x:v>REMOVE RICH</x:v>
      </x:c>
      <x:c r="J50" s="38" t="str">
        <x:v>comforting</x:v>
      </x:c>
      <x:c r="K50"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51" ht="48" customHeight="1">
      <x:c r="A51" s="38" t="str">
        <x:v>sancocho</x:v>
      </x:c>
      <x:c r="B51" s="38" t="str">
        <x:v>Sancocho</x:v>
      </x:c>
      <x:c r="C51" s="38" t="str">
        <x:v>comforting</x:v>
      </x:c>
      <x:c r="D51" s="38" t="str">
        <x:v>rich</x:v>
      </x:c>
      <x:c r="E51" s="38"/>
      <x:c r="F51" s="38" t="str">
        <x:v>comforting | rich</x:v>
      </x:c>
      <x:c r="G51" s="38" t="str">
        <x:v>REMOVE</x:v>
      </x:c>
      <x:c r="H51" s="38" t="str">
        <x:v>KEEP</x:v>
      </x:c>
      <x:c r="I51" s="38" t="str">
        <x:v>REMOVE RICH</x:v>
      </x:c>
      <x:c r="J51" s="38" t="str">
        <x:v>comforting</x:v>
      </x:c>
      <x:c r="K51"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52" ht="48" customHeight="1">
      <x:c r="A52" s="38" t="str">
        <x:v>gumbo</x:v>
      </x:c>
      <x:c r="B52" s="38" t="str">
        <x:v>Gumbo</x:v>
      </x:c>
      <x:c r="C52" s="38" t="str">
        <x:v>rich</x:v>
      </x:c>
      <x:c r="D52" s="38" t="str">
        <x:v>spicy</x:v>
      </x:c>
      <x:c r="E52" s="38"/>
      <x:c r="F52" s="38" t="str">
        <x:v>rich | spicy</x:v>
      </x:c>
      <x:c r="G52" s="38" t="str">
        <x:v>KEEP</x:v>
      </x:c>
      <x:c r="H52" s="38" t="str">
        <x:v>NOT TAGGED</x:v>
      </x:c>
      <x:c r="I52" s="38" t="str">
        <x:v>KEEP CURRENT</x:v>
      </x:c>
      <x:c r="J52" s="38" t="str">
        <x:v>rich | spicy</x:v>
      </x:c>
      <x:c r="K52" s="38" t="str">
        <x:v>Rich — The dish is centered on a dense, concentrated, meat-forward, fried, or thick preparation, so rich is meaningfully descriptive.</x:v>
      </x:c>
    </x:row>
    <x:row r="53" ht="48" customHeight="1">
      <x:c r="A53" s="38" t="str">
        <x:v>smoked-brisket</x:v>
      </x:c>
      <x:c r="B53" s="38" t="str">
        <x:v>Smoked Brisket</x:v>
      </x:c>
      <x:c r="C53" s="38" t="str">
        <x:v>rich</x:v>
      </x:c>
      <x:c r="D53" s="38" t="str">
        <x:v>comforting</x:v>
      </x:c>
      <x:c r="E53" s="38"/>
      <x:c r="F53" s="38" t="str">
        <x:v>rich | comforting</x:v>
      </x:c>
      <x:c r="G53" s="38" t="str">
        <x:v>KEEP</x:v>
      </x:c>
      <x:c r="H53" s="38" t="str">
        <x:v>REMOVE</x:v>
      </x:c>
      <x:c r="I53" s="38" t="str">
        <x:v>REMOVE COMFORTING</x:v>
      </x:c>
      <x:c r="J53" s="38" t="str">
        <x:v>rich</x:v>
      </x:c>
      <x:c r="K53" s="38" t="str">
        <x:v>Rich — The dish is centered on a dense, concentrated, meat-forward, fried, or thick preparation, so rich is meaningfully descriptive. Comforting — Remove comforting: the label feels subjective and broader than the current catalog description supports.</x:v>
      </x:c>
    </x:row>
    <x:row r="54" ht="48" customHeight="1">
      <x:c r="A54" s="38" t="str">
        <x:v>poke-bowl</x:v>
      </x:c>
      <x:c r="B54" s="38" t="str">
        <x:v>Poke Bowl</x:v>
      </x:c>
      <x:c r="C54" s="38" t="str">
        <x:v>fresh</x:v>
      </x:c>
      <x:c r="D54" s="38" t="str">
        <x:v>tangy</x:v>
      </x:c>
      <x:c r="E54" s="38"/>
      <x:c r="F54" s="38" t="str">
        <x:v>fresh | tangy</x:v>
      </x:c>
      <x:c r="G54" s="38" t="str">
        <x:v>NOT TAGGED</x:v>
      </x:c>
      <x:c r="H54" s="38" t="str">
        <x:v>NOT TAGGED</x:v>
      </x:c>
      <x:c r="I54" s="38" t="str">
        <x:v>KEEP CURRENT</x:v>
      </x:c>
      <x:c r="J54" s="38" t="str">
        <x:v>fresh | tangy</x:v>
      </x:c>
      <x:c r="K54" s="38" t="str">
        <x:v>Neither rich nor comforting is currently assigned; no keep/remove action is needed in this audit.</x:v>
      </x:c>
    </x:row>
    <x:row r="55" ht="48" customHeight="1">
      <x:c r="A55" s="38" t="str">
        <x:v>nasi-goreng</x:v>
      </x:c>
      <x:c r="B55" s="38" t="str">
        <x:v>Nasi Goreng</x:v>
      </x:c>
      <x:c r="C55" s="38" t="str">
        <x:v>comforting</x:v>
      </x:c>
      <x:c r="D55" s="38" t="str">
        <x:v>rich</x:v>
      </x:c>
      <x:c r="E55" s="38"/>
      <x:c r="F55" s="38" t="str">
        <x:v>comforting | rich</x:v>
      </x:c>
      <x:c r="G55" s="38" t="str">
        <x:v>REMOVE</x:v>
      </x:c>
      <x:c r="H55" s="38" t="str">
        <x:v>KEEP</x:v>
      </x:c>
      <x:c r="I55" s="38" t="str">
        <x:v>REMOVE RICH</x:v>
      </x:c>
      <x:c r="J55" s="38" t="str">
        <x:v>comforting</x:v>
      </x:c>
      <x:c r="K55"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56" ht="48" customHeight="1">
      <x:c r="A56" s="38" t="str">
        <x:v>chicken-adobo</x:v>
      </x:c>
      <x:c r="B56" s="38" t="str">
        <x:v>Chicken Adobo</x:v>
      </x:c>
      <x:c r="C56" s="38" t="str">
        <x:v>comforting</x:v>
      </x:c>
      <x:c r="D56" s="38" t="str">
        <x:v>tangy</x:v>
      </x:c>
      <x:c r="E56" s="38"/>
      <x:c r="F56" s="38" t="str">
        <x:v>comforting | tangy</x:v>
      </x:c>
      <x:c r="G56" s="38" t="str">
        <x:v>NOT TAGGED</x:v>
      </x:c>
      <x:c r="H56" s="38" t="str">
        <x:v>KEEP</x:v>
      </x:c>
      <x:c r="I56" s="38" t="str">
        <x:v>KEEP CURRENT</x:v>
      </x:c>
      <x:c r="J56" s="38" t="str">
        <x:v>comforting | tangy</x:v>
      </x:c>
      <x:c r="K56" s="38" t="str">
        <x:v>Comforting — The warm, soft, starchy, brothy, braised, or slow-cooked format makes comforting a defining eating experience rather than a catch-all tag.</x:v>
      </x:c>
    </x:row>
    <x:row r="57" ht="48" customHeight="1">
      <x:c r="A57" s="38" t="str">
        <x:v>satay</x:v>
      </x:c>
      <x:c r="B57" s="38" t="str">
        <x:v>Satay</x:v>
      </x:c>
      <x:c r="C57" s="38" t="str">
        <x:v>rich</x:v>
      </x:c>
      <x:c r="D57" s="38" t="str">
        <x:v>spicy</x:v>
      </x:c>
      <x:c r="E57" s="38"/>
      <x:c r="F57" s="38" t="str">
        <x:v>rich | spicy</x:v>
      </x:c>
      <x:c r="G57" s="38" t="str">
        <x:v>KEEP</x:v>
      </x:c>
      <x:c r="H57" s="38" t="str">
        <x:v>NOT TAGGED</x:v>
      </x:c>
      <x:c r="I57" s="38" t="str">
        <x:v>KEEP CURRENT</x:v>
      </x:c>
      <x:c r="J57" s="38" t="str">
        <x:v>rich | spicy</x:v>
      </x:c>
      <x:c r="K57" s="38" t="str">
        <x:v>Rich — Richness is supported by a creamy, fatty, nutty, coconut, cheese, or similarly dense component in the current catalog description.</x:v>
      </x:c>
    </x:row>
    <x:row r="58" ht="48" customHeight="1">
      <x:c r="A58" s="38" t="str">
        <x:v>laksa</x:v>
      </x:c>
      <x:c r="B58" s="38" t="str">
        <x:v>Laksa</x:v>
      </x:c>
      <x:c r="C58" s="38" t="str">
        <x:v>spicy</x:v>
      </x:c>
      <x:c r="D58" s="38" t="str">
        <x:v>rich</x:v>
      </x:c>
      <x:c r="E58" s="38"/>
      <x:c r="F58" s="38" t="str">
        <x:v>spicy | rich</x:v>
      </x:c>
      <x:c r="G58" s="38" t="str">
        <x:v>REMOVE</x:v>
      </x:c>
      <x:c r="H58" s="38" t="str">
        <x:v>NOT TAGGED</x:v>
      </x:c>
      <x:c r="I58" s="38" t="str">
        <x:v>REMOVE RICH</x:v>
      </x:c>
      <x:c r="J58" s="38" t="str">
        <x:v>spicy</x:v>
      </x:c>
      <x:c r="K58" s="38" t="str">
        <x:v>Rich — Remove rich: the current description is more specifically defined by its other preference flavor(s), while 'rich' reads as a generic extra label.</x:v>
      </x:c>
    </x:row>
    <x:row r="59" ht="48" customHeight="1">
      <x:c r="A59" s="38" t="str">
        <x:v>banh-mi</x:v>
      </x:c>
      <x:c r="B59" s="38" t="str">
        <x:v>Bánh Mì</x:v>
      </x:c>
      <x:c r="C59" s="38" t="str">
        <x:v>fresh</x:v>
      </x:c>
      <x:c r="D59" s="38" t="str">
        <x:v>crispy</x:v>
      </x:c>
      <x:c r="E59" s="38" t="str">
        <x:v>tangy</x:v>
      </x:c>
      <x:c r="F59" s="38" t="str">
        <x:v>fresh | crispy | tangy</x:v>
      </x:c>
      <x:c r="G59" s="38" t="str">
        <x:v>NOT TAGGED</x:v>
      </x:c>
      <x:c r="H59" s="38" t="str">
        <x:v>NOT TAGGED</x:v>
      </x:c>
      <x:c r="I59" s="38" t="str">
        <x:v>KEEP CURRENT</x:v>
      </x:c>
      <x:c r="J59" s="38" t="str">
        <x:v>fresh | crispy | tangy</x:v>
      </x:c>
      <x:c r="K59" s="38" t="str">
        <x:v>Neither rich nor comforting is currently assigned; no keep/remove action is needed in this audit.</x:v>
      </x:c>
    </x:row>
    <x:row r="60" ht="48" customHeight="1">
      <x:c r="A60" s="38" t="str">
        <x:v>sinigang</x:v>
      </x:c>
      <x:c r="B60" s="38" t="str">
        <x:v>Sinigang</x:v>
      </x:c>
      <x:c r="C60" s="38" t="str">
        <x:v>tangy</x:v>
      </x:c>
      <x:c r="D60" s="38" t="str">
        <x:v>comforting</x:v>
      </x:c>
      <x:c r="E60" s="38"/>
      <x:c r="F60" s="38" t="str">
        <x:v>tangy | comforting</x:v>
      </x:c>
      <x:c r="G60" s="38" t="str">
        <x:v>NOT TAGGED</x:v>
      </x:c>
      <x:c r="H60" s="38" t="str">
        <x:v>KEEP</x:v>
      </x:c>
      <x:c r="I60" s="38" t="str">
        <x:v>KEEP CURRENT</x:v>
      </x:c>
      <x:c r="J60" s="38" t="str">
        <x:v>tangy | comforting</x:v>
      </x:c>
      <x:c r="K60" s="38" t="str">
        <x:v>Comforting — The warm, soft, starchy, brothy, braised, or slow-cooked format makes comforting a defining eating experience rather than a catch-all tag.</x:v>
      </x:c>
    </x:row>
    <x:row r="61" ht="48" customHeight="1">
      <x:c r="A61" s="38" t="str">
        <x:v>gyoza</x:v>
      </x:c>
      <x:c r="B61" s="38" t="str">
        <x:v>Gyoza</x:v>
      </x:c>
      <x:c r="C61" s="38" t="str">
        <x:v>crispy</x:v>
      </x:c>
      <x:c r="D61" s="38" t="str">
        <x:v>comforting</x:v>
      </x:c>
      <x:c r="E61" s="38"/>
      <x:c r="F61" s="38" t="str">
        <x:v>crispy | comforting</x:v>
      </x:c>
      <x:c r="G61" s="38" t="str">
        <x:v>NOT TAGGED</x:v>
      </x:c>
      <x:c r="H61" s="38" t="str">
        <x:v>REMOVE</x:v>
      </x:c>
      <x:c r="I61" s="38" t="str">
        <x:v>REMOVE COMFORTING</x:v>
      </x:c>
      <x:c r="J61" s="38" t="str">
        <x:v>crispy</x:v>
      </x:c>
      <x:c r="K61" s="38" t="str">
        <x:v>Comforting — Remove comforting: the dish is better distinguished by its sharper current preference flavor(s); comfort adds little discriminatory value.</x:v>
      </x:c>
    </x:row>
    <x:row r="62" ht="48" customHeight="1">
      <x:c r="A62" s="38" t="str">
        <x:v>tonkatsu</x:v>
      </x:c>
      <x:c r="B62" s="38" t="str">
        <x:v>Tonkatsu</x:v>
      </x:c>
      <x:c r="C62" s="38" t="str">
        <x:v>crispy</x:v>
      </x:c>
      <x:c r="D62" s="38" t="str">
        <x:v>comforting</x:v>
      </x:c>
      <x:c r="E62" s="38"/>
      <x:c r="F62" s="38" t="str">
        <x:v>crispy | comforting</x:v>
      </x:c>
      <x:c r="G62" s="38" t="str">
        <x:v>NOT TAGGED</x:v>
      </x:c>
      <x:c r="H62" s="38" t="str">
        <x:v>KEEP</x:v>
      </x:c>
      <x:c r="I62" s="38" t="str">
        <x:v>KEEP CURRENT</x:v>
      </x:c>
      <x:c r="J62" s="38" t="str">
        <x:v>crispy | comforting</x:v>
      </x:c>
      <x:c r="K62" s="38" t="str">
        <x:v>Comforting — Comforting is still defensible from the dish's warm, familiar, substantial format and adds useful mood-level signal.</x:v>
      </x:c>
    </x:row>
    <x:row r="63" ht="48" customHeight="1">
      <x:c r="A63" s="38" t="str">
        <x:v>congee</x:v>
      </x:c>
      <x:c r="B63" s="38" t="str">
        <x:v>Congee</x:v>
      </x:c>
      <x:c r="C63" s="38" t="str">
        <x:v>comforting</x:v>
      </x:c>
      <x:c r="D63" s="38" t="str">
        <x:v>fresh</x:v>
      </x:c>
      <x:c r="E63" s="38"/>
      <x:c r="F63" s="38" t="str">
        <x:v>comforting | fresh</x:v>
      </x:c>
      <x:c r="G63" s="38" t="str">
        <x:v>NOT TAGGED</x:v>
      </x:c>
      <x:c r="H63" s="38" t="str">
        <x:v>KEEP</x:v>
      </x:c>
      <x:c r="I63" s="38" t="str">
        <x:v>KEEP CURRENT</x:v>
      </x:c>
      <x:c r="J63" s="38" t="str">
        <x:v>comforting | fresh</x:v>
      </x:c>
      <x:c r="K63" s="38" t="str">
        <x:v>Comforting — The warm, soft, starchy, brothy, braised, or slow-cooked format makes comforting a defining eating experience rather than a catch-all tag.</x:v>
      </x:c>
    </x:row>
    <x:row r="64" ht="48" customHeight="1">
      <x:c r="A64" s="38" t="str">
        <x:v>samosa</x:v>
      </x:c>
      <x:c r="B64" s="38" t="str">
        <x:v>Samosa</x:v>
      </x:c>
      <x:c r="C64" s="38" t="str">
        <x:v>crispy</x:v>
      </x:c>
      <x:c r="D64" s="38" t="str">
        <x:v>spicy</x:v>
      </x:c>
      <x:c r="E64" s="38"/>
      <x:c r="F64" s="38" t="str">
        <x:v>crispy | spicy</x:v>
      </x:c>
      <x:c r="G64" s="38" t="str">
        <x:v>NOT TAGGED</x:v>
      </x:c>
      <x:c r="H64" s="38" t="str">
        <x:v>NOT TAGGED</x:v>
      </x:c>
      <x:c r="I64" s="38" t="str">
        <x:v>KEEP CURRENT</x:v>
      </x:c>
      <x:c r="J64" s="38" t="str">
        <x:v>crispy | spicy</x:v>
      </x:c>
      <x:c r="K64" s="38" t="str">
        <x:v>Neither rich nor comforting is currently assigned; no keep/remove action is needed in this audit.</x:v>
      </x:c>
    </x:row>
    <x:row r="65" ht="48" customHeight="1">
      <x:c r="A65" s="38" t="str">
        <x:v>tandoori-chicken</x:v>
      </x:c>
      <x:c r="B65" s="38" t="str">
        <x:v>Tandoori Chicken</x:v>
      </x:c>
      <x:c r="C65" s="38" t="str">
        <x:v>spicy</x:v>
      </x:c>
      <x:c r="D65" s="38" t="str">
        <x:v>rich</x:v>
      </x:c>
      <x:c r="E65" s="38"/>
      <x:c r="F65" s="38" t="str">
        <x:v>spicy | rich</x:v>
      </x:c>
      <x:c r="G65" s="38" t="str">
        <x:v>REMOVE</x:v>
      </x:c>
      <x:c r="H65" s="38" t="str">
        <x:v>NOT TAGGED</x:v>
      </x:c>
      <x:c r="I65" s="38" t="str">
        <x:v>REMOVE RICH</x:v>
      </x:c>
      <x:c r="J65" s="38" t="str">
        <x:v>spicy</x:v>
      </x:c>
      <x:c r="K65" s="38" t="str">
        <x:v>Rich — Remove rich: the current description is more specifically defined by its other preference flavor(s), while 'rich' reads as a generic extra label.</x:v>
      </x:c>
    </x:row>
    <x:row r="66" ht="48" customHeight="1">
      <x:c r="A66" s="38" t="str">
        <x:v>idiyappam</x:v>
      </x:c>
      <x:c r="B66" s="38" t="str">
        <x:v>Idiyappam</x:v>
      </x:c>
      <x:c r="C66" s="38" t="str">
        <x:v>comforting</x:v>
      </x:c>
      <x:c r="D66" s="38" t="str">
        <x:v>fresh</x:v>
      </x:c>
      <x:c r="E66" s="38"/>
      <x:c r="F66" s="38" t="str">
        <x:v>comforting | fresh</x:v>
      </x:c>
      <x:c r="G66" s="38" t="str">
        <x:v>NOT TAGGED</x:v>
      </x:c>
      <x:c r="H66" s="38" t="str">
        <x:v>KEEP</x:v>
      </x:c>
      <x:c r="I66" s="38" t="str">
        <x:v>KEEP CURRENT</x:v>
      </x:c>
      <x:c r="J66" s="38" t="str">
        <x:v>comforting | fresh</x:v>
      </x:c>
      <x:c r="K66" s="38" t="str">
        <x:v>Comforting — The warm, soft, starchy, brothy, braised, or slow-cooked format makes comforting a defining eating experience rather than a catch-all tag.</x:v>
      </x:c>
    </x:row>
    <x:row r="67" ht="48" customHeight="1">
      <x:c r="A67" s="38" t="str">
        <x:v>falafel</x:v>
      </x:c>
      <x:c r="B67" s="38" t="str">
        <x:v>Falafel</x:v>
      </x:c>
      <x:c r="C67" s="38" t="str">
        <x:v>crispy</x:v>
      </x:c>
      <x:c r="D67" s="38" t="str">
        <x:v>fresh</x:v>
      </x:c>
      <x:c r="E67" s="38"/>
      <x:c r="F67" s="38" t="str">
        <x:v>crispy | fresh</x:v>
      </x:c>
      <x:c r="G67" s="38" t="str">
        <x:v>NOT TAGGED</x:v>
      </x:c>
      <x:c r="H67" s="38" t="str">
        <x:v>NOT TAGGED</x:v>
      </x:c>
      <x:c r="I67" s="38" t="str">
        <x:v>KEEP CURRENT</x:v>
      </x:c>
      <x:c r="J67" s="38" t="str">
        <x:v>crispy | fresh</x:v>
      </x:c>
      <x:c r="K67" s="38" t="str">
        <x:v>Neither rich nor comforting is currently assigned; no keep/remove action is needed in this audit.</x:v>
      </x:c>
    </x:row>
    <x:row r="68" ht="48" customHeight="1">
      <x:c r="A68" s="38" t="str">
        <x:v>kabab-koobideh</x:v>
      </x:c>
      <x:c r="B68" s="38" t="str">
        <x:v>Kabab Koobideh</x:v>
      </x:c>
      <x:c r="C68" s="38" t="str">
        <x:v>rich</x:v>
      </x:c>
      <x:c r="D68" s="38" t="str">
        <x:v>comforting</x:v>
      </x:c>
      <x:c r="E68" s="38"/>
      <x:c r="F68" s="38" t="str">
        <x:v>rich | comforting</x:v>
      </x:c>
      <x:c r="G68" s="38" t="str">
        <x:v>KEEP</x:v>
      </x:c>
      <x:c r="H68" s="38" t="str">
        <x:v>REMOVE</x:v>
      </x:c>
      <x:c r="I68" s="38" t="str">
        <x:v>REMOVE COMFORTING</x:v>
      </x:c>
      <x:c r="J68" s="38" t="str">
        <x:v>rich</x:v>
      </x:c>
      <x:c r="K68" s="38" t="str">
        <x:v>Rich — The dish is centered on a dense, concentrated, meat-forward, fried, or thick preparation, so rich is meaningfully descriptive. Comforting — Remove comforting: the current description is primarily grilled, crisp, fresh, or portable rather than inherently cozy or soothing.</x:v>
      </x:c>
    </x:row>
    <x:row r="69" ht="48" customHeight="1">
      <x:c r="A69" s="38" t="str">
        <x:v>mujadara</x:v>
      </x:c>
      <x:c r="B69" s="38" t="str">
        <x:v>Mujadara</x:v>
      </x:c>
      <x:c r="C69" s="38" t="str">
        <x:v>comforting</x:v>
      </x:c>
      <x:c r="D69" s="38" t="str">
        <x:v>fresh</x:v>
      </x:c>
      <x:c r="E69" s="38"/>
      <x:c r="F69" s="38" t="str">
        <x:v>comforting | fresh</x:v>
      </x:c>
      <x:c r="G69" s="38" t="str">
        <x:v>NOT TAGGED</x:v>
      </x:c>
      <x:c r="H69" s="38" t="str">
        <x:v>KEEP</x:v>
      </x:c>
      <x:c r="I69" s="38" t="str">
        <x:v>KEEP CURRENT</x:v>
      </x:c>
      <x:c r="J69" s="38" t="str">
        <x:v>comforting | fresh</x:v>
      </x:c>
      <x:c r="K69" s="38" t="str">
        <x:v>Comforting — The warm, soft, starchy, brothy, braised, or slow-cooked format makes comforting a defining eating experience rather than a catch-all tag.</x:v>
      </x:c>
    </x:row>
    <x:row r="70" ht="48" customHeight="1">
      <x:c r="A70" s="38" t="str">
        <x:v>bunny-chow</x:v>
      </x:c>
      <x:c r="B70" s="38" t="str">
        <x:v>Bunny Chow</x:v>
      </x:c>
      <x:c r="C70" s="38" t="str">
        <x:v>spicy</x:v>
      </x:c>
      <x:c r="D70" s="38" t="str">
        <x:v>rich</x:v>
      </x:c>
      <x:c r="E70" s="38"/>
      <x:c r="F70" s="38" t="str">
        <x:v>spicy | rich</x:v>
      </x:c>
      <x:c r="G70" s="38" t="str">
        <x:v>KEEP</x:v>
      </x:c>
      <x:c r="H70" s="38" t="str">
        <x:v>NOT TAGGED</x:v>
      </x:c>
      <x:c r="I70" s="38" t="str">
        <x:v>KEEP CURRENT</x:v>
      </x:c>
      <x:c r="J70" s="38" t="str">
        <x:v>spicy | rich</x:v>
      </x:c>
      <x:c r="K70" s="38" t="str">
        <x:v>Rich — The current description presents a full-bodied, substantial preparation where rich adds useful recommendation signal.</x:v>
      </x:c>
    </x:row>
    <x:row r="71" ht="48" customHeight="1">
      <x:c r="A71" s="38" t="str">
        <x:v>bobotie</x:v>
      </x:c>
      <x:c r="B71" s="38" t="str">
        <x:v>Bobotie</x:v>
      </x:c>
      <x:c r="C71" s="38" t="str">
        <x:v>rich</x:v>
      </x:c>
      <x:c r="D71" s="38" t="str">
        <x:v>comforting</x:v>
      </x:c>
      <x:c r="E71" s="38"/>
      <x:c r="F71" s="38" t="str">
        <x:v>rich | comforting</x:v>
      </x:c>
      <x:c r="G71" s="38" t="str">
        <x:v>KEEP</x:v>
      </x:c>
      <x:c r="H71" s="38" t="str">
        <x:v>KEEP</x:v>
      </x:c>
      <x:c r="I71" s="38" t="str">
        <x:v>KEEP CURRENT</x:v>
      </x:c>
      <x:c r="J71" s="38" t="str">
        <x:v>rich | comforting</x:v>
      </x:c>
      <x:c r="K71" s="38" t="str">
        <x:v>Rich — Richness is supported by a creamy, fatty, nutty, coconut, cheese, or similarly dense component in the current catalog description. Comforting — Comforting is still defensible from the dish's warm, familiar, substantial format and adds useful mood-level signal.</x:v>
      </x:c>
    </x:row>
    <x:row r="72" ht="48" customHeight="1">
      <x:c r="A72" s="38" t="str">
        <x:v>egusi-soup</x:v>
      </x:c>
      <x:c r="B72" s="38" t="str">
        <x:v>Egusi Soup</x:v>
      </x:c>
      <x:c r="C72" s="38" t="str">
        <x:v>rich</x:v>
      </x:c>
      <x:c r="D72" s="38" t="str">
        <x:v>spicy</x:v>
      </x:c>
      <x:c r="E72" s="38"/>
      <x:c r="F72" s="38" t="str">
        <x:v>rich | spicy</x:v>
      </x:c>
      <x:c r="G72" s="38" t="str">
        <x:v>KEEP</x:v>
      </x:c>
      <x:c r="H72" s="38" t="str">
        <x:v>NOT TAGGED</x:v>
      </x:c>
      <x:c r="I72" s="38" t="str">
        <x:v>KEEP CURRENT</x:v>
      </x:c>
      <x:c r="J72" s="38" t="str">
        <x:v>rich | spicy</x:v>
      </x:c>
      <x:c r="K72" s="38" t="str">
        <x:v>Rich — Richness is supported by a creamy, fatty, nutty, coconut, cheese, or similarly dense component in the current catalog description.</x:v>
      </x:c>
    </x:row>
    <x:row r="73" ht="48" customHeight="1">
      <x:c r="A73" s="38" t="str">
        <x:v>risotto</x:v>
      </x:c>
      <x:c r="B73" s="38" t="str">
        <x:v>Risotto</x:v>
      </x:c>
      <x:c r="C73" s="38" t="str">
        <x:v>rich</x:v>
      </x:c>
      <x:c r="D73" s="38" t="str">
        <x:v>comforting</x:v>
      </x:c>
      <x:c r="E73" s="38"/>
      <x:c r="F73" s="38" t="str">
        <x:v>rich | comforting</x:v>
      </x:c>
      <x:c r="G73" s="38" t="str">
        <x:v>KEEP</x:v>
      </x:c>
      <x:c r="H73" s="38" t="str">
        <x:v>KEEP</x:v>
      </x:c>
      <x:c r="I73" s="38" t="str">
        <x:v>KEEP CURRENT</x:v>
      </x:c>
      <x:c r="J73" s="38" t="str">
        <x:v>rich | comforting</x:v>
      </x:c>
      <x:c r="K73"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74" ht="48" customHeight="1">
      <x:c r="A74" s="38" t="str">
        <x:v>arancini</x:v>
      </x:c>
      <x:c r="B74" s="38" t="str">
        <x:v>Arancini</x:v>
      </x:c>
      <x:c r="C74" s="38" t="str">
        <x:v>crispy</x:v>
      </x:c>
      <x:c r="D74" s="38" t="str">
        <x:v>rich</x:v>
      </x:c>
      <x:c r="E74" s="38"/>
      <x:c r="F74" s="38" t="str">
        <x:v>crispy | rich</x:v>
      </x:c>
      <x:c r="G74" s="38" t="str">
        <x:v>KEEP</x:v>
      </x:c>
      <x:c r="H74" s="38" t="str">
        <x:v>NOT TAGGED</x:v>
      </x:c>
      <x:c r="I74" s="38" t="str">
        <x:v>KEEP CURRENT</x:v>
      </x:c>
      <x:c r="J74" s="38" t="str">
        <x:v>crispy | rich</x:v>
      </x:c>
      <x:c r="K74" s="38" t="str">
        <x:v>Rich — Richness is supported by a creamy, fatty, nutty, coconut, cheese, or similarly dense component in the current catalog description.</x:v>
      </x:c>
    </x:row>
    <x:row r="75" ht="48" customHeight="1">
      <x:c r="A75" s="38" t="str">
        <x:v>schnitzel</x:v>
      </x:c>
      <x:c r="B75" s="38" t="str">
        <x:v>Schnitzel</x:v>
      </x:c>
      <x:c r="C75" s="38" t="str">
        <x:v>crispy</x:v>
      </x:c>
      <x:c r="D75" s="38" t="str">
        <x:v>comforting</x:v>
      </x:c>
      <x:c r="E75" s="38"/>
      <x:c r="F75" s="38" t="str">
        <x:v>crispy | comforting</x:v>
      </x:c>
      <x:c r="G75" s="38" t="str">
        <x:v>NOT TAGGED</x:v>
      </x:c>
      <x:c r="H75" s="38" t="str">
        <x:v>KEEP</x:v>
      </x:c>
      <x:c r="I75" s="38" t="str">
        <x:v>KEEP CURRENT</x:v>
      </x:c>
      <x:c r="J75" s="38" t="str">
        <x:v>crispy | comforting</x:v>
      </x:c>
      <x:c r="K75" s="38" t="str">
        <x:v>Comforting — Comforting is still defensible from the dish's warm, familiar, substantial format and adds useful mood-level signal.</x:v>
      </x:c>
    </x:row>
    <x:row r="76" ht="48" customHeight="1">
      <x:c r="A76" s="38" t="str">
        <x:v>empanadas</x:v>
      </x:c>
      <x:c r="B76" s="38" t="str">
        <x:v>Empanadas</x:v>
      </x:c>
      <x:c r="C76" s="38" t="str">
        <x:v>crispy</x:v>
      </x:c>
      <x:c r="D76" s="38" t="str">
        <x:v>comforting</x:v>
      </x:c>
      <x:c r="E76" s="38"/>
      <x:c r="F76" s="38" t="str">
        <x:v>crispy | comforting</x:v>
      </x:c>
      <x:c r="G76" s="38" t="str">
        <x:v>NOT TAGGED</x:v>
      </x:c>
      <x:c r="H76" s="38" t="str">
        <x:v>REMOVE</x:v>
      </x:c>
      <x:c r="I76" s="38" t="str">
        <x:v>REMOVE COMFORTING</x:v>
      </x:c>
      <x:c r="J76" s="38" t="str">
        <x:v>crispy</x:v>
      </x:c>
      <x:c r="K76" s="38" t="str">
        <x:v>Comforting — Remove comforting: the dish is better distinguished by its sharper current preference flavor(s); comfort adds little discriminatory value.</x:v>
      </x:c>
    </x:row>
    <x:row r="77" ht="48" customHeight="1">
      <x:c r="A77" s="38" t="str">
        <x:v>feijoada</x:v>
      </x:c>
      <x:c r="B77" s="38" t="str">
        <x:v>Feijoada</x:v>
      </x:c>
      <x:c r="C77" s="38" t="str">
        <x:v>rich</x:v>
      </x:c>
      <x:c r="D77" s="38" t="str">
        <x:v>comforting</x:v>
      </x:c>
      <x:c r="E77" s="38"/>
      <x:c r="F77" s="38" t="str">
        <x:v>rich | comforting</x:v>
      </x:c>
      <x:c r="G77" s="38" t="str">
        <x:v>KEEP</x:v>
      </x:c>
      <x:c r="H77" s="38" t="str">
        <x:v>KEEP</x:v>
      </x:c>
      <x:c r="I77" s="38" t="str">
        <x:v>KEEP CURRENT</x:v>
      </x:c>
      <x:c r="J77" s="38" t="str">
        <x:v>rich | comforting</x:v>
      </x:c>
      <x:c r="K77"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78" ht="48" customHeight="1">
      <x:c r="A78" s="38" t="str">
        <x:v>macaroni-and-cheese</x:v>
      </x:c>
      <x:c r="B78" s="38" t="str">
        <x:v>Macaroni and Cheese</x:v>
      </x:c>
      <x:c r="C78" s="38" t="str">
        <x:v>rich</x:v>
      </x:c>
      <x:c r="D78" s="38" t="str">
        <x:v>comforting</x:v>
      </x:c>
      <x:c r="E78" s="38"/>
      <x:c r="F78" s="38" t="str">
        <x:v>rich | comforting</x:v>
      </x:c>
      <x:c r="G78" s="38" t="str">
        <x:v>KEEP</x:v>
      </x:c>
      <x:c r="H78" s="38" t="str">
        <x:v>KEEP</x:v>
      </x:c>
      <x:c r="I78" s="38" t="str">
        <x:v>KEEP CURRENT</x:v>
      </x:c>
      <x:c r="J78" s="38" t="str">
        <x:v>rich | comforting</x:v>
      </x:c>
      <x:c r="K78"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79" ht="48" customHeight="1">
      <x:c r="A79" s="38" t="str">
        <x:v>pulled-pork-sandwich</x:v>
      </x:c>
      <x:c r="B79" s="38" t="str">
        <x:v>Pulled Pork Sandwich</x:v>
      </x:c>
      <x:c r="C79" s="38" t="str">
        <x:v>rich</x:v>
      </x:c>
      <x:c r="D79" s="38" t="str">
        <x:v>comforting</x:v>
      </x:c>
      <x:c r="E79" s="38"/>
      <x:c r="F79" s="38" t="str">
        <x:v>rich | comforting</x:v>
      </x:c>
      <x:c r="G79" s="38" t="str">
        <x:v>KEEP</x:v>
      </x:c>
      <x:c r="H79" s="38" t="str">
        <x:v>KEEP</x:v>
      </x:c>
      <x:c r="I79" s="38" t="str">
        <x:v>KEEP CURRENT</x:v>
      </x:c>
      <x:c r="J79" s="38" t="str">
        <x:v>rich | comforting</x:v>
      </x:c>
      <x:c r="K79"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80" ht="48" customHeight="1">
      <x:c r="A80" s="38" t="str">
        <x:v>dandan-noodles</x:v>
      </x:c>
      <x:c r="B80" s="38" t="str">
        <x:v>Dandan Noodles</x:v>
      </x:c>
      <x:c r="C80" s="38" t="str">
        <x:v>spicy</x:v>
      </x:c>
      <x:c r="D80" s="38" t="str">
        <x:v>rich</x:v>
      </x:c>
      <x:c r="E80" s="38"/>
      <x:c r="F80" s="38" t="str">
        <x:v>spicy | rich</x:v>
      </x:c>
      <x:c r="G80" s="38" t="str">
        <x:v>KEEP</x:v>
      </x:c>
      <x:c r="H80" s="38" t="str">
        <x:v>NOT TAGGED</x:v>
      </x:c>
      <x:c r="I80" s="38" t="str">
        <x:v>KEEP CURRENT</x:v>
      </x:c>
      <x:c r="J80" s="38" t="str">
        <x:v>spicy | rich</x:v>
      </x:c>
      <x:c r="K80" s="38" t="str">
        <x:v>Rich — Richness is supported by a creamy, fatty, nutty, coconut, cheese, or similarly dense component in the current catalog description.</x:v>
      </x:c>
    </x:row>
    <x:row r="81" ht="48" customHeight="1">
      <x:c r="A81" s="38" t="str">
        <x:v>hot-and-sour-soup</x:v>
      </x:c>
      <x:c r="B81" s="38" t="str">
        <x:v>Hot and Sour Soup</x:v>
      </x:c>
      <x:c r="C81" s="38" t="str">
        <x:v>spicy</x:v>
      </x:c>
      <x:c r="D81" s="38" t="str">
        <x:v>tangy</x:v>
      </x:c>
      <x:c r="E81" s="38"/>
      <x:c r="F81" s="38" t="str">
        <x:v>spicy | tangy</x:v>
      </x:c>
      <x:c r="G81" s="38" t="str">
        <x:v>NOT TAGGED</x:v>
      </x:c>
      <x:c r="H81" s="38" t="str">
        <x:v>NOT TAGGED</x:v>
      </x:c>
      <x:c r="I81" s="38" t="str">
        <x:v>KEEP CURRENT</x:v>
      </x:c>
      <x:c r="J81" s="38" t="str">
        <x:v>spicy | tangy</x:v>
      </x:c>
      <x:c r="K81" s="38" t="str">
        <x:v>Neither rich nor comforting is currently assigned; no keep/remove action is needed in this audit.</x:v>
      </x:c>
    </x:row>
    <x:row r="82" ht="48" customHeight="1">
      <x:c r="A82" s="38" t="str">
        <x:v>gimbap</x:v>
      </x:c>
      <x:c r="B82" s="38" t="str">
        <x:v>Gimbap</x:v>
      </x:c>
      <x:c r="C82" s="38" t="str">
        <x:v>fresh</x:v>
      </x:c>
      <x:c r="D82" s="38" t="str">
        <x:v>comforting</x:v>
      </x:c>
      <x:c r="E82" s="38"/>
      <x:c r="F82" s="38" t="str">
        <x:v>fresh | comforting</x:v>
      </x:c>
      <x:c r="G82" s="38" t="str">
        <x:v>NOT TAGGED</x:v>
      </x:c>
      <x:c r="H82" s="38" t="str">
        <x:v>REMOVE</x:v>
      </x:c>
      <x:c r="I82" s="38" t="str">
        <x:v>REMOVE COMFORTING</x:v>
      </x:c>
      <x:c r="J82" s="38" t="str">
        <x:v>fresh</x:v>
      </x:c>
      <x:c r="K82" s="38" t="str">
        <x:v>Comforting — Remove comforting: the dish is better distinguished by its sharper current preference flavor(s); comfort adds little discriminatory value.</x:v>
      </x:c>
    </x:row>
    <x:row r="83" ht="48" customHeight="1">
      <x:c r="A83" s="38" t="str">
        <x:v>nasi-lemak</x:v>
      </x:c>
      <x:c r="B83" s="38" t="str">
        <x:v>Nasi Lemak</x:v>
      </x:c>
      <x:c r="C83" s="38" t="str">
        <x:v>rich</x:v>
      </x:c>
      <x:c r="D83" s="38" t="str">
        <x:v>spicy</x:v>
      </x:c>
      <x:c r="E83" s="38"/>
      <x:c r="F83" s="38" t="str">
        <x:v>rich | spicy</x:v>
      </x:c>
      <x:c r="G83" s="38" t="str">
        <x:v>KEEP</x:v>
      </x:c>
      <x:c r="H83" s="38" t="str">
        <x:v>NOT TAGGED</x:v>
      </x:c>
      <x:c r="I83" s="38" t="str">
        <x:v>KEEP CURRENT</x:v>
      </x:c>
      <x:c r="J83" s="38" t="str">
        <x:v>rich | spicy</x:v>
      </x:c>
      <x:c r="K83" s="38" t="str">
        <x:v>Rich — Richness is supported by a creamy, fatty, nutty, coconut, cheese, or similarly dense component in the current catalog description.</x:v>
      </x:c>
    </x:row>
    <x:row r="84" ht="48" customHeight="1">
      <x:c r="A84" s="38" t="str">
        <x:v>lumpia</x:v>
      </x:c>
      <x:c r="B84" s="38" t="str">
        <x:v>Lumpia</x:v>
      </x:c>
      <x:c r="C84" s="38" t="str">
        <x:v>crispy</x:v>
      </x:c>
      <x:c r="D84" s="38" t="str">
        <x:v>comforting</x:v>
      </x:c>
      <x:c r="E84" s="38"/>
      <x:c r="F84" s="38" t="str">
        <x:v>crispy | comforting</x:v>
      </x:c>
      <x:c r="G84" s="38" t="str">
        <x:v>NOT TAGGED</x:v>
      </x:c>
      <x:c r="H84" s="38" t="str">
        <x:v>REMOVE</x:v>
      </x:c>
      <x:c r="I84" s="38" t="str">
        <x:v>REMOVE COMFORTING</x:v>
      </x:c>
      <x:c r="J84" s="38" t="str">
        <x:v>crispy</x:v>
      </x:c>
      <x:c r="K84" s="38" t="str">
        <x:v>Comforting — Remove comforting: the dish is better distinguished by its sharper current preference flavor(s); comfort adds little discriminatory value.</x:v>
      </x:c>
    </x:row>
    <x:row r="85" ht="48" customHeight="1">
      <x:c r="A85" s="38" t="str">
        <x:v>ayam-bakar</x:v>
      </x:c>
      <x:c r="B85" s="38" t="str">
        <x:v>Ayam Bakar</x:v>
      </x:c>
      <x:c r="C85" s="38" t="str">
        <x:v>spicy</x:v>
      </x:c>
      <x:c r="D85" s="38" t="str">
        <x:v>rich</x:v>
      </x:c>
      <x:c r="E85" s="38"/>
      <x:c r="F85" s="38" t="str">
        <x:v>spicy | rich</x:v>
      </x:c>
      <x:c r="G85" s="38" t="str">
        <x:v>KEEP</x:v>
      </x:c>
      <x:c r="H85" s="38" t="str">
        <x:v>NOT TAGGED</x:v>
      </x:c>
      <x:c r="I85" s="38" t="str">
        <x:v>KEEP CURRENT</x:v>
      </x:c>
      <x:c r="J85" s="38" t="str">
        <x:v>spicy | rich</x:v>
      </x:c>
      <x:c r="K85" s="38" t="str">
        <x:v>Rich — The current description presents a full-bodied, substantial preparation where rich adds useful recommendation signal.</x:v>
      </x:c>
    </x:row>
    <x:row r="86" ht="48" customHeight="1">
      <x:c r="A86" s="38" t="str">
        <x:v>rendang</x:v>
      </x:c>
      <x:c r="B86" s="38" t="str">
        <x:v>Rendang</x:v>
      </x:c>
      <x:c r="C86" s="38" t="str">
        <x:v>rich</x:v>
      </x:c>
      <x:c r="D86" s="38" t="str">
        <x:v>spicy</x:v>
      </x:c>
      <x:c r="E86" s="38"/>
      <x:c r="F86" s="38" t="str">
        <x:v>rich | spicy</x:v>
      </x:c>
      <x:c r="G86" s="38" t="str">
        <x:v>KEEP</x:v>
      </x:c>
      <x:c r="H86" s="38" t="str">
        <x:v>NOT TAGGED</x:v>
      </x:c>
      <x:c r="I86" s="38" t="str">
        <x:v>KEEP CURRENT</x:v>
      </x:c>
      <x:c r="J86" s="38" t="str">
        <x:v>rich | spicy</x:v>
      </x:c>
      <x:c r="K86" s="38" t="str">
        <x:v>Rich — Richness is supported by a creamy, fatty, nutty, coconut, cheese, or similarly dense component in the current catalog description.</x:v>
      </x:c>
    </x:row>
    <x:row r="87" ht="48" customHeight="1">
      <x:c r="A87" s="38" t="str">
        <x:v>kottu-roti</x:v>
      </x:c>
      <x:c r="B87" s="38" t="str">
        <x:v>Kottu Roti</x:v>
      </x:c>
      <x:c r="C87" s="38" t="str">
        <x:v>spicy</x:v>
      </x:c>
      <x:c r="D87" s="38" t="str">
        <x:v>crispy</x:v>
      </x:c>
      <x:c r="E87" s="38"/>
      <x:c r="F87" s="38" t="str">
        <x:v>spicy | crispy</x:v>
      </x:c>
      <x:c r="G87" s="38" t="str">
        <x:v>NOT TAGGED</x:v>
      </x:c>
      <x:c r="H87" s="38" t="str">
        <x:v>NOT TAGGED</x:v>
      </x:c>
      <x:c r="I87" s="38" t="str">
        <x:v>KEEP CURRENT</x:v>
      </x:c>
      <x:c r="J87" s="38" t="str">
        <x:v>spicy | crispy</x:v>
      </x:c>
      <x:c r="K87" s="38" t="str">
        <x:v>Neither rich nor comforting is currently assigned; no keep/remove action is needed in this audit.</x:v>
      </x:c>
    </x:row>
    <x:row r="88" ht="48" customHeight="1">
      <x:c r="A88" s="38" t="str">
        <x:v>nihari</x:v>
      </x:c>
      <x:c r="B88" s="38" t="str">
        <x:v>Nihari</x:v>
      </x:c>
      <x:c r="C88" s="38" t="str">
        <x:v>rich</x:v>
      </x:c>
      <x:c r="D88" s="38" t="str">
        <x:v>spicy</x:v>
      </x:c>
      <x:c r="E88" s="38"/>
      <x:c r="F88" s="38" t="str">
        <x:v>rich | spicy</x:v>
      </x:c>
      <x:c r="G88" s="38" t="str">
        <x:v>KEEP</x:v>
      </x:c>
      <x:c r="H88" s="38" t="str">
        <x:v>NOT TAGGED</x:v>
      </x:c>
      <x:c r="I88" s="38" t="str">
        <x:v>KEEP CURRENT</x:v>
      </x:c>
      <x:c r="J88" s="38" t="str">
        <x:v>rich | spicy</x:v>
      </x:c>
      <x:c r="K88" s="38" t="str">
        <x:v>Rich — The dish is centered on a dense, concentrated, meat-forward, fried, or thick preparation, so rich is meaningfully descriptive.</x:v>
      </x:c>
    </x:row>
    <x:row r="89" ht="48" customHeight="1">
      <x:c r="A89" s="38" t="str">
        <x:v>seekh-kebab</x:v>
      </x:c>
      <x:c r="B89" s="38" t="str">
        <x:v>Seekh Kebab</x:v>
      </x:c>
      <x:c r="C89" s="38" t="str">
        <x:v>spicy</x:v>
      </x:c>
      <x:c r="D89" s="38" t="str">
        <x:v>rich</x:v>
      </x:c>
      <x:c r="E89" s="38"/>
      <x:c r="F89" s="38" t="str">
        <x:v>spicy | rich</x:v>
      </x:c>
      <x:c r="G89" s="38" t="str">
        <x:v>REMOVE</x:v>
      </x:c>
      <x:c r="H89" s="38" t="str">
        <x:v>NOT TAGGED</x:v>
      </x:c>
      <x:c r="I89" s="38" t="str">
        <x:v>REMOVE RICH</x:v>
      </x:c>
      <x:c r="J89" s="38" t="str">
        <x:v>spicy</x:v>
      </x:c>
      <x:c r="K89" s="38" t="str">
        <x:v>Rich — Remove rich: the current description is more specifically defined by its other preference flavor(s), while 'rich' reads as a generic extra label.</x:v>
      </x:c>
    </x:row>
    <x:row r="90" ht="48" customHeight="1">
      <x:c r="A90" s="38" t="str">
        <x:v>thukpa</x:v>
      </x:c>
      <x:c r="B90" s="38" t="str">
        <x:v>Thukpa</x:v>
      </x:c>
      <x:c r="C90" s="38" t="str">
        <x:v>comforting</x:v>
      </x:c>
      <x:c r="D90" s="38" t="str">
        <x:v>fresh</x:v>
      </x:c>
      <x:c r="E90" s="38"/>
      <x:c r="F90" s="38" t="str">
        <x:v>comforting | fresh</x:v>
      </x:c>
      <x:c r="G90" s="38" t="str">
        <x:v>NOT TAGGED</x:v>
      </x:c>
      <x:c r="H90" s="38" t="str">
        <x:v>KEEP</x:v>
      </x:c>
      <x:c r="I90" s="38" t="str">
        <x:v>KEEP CURRENT</x:v>
      </x:c>
      <x:c r="J90" s="38" t="str">
        <x:v>comforting | fresh</x:v>
      </x:c>
      <x:c r="K90" s="38" t="str">
        <x:v>Comforting — The warm, soft, starchy, brothy, braised, or slow-cooked format makes comforting a defining eating experience rather than a catch-all tag.</x:v>
      </x:c>
    </x:row>
    <x:row r="91" ht="48" customHeight="1">
      <x:c r="A91" s="38" t="str">
        <x:v>kibbeh</x:v>
      </x:c>
      <x:c r="B91" s="38" t="str">
        <x:v>Kibbeh</x:v>
      </x:c>
      <x:c r="C91" s="38" t="str">
        <x:v>crispy</x:v>
      </x:c>
      <x:c r="D91" s="38" t="str">
        <x:v>rich</x:v>
      </x:c>
      <x:c r="E91" s="38"/>
      <x:c r="F91" s="38" t="str">
        <x:v>crispy | rich</x:v>
      </x:c>
      <x:c r="G91" s="38" t="str">
        <x:v>KEEP</x:v>
      </x:c>
      <x:c r="H91" s="38" t="str">
        <x:v>NOT TAGGED</x:v>
      </x:c>
      <x:c r="I91" s="38" t="str">
        <x:v>KEEP CURRENT</x:v>
      </x:c>
      <x:c r="J91" s="38" t="str">
        <x:v>crispy | rich</x:v>
      </x:c>
      <x:c r="K91" s="38" t="str">
        <x:v>Rich — The dish is centered on a dense, concentrated, meat-forward, fried, or thick preparation, so rich is meaningfully descriptive.</x:v>
      </x:c>
    </x:row>
    <x:row r="92" ht="48" customHeight="1">
      <x:c r="A92" s="38" t="str">
        <x:v>reshteh-polow</x:v>
      </x:c>
      <x:c r="B92" s="38" t="str">
        <x:v>Reshteh Polow</x:v>
      </x:c>
      <x:c r="C92" s="38" t="str">
        <x:v>comforting</x:v>
      </x:c>
      <x:c r="D92" s="38" t="str">
        <x:v>rich</x:v>
      </x:c>
      <x:c r="E92" s="38"/>
      <x:c r="F92" s="38" t="str">
        <x:v>comforting | rich</x:v>
      </x:c>
      <x:c r="G92" s="38" t="str">
        <x:v>REMOVE</x:v>
      </x:c>
      <x:c r="H92" s="38" t="str">
        <x:v>KEEP</x:v>
      </x:c>
      <x:c r="I92" s="38" t="str">
        <x:v>REMOVE RICH</x:v>
      </x:c>
      <x:c r="J92" s="38" t="str">
        <x:v>comforting</x:v>
      </x:c>
      <x:c r="K92"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93" ht="48" customHeight="1">
      <x:c r="A93" s="38" t="str">
        <x:v>fesenjan</x:v>
      </x:c>
      <x:c r="B93" s="38" t="str">
        <x:v>Fesenjan</x:v>
      </x:c>
      <x:c r="C93" s="38" t="str">
        <x:v>rich</x:v>
      </x:c>
      <x:c r="D93" s="38" t="str">
        <x:v>tangy</x:v>
      </x:c>
      <x:c r="E93" s="38"/>
      <x:c r="F93" s="38" t="str">
        <x:v>rich | tangy</x:v>
      </x:c>
      <x:c r="G93" s="38" t="str">
        <x:v>KEEP</x:v>
      </x:c>
      <x:c r="H93" s="38" t="str">
        <x:v>NOT TAGGED</x:v>
      </x:c>
      <x:c r="I93" s="38" t="str">
        <x:v>KEEP CURRENT</x:v>
      </x:c>
      <x:c r="J93" s="38" t="str">
        <x:v>rich | tangy</x:v>
      </x:c>
      <x:c r="K93" s="38" t="str">
        <x:v>Rich — Richness is supported by a creamy, fatty, nutty, coconut, cheese, or similarly dense component in the current catalog description.</x:v>
      </x:c>
    </x:row>
    <x:row r="94" ht="48" customHeight="1">
      <x:c r="A94" s="38" t="str">
        <x:v>akara</x:v>
      </x:c>
      <x:c r="B94" s="38" t="str">
        <x:v>Akara</x:v>
      </x:c>
      <x:c r="C94" s="38" t="str">
        <x:v>crispy</x:v>
      </x:c>
      <x:c r="D94" s="38" t="str">
        <x:v>spicy</x:v>
      </x:c>
      <x:c r="E94" s="38"/>
      <x:c r="F94" s="38" t="str">
        <x:v>crispy | spicy</x:v>
      </x:c>
      <x:c r="G94" s="38" t="str">
        <x:v>NOT TAGGED</x:v>
      </x:c>
      <x:c r="H94" s="38" t="str">
        <x:v>NOT TAGGED</x:v>
      </x:c>
      <x:c r="I94" s="38" t="str">
        <x:v>KEEP CURRENT</x:v>
      </x:c>
      <x:c r="J94" s="38" t="str">
        <x:v>crispy | spicy</x:v>
      </x:c>
      <x:c r="K94" s="38" t="str">
        <x:v>Neither rich nor comforting is currently assigned; no keep/remove action is needed in this audit.</x:v>
      </x:c>
    </x:row>
    <x:row r="95" ht="48" customHeight="1">
      <x:c r="A95" s="38" t="str">
        <x:v>waakye</x:v>
      </x:c>
      <x:c r="B95" s="38" t="str">
        <x:v>Waakye</x:v>
      </x:c>
      <x:c r="C95" s="38" t="str">
        <x:v>comforting</x:v>
      </x:c>
      <x:c r="D95" s="38" t="str">
        <x:v>fresh</x:v>
      </x:c>
      <x:c r="E95" s="38"/>
      <x:c r="F95" s="38" t="str">
        <x:v>comforting | fresh</x:v>
      </x:c>
      <x:c r="G95" s="38" t="str">
        <x:v>NOT TAGGED</x:v>
      </x:c>
      <x:c r="H95" s="38" t="str">
        <x:v>KEEP</x:v>
      </x:c>
      <x:c r="I95" s="38" t="str">
        <x:v>KEEP CURRENT</x:v>
      </x:c>
      <x:c r="J95" s="38" t="str">
        <x:v>comforting | fresh</x:v>
      </x:c>
      <x:c r="K95" s="38" t="str">
        <x:v>Comforting — The warm, soft, starchy, brothy, braised, or slow-cooked format makes comforting a defining eating experience rather than a catch-all tag.</x:v>
      </x:c>
    </x:row>
    <x:row r="96" ht="48" customHeight="1">
      <x:c r="A96" s="38" t="str">
        <x:v>maafe</x:v>
      </x:c>
      <x:c r="B96" s="38" t="str">
        <x:v>Maafe</x:v>
      </x:c>
      <x:c r="C96" s="38" t="str">
        <x:v>rich</x:v>
      </x:c>
      <x:c r="D96" s="38" t="str">
        <x:v>spicy</x:v>
      </x:c>
      <x:c r="E96" s="38"/>
      <x:c r="F96" s="38" t="str">
        <x:v>rich | spicy</x:v>
      </x:c>
      <x:c r="G96" s="38" t="str">
        <x:v>KEEP</x:v>
      </x:c>
      <x:c r="H96" s="38" t="str">
        <x:v>NOT TAGGED</x:v>
      </x:c>
      <x:c r="I96" s="38" t="str">
        <x:v>KEEP CURRENT</x:v>
      </x:c>
      <x:c r="J96" s="38" t="str">
        <x:v>rich | spicy</x:v>
      </x:c>
      <x:c r="K96" s="38" t="str">
        <x:v>Rich — Richness is supported by a creamy, fatty, nutty, coconut, cheese, or similarly dense component in the current catalog description.</x:v>
      </x:c>
    </x:row>
    <x:row r="97" ht="48" customHeight="1">
      <x:c r="A97" s="38" t="str">
        <x:v>cacio-e-pepe</x:v>
      </x:c>
      <x:c r="B97" s="38" t="str">
        <x:v>Cacio e Pepe</x:v>
      </x:c>
      <x:c r="C97" s="38" t="str">
        <x:v>rich</x:v>
      </x:c>
      <x:c r="D97" s="38" t="str">
        <x:v>comforting</x:v>
      </x:c>
      <x:c r="E97" s="38"/>
      <x:c r="F97" s="38" t="str">
        <x:v>rich | comforting</x:v>
      </x:c>
      <x:c r="G97" s="38" t="str">
        <x:v>KEEP</x:v>
      </x:c>
      <x:c r="H97" s="38" t="str">
        <x:v>KEEP</x:v>
      </x:c>
      <x:c r="I97" s="38" t="str">
        <x:v>KEEP CURRENT</x:v>
      </x:c>
      <x:c r="J97" s="38" t="str">
        <x:v>rich | comforting</x:v>
      </x:c>
      <x:c r="K97"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98" ht="48" customHeight="1">
      <x:c r="A98" s="38" t="str">
        <x:v>spaetzle</x:v>
      </x:c>
      <x:c r="B98" s="38" t="str">
        <x:v>Spätzle</x:v>
      </x:c>
      <x:c r="C98" s="38" t="str">
        <x:v>comforting</x:v>
      </x:c>
      <x:c r="D98" s="38" t="str">
        <x:v>rich</x:v>
      </x:c>
      <x:c r="E98" s="38"/>
      <x:c r="F98" s="38" t="str">
        <x:v>comforting | rich</x:v>
      </x:c>
      <x:c r="G98" s="38" t="str">
        <x:v>REMOVE</x:v>
      </x:c>
      <x:c r="H98" s="38" t="str">
        <x:v>KEEP</x:v>
      </x:c>
      <x:c r="I98" s="38" t="str">
        <x:v>REMOVE RICH</x:v>
      </x:c>
      <x:c r="J98" s="38" t="str">
        <x:v>comforting</x:v>
      </x:c>
      <x:c r="K98"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99" ht="48" customHeight="1">
      <x:c r="A99" s="38" t="str">
        <x:v>tortellini-in-brodo</x:v>
      </x:c>
      <x:c r="B99" s="38" t="str">
        <x:v>Tortellini in Brodo</x:v>
      </x:c>
      <x:c r="C99" s="38" t="str">
        <x:v>comforting</x:v>
      </x:c>
      <x:c r="D99" s="38" t="str">
        <x:v>rich</x:v>
      </x:c>
      <x:c r="E99" s="38"/>
      <x:c r="F99" s="38" t="str">
        <x:v>comforting | rich</x:v>
      </x:c>
      <x:c r="G99" s="38" t="str">
        <x:v>REMOVE</x:v>
      </x:c>
      <x:c r="H99" s="38" t="str">
        <x:v>KEEP</x:v>
      </x:c>
      <x:c r="I99" s="38" t="str">
        <x:v>REMOVE RICH</x:v>
      </x:c>
      <x:c r="J99" s="38" t="str">
        <x:v>comforting</x:v>
      </x:c>
      <x:c r="K99" s="38" t="str">
        <x:v>Rich — Remove rich: the tag appears broader than what the current catalog description supports. Comforting — The warm, soft, starchy, brothy, braised, or slow-cooked format makes comforting a defining eating experience rather than a catch-all tag.</x:v>
      </x:c>
    </x:row>
    <x:row r="100" ht="48" customHeight="1">
      <x:c r="A100" s="38" t="str">
        <x:v>tallarines-verdes</x:v>
      </x:c>
      <x:c r="B100" s="38" t="str">
        <x:v>Tallarines Verdes</x:v>
      </x:c>
      <x:c r="C100" s="38" t="str">
        <x:v>fresh</x:v>
      </x:c>
      <x:c r="D100" s="38" t="str">
        <x:v>rich</x:v>
      </x:c>
      <x:c r="E100" s="38"/>
      <x:c r="F100" s="38" t="str">
        <x:v>fresh | rich</x:v>
      </x:c>
      <x:c r="G100" s="38" t="str">
        <x:v>KEEP</x:v>
      </x:c>
      <x:c r="H100" s="38" t="str">
        <x:v>NOT TAGGED</x:v>
      </x:c>
      <x:c r="I100" s="38" t="str">
        <x:v>KEEP CURRENT</x:v>
      </x:c>
      <x:c r="J100" s="38" t="str">
        <x:v>fresh | rich</x:v>
      </x:c>
      <x:c r="K100" s="38" t="str">
        <x:v>Rich — Richness is supported by a creamy, fatty, nutty, coconut, cheese, or similarly dense component in the current catalog description.</x:v>
      </x:c>
    </x:row>
    <x:row r="101" ht="48" customHeight="1">
      <x:c r="A101" s="38" t="str">
        <x:v>patacones</x:v>
      </x:c>
      <x:c r="B101" s="38" t="str">
        <x:v>Patacones</x:v>
      </x:c>
      <x:c r="C101" s="38" t="str">
        <x:v>crispy</x:v>
      </x:c>
      <x:c r="D101" s="38" t="str">
        <x:v>comforting</x:v>
      </x:c>
      <x:c r="E101" s="38"/>
      <x:c r="F101" s="38" t="str">
        <x:v>crispy | comforting</x:v>
      </x:c>
      <x:c r="G101" s="38" t="str">
        <x:v>NOT TAGGED</x:v>
      </x:c>
      <x:c r="H101" s="38" t="str">
        <x:v>REMOVE</x:v>
      </x:c>
      <x:c r="I101" s="38" t="str">
        <x:v>REMOVE COMFORTING</x:v>
      </x:c>
      <x:c r="J101" s="38" t="str">
        <x:v>crispy</x:v>
      </x:c>
      <x:c r="K101" s="38" t="str">
        <x:v>Comforting — Remove comforting: the dish is better distinguished by its sharper current preference flavor(s); comfort adds little discriminatory value.</x:v>
      </x:c>
    </x:row>
    <x:row r="102" ht="48" customHeight="1">
      <x:c r="A102" s="38" t="str">
        <x:v>lomo-saltado</x:v>
      </x:c>
      <x:c r="B102" s="38" t="str">
        <x:v>Lomo Saltado</x:v>
      </x:c>
      <x:c r="C102" s="38" t="str">
        <x:v>rich</x:v>
      </x:c>
      <x:c r="D102" s="38" t="str">
        <x:v>fresh</x:v>
      </x:c>
      <x:c r="E102" s="38"/>
      <x:c r="F102" s="38" t="str">
        <x:v>rich | fresh</x:v>
      </x:c>
      <x:c r="G102" s="38" t="str">
        <x:v>KEEP</x:v>
      </x:c>
      <x:c r="H102" s="38" t="str">
        <x:v>NOT TAGGED</x:v>
      </x:c>
      <x:c r="I102" s="38" t="str">
        <x:v>KEEP CURRENT</x:v>
      </x:c>
      <x:c r="J102" s="38" t="str">
        <x:v>rich | fresh</x:v>
      </x:c>
      <x:c r="K102" s="38" t="str">
        <x:v>Rich — The dish is centered on a dense, concentrated, meat-forward, fried, or thick preparation, so rich is meaningfully descriptive.</x:v>
      </x:c>
    </x:row>
    <x:row r="103" ht="48" customHeight="1">
      <x:c r="A103" s="38" t="str">
        <x:v>new-england-clam-chowder</x:v>
      </x:c>
      <x:c r="B103" s="38" t="str">
        <x:v>New England Clam Chowder</x:v>
      </x:c>
      <x:c r="C103" s="38" t="str">
        <x:v>rich</x:v>
      </x:c>
      <x:c r="D103" s="38" t="str">
        <x:v>comforting</x:v>
      </x:c>
      <x:c r="E103" s="38"/>
      <x:c r="F103" s="38" t="str">
        <x:v>rich | comforting</x:v>
      </x:c>
      <x:c r="G103" s="38" t="str">
        <x:v>KEEP</x:v>
      </x:c>
      <x:c r="H103" s="38" t="str">
        <x:v>KEEP</x:v>
      </x:c>
      <x:c r="I103" s="38" t="str">
        <x:v>KEEP CURRENT</x:v>
      </x:c>
      <x:c r="J103" s="38" t="str">
        <x:v>rich | comforting</x:v>
      </x:c>
      <x:c r="K103" s="38" t="str">
        <x:v>Rich — Richness is supported by a creamy, fatty, nutty, coconut, cheese, or similarly dense component in the current catalog description. Comforting — Comforting is still defensible from the dish's warm, familiar, substantial format and adds useful mood-level signal.</x:v>
      </x:c>
    </x:row>
    <x:row r="104" ht="48" customHeight="1">
      <x:c r="A104" s="38" t="str">
        <x:v>buffalo-wings</x:v>
      </x:c>
      <x:c r="B104" s="38" t="str">
        <x:v>Buffalo Wings</x:v>
      </x:c>
      <x:c r="C104" s="38" t="str">
        <x:v>spicy</x:v>
      </x:c>
      <x:c r="D104" s="38" t="str">
        <x:v>tangy</x:v>
      </x:c>
      <x:c r="E104" s="38" t="str">
        <x:v>crispy</x:v>
      </x:c>
      <x:c r="F104" s="38" t="str">
        <x:v>spicy | tangy | crispy</x:v>
      </x:c>
      <x:c r="G104" s="38" t="str">
        <x:v>NOT TAGGED</x:v>
      </x:c>
      <x:c r="H104" s="38" t="str">
        <x:v>NOT TAGGED</x:v>
      </x:c>
      <x:c r="I104" s="38" t="str">
        <x:v>KEEP CURRENT</x:v>
      </x:c>
      <x:c r="J104" s="38" t="str">
        <x:v>spicy | tangy | crispy</x:v>
      </x:c>
      <x:c r="K104" s="38" t="str">
        <x:v>Neither rich nor comforting is currently assigned; no keep/remove action is needed in this audit.</x:v>
      </x:c>
    </x:row>
    <x:row r="105" ht="48" customHeight="1">
      <x:c r="A105" s="38" t="str">
        <x:v>zhajiangmian</x:v>
      </x:c>
      <x:c r="B105" s="38" t="str">
        <x:v>Zhajiangmian</x:v>
      </x:c>
      <x:c r="C105" s="38" t="str">
        <x:v>comforting</x:v>
      </x:c>
      <x:c r="D105" s="38" t="str">
        <x:v>rich</x:v>
      </x:c>
      <x:c r="E105" s="38"/>
      <x:c r="F105" s="38" t="str">
        <x:v>comforting | rich</x:v>
      </x:c>
      <x:c r="G105" s="38" t="str">
        <x:v>KEEP</x:v>
      </x:c>
      <x:c r="H105" s="38" t="str">
        <x:v>KEEP</x:v>
      </x:c>
      <x:c r="I105" s="38" t="str">
        <x:v>KEEP CURRENT</x:v>
      </x:c>
      <x:c r="J105" s="38" t="str">
        <x:v>comforting | rich</x:v>
      </x:c>
      <x:c r="K105"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06" ht="48" customHeight="1">
      <x:c r="A106" s="38" t="str">
        <x:v>omurice</x:v>
      </x:c>
      <x:c r="B106" s="38" t="str">
        <x:v>Omurice</x:v>
      </x:c>
      <x:c r="C106" s="38" t="str">
        <x:v>comforting</x:v>
      </x:c>
      <x:c r="D106" s="38" t="str">
        <x:v>rich</x:v>
      </x:c>
      <x:c r="E106" s="38"/>
      <x:c r="F106" s="38" t="str">
        <x:v>comforting | rich</x:v>
      </x:c>
      <x:c r="G106" s="38" t="str">
        <x:v>REMOVE</x:v>
      </x:c>
      <x:c r="H106" s="38" t="str">
        <x:v>KEEP</x:v>
      </x:c>
      <x:c r="I106" s="38" t="str">
        <x:v>REMOVE RICH</x:v>
      </x:c>
      <x:c r="J106" s="38" t="str">
        <x:v>comforting</x:v>
      </x:c>
      <x:c r="K106"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07" ht="48" customHeight="1">
      <x:c r="A107" s="38" t="str">
        <x:v>sukiyaki</x:v>
      </x:c>
      <x:c r="B107" s="38" t="str">
        <x:v>Sukiyaki</x:v>
      </x:c>
      <x:c r="C107" s="38" t="str">
        <x:v>rich</x:v>
      </x:c>
      <x:c r="D107" s="38" t="str">
        <x:v>comforting</x:v>
      </x:c>
      <x:c r="E107" s="38"/>
      <x:c r="F107" s="38" t="str">
        <x:v>rich | comforting</x:v>
      </x:c>
      <x:c r="G107" s="38" t="str">
        <x:v>KEEP</x:v>
      </x:c>
      <x:c r="H107" s="38" t="str">
        <x:v>KEEP</x:v>
      </x:c>
      <x:c r="I107" s="38" t="str">
        <x:v>KEEP CURRENT</x:v>
      </x:c>
      <x:c r="J107" s="38" t="str">
        <x:v>rich | comforting</x:v>
      </x:c>
      <x:c r="K107" s="38" t="str">
        <x:v>Rich — The current description presents a full-bodied, substantial preparation where rich adds useful recommendation signal. Comforting — The warm, soft, starchy, brothy, braised, or slow-cooked format makes comforting a defining eating experience rather than a catch-all tag.</x:v>
      </x:c>
    </x:row>
    <x:row r="108" ht="48" customHeight="1">
      <x:c r="A108" s="38" t="str">
        <x:v>hainanese-chicken-rice</x:v>
      </x:c>
      <x:c r="B108" s="38" t="str">
        <x:v>Hainanese Chicken Rice</x:v>
      </x:c>
      <x:c r="C108" s="38" t="str">
        <x:v>comforting</x:v>
      </x:c>
      <x:c r="D108" s="38" t="str">
        <x:v>fresh</x:v>
      </x:c>
      <x:c r="E108" s="38"/>
      <x:c r="F108" s="38" t="str">
        <x:v>comforting | fresh</x:v>
      </x:c>
      <x:c r="G108" s="38" t="str">
        <x:v>NOT TAGGED</x:v>
      </x:c>
      <x:c r="H108" s="38" t="str">
        <x:v>KEEP</x:v>
      </x:c>
      <x:c r="I108" s="38" t="str">
        <x:v>KEEP CURRENT</x:v>
      </x:c>
      <x:c r="J108" s="38" t="str">
        <x:v>comforting | fresh</x:v>
      </x:c>
      <x:c r="K108" s="38" t="str">
        <x:v>Comforting — The warm, soft, starchy, brothy, braised, or slow-cooked format makes comforting a defining eating experience rather than a catch-all tag.</x:v>
      </x:c>
    </x:row>
    <x:row r="109" ht="48" customHeight="1">
      <x:c r="A109" s="38" t="str">
        <x:v>mohinga</x:v>
      </x:c>
      <x:c r="B109" s="38" t="str">
        <x:v>Mohinga</x:v>
      </x:c>
      <x:c r="C109" s="38" t="str">
        <x:v>fresh</x:v>
      </x:c>
      <x:c r="D109" s="38" t="str">
        <x:v>rich</x:v>
      </x:c>
      <x:c r="E109" s="38"/>
      <x:c r="F109" s="38" t="str">
        <x:v>fresh | rich</x:v>
      </x:c>
      <x:c r="G109" s="38" t="str">
        <x:v>REMOVE</x:v>
      </x:c>
      <x:c r="H109" s="38" t="str">
        <x:v>NOT TAGGED</x:v>
      </x:c>
      <x:c r="I109" s="38" t="str">
        <x:v>REMOVE RICH</x:v>
      </x:c>
      <x:c r="J109" s="38" t="str">
        <x:v>fresh</x:v>
      </x:c>
      <x:c r="K109" s="38" t="str">
        <x:v>Rich — Remove rich: the current description is more specifically defined by its other preference flavor(s), while 'rich' reads as a generic extra label.</x:v>
      </x:c>
    </x:row>
    <x:row r="110" ht="48" customHeight="1">
      <x:c r="A110" s="38" t="str">
        <x:v>pulao</x:v>
      </x:c>
      <x:c r="B110" s="38" t="str">
        <x:v>Pulao</x:v>
      </x:c>
      <x:c r="C110" s="38" t="str">
        <x:v>comforting</x:v>
      </x:c>
      <x:c r="D110" s="38" t="str">
        <x:v>rich</x:v>
      </x:c>
      <x:c r="E110" s="38"/>
      <x:c r="F110" s="38" t="str">
        <x:v>comforting | rich</x:v>
      </x:c>
      <x:c r="G110" s="38" t="str">
        <x:v>REMOVE</x:v>
      </x:c>
      <x:c r="H110" s="38" t="str">
        <x:v>KEEP</x:v>
      </x:c>
      <x:c r="I110" s="38" t="str">
        <x:v>REMOVE RICH</x:v>
      </x:c>
      <x:c r="J110" s="38" t="str">
        <x:v>comforting</x:v>
      </x:c>
      <x:c r="K110"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11" ht="48" customHeight="1">
      <x:c r="A111" s="38" t="str">
        <x:v>momo</x:v>
      </x:c>
      <x:c r="B111" s="38" t="str">
        <x:v>Momo</x:v>
      </x:c>
      <x:c r="C111" s="38" t="str">
        <x:v>rich</x:v>
      </x:c>
      <x:c r="D111" s="38" t="str">
        <x:v>spicy</x:v>
      </x:c>
      <x:c r="E111" s="38"/>
      <x:c r="F111" s="38" t="str">
        <x:v>rich | spicy</x:v>
      </x:c>
      <x:c r="G111" s="38" t="str">
        <x:v>REMOVE</x:v>
      </x:c>
      <x:c r="H111" s="38" t="str">
        <x:v>NOT TAGGED</x:v>
      </x:c>
      <x:c r="I111" s="38" t="str">
        <x:v>REMOVE RICH</x:v>
      </x:c>
      <x:c r="J111" s="38" t="str">
        <x:v>spicy</x:v>
      </x:c>
      <x:c r="K111" s="38" t="str">
        <x:v>Rich — Remove rich: the current description is more specifically defined by its other preference flavor(s), while 'rich' reads as a generic extra label.</x:v>
      </x:c>
    </x:row>
    <x:row r="112" ht="48" customHeight="1">
      <x:c r="A112" s="38" t="str">
        <x:v>rasam</x:v>
      </x:c>
      <x:c r="B112" s="38" t="str">
        <x:v>Rasam</x:v>
      </x:c>
      <x:c r="C112" s="38" t="str">
        <x:v>tangy</x:v>
      </x:c>
      <x:c r="D112" s="38" t="str">
        <x:v>spicy</x:v>
      </x:c>
      <x:c r="E112" s="38" t="str">
        <x:v>fresh</x:v>
      </x:c>
      <x:c r="F112" s="38" t="str">
        <x:v>tangy | spicy | fresh</x:v>
      </x:c>
      <x:c r="G112" s="38" t="str">
        <x:v>NOT TAGGED</x:v>
      </x:c>
      <x:c r="H112" s="38" t="str">
        <x:v>NOT TAGGED</x:v>
      </x:c>
      <x:c r="I112" s="38" t="str">
        <x:v>KEEP CURRENT</x:v>
      </x:c>
      <x:c r="J112" s="38" t="str">
        <x:v>tangy | spicy | fresh</x:v>
      </x:c>
      <x:c r="K112" s="38" t="str">
        <x:v>Neither rich nor comforting is currently assigned; no keep/remove action is needed in this audit.</x:v>
      </x:c>
    </x:row>
    <x:row r="113" ht="48" customHeight="1">
      <x:c r="A113" s="38" t="str">
        <x:v>shorbat-adas</x:v>
      </x:c>
      <x:c r="B113" s="38" t="str">
        <x:v>Shorbat Adas</x:v>
      </x:c>
      <x:c r="C113" s="38" t="str">
        <x:v>comforting</x:v>
      </x:c>
      <x:c r="D113" s="38" t="str">
        <x:v>rich</x:v>
      </x:c>
      <x:c r="E113" s="38"/>
      <x:c r="F113" s="38" t="str">
        <x:v>comforting | rich</x:v>
      </x:c>
      <x:c r="G113" s="38" t="str">
        <x:v>REMOVE</x:v>
      </x:c>
      <x:c r="H113" s="38" t="str">
        <x:v>KEEP</x:v>
      </x:c>
      <x:c r="I113" s="38" t="str">
        <x:v>REMOVE RICH</x:v>
      </x:c>
      <x:c r="J113" s="38" t="str">
        <x:v>comforting</x:v>
      </x:c>
      <x:c r="K113" s="38" t="str">
        <x:v>Rich — Remove rich: the tag appears broader than what the current catalog description supports. Comforting — The warm, soft, starchy, brothy, braised, or slow-cooked format makes comforting a defining eating experience rather than a catch-all tag.</x:v>
      </x:c>
    </x:row>
    <x:row r="114" ht="48" customHeight="1">
      <x:c r="A114" s="38" t="str">
        <x:v>maqluba</x:v>
      </x:c>
      <x:c r="B114" s="38" t="str">
        <x:v>Maqluba</x:v>
      </x:c>
      <x:c r="C114" s="38" t="str">
        <x:v>rich</x:v>
      </x:c>
      <x:c r="D114" s="38" t="str">
        <x:v>comforting</x:v>
      </x:c>
      <x:c r="E114" s="38"/>
      <x:c r="F114" s="38" t="str">
        <x:v>rich | comforting</x:v>
      </x:c>
      <x:c r="G114" s="38" t="str">
        <x:v>KEEP</x:v>
      </x:c>
      <x:c r="H114" s="38" t="str">
        <x:v>KEEP</x:v>
      </x:c>
      <x:c r="I114" s="38" t="str">
        <x:v>KEEP CURRENT</x:v>
      </x:c>
      <x:c r="J114" s="38" t="str">
        <x:v>rich | comforting</x:v>
      </x:c>
      <x:c r="K114"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15" ht="48" customHeight="1">
      <x:c r="A115" s="38" t="str">
        <x:v>manakish</x:v>
      </x:c>
      <x:c r="B115" s="38" t="str">
        <x:v>Manakish</x:v>
      </x:c>
      <x:c r="C115" s="38" t="str">
        <x:v>fresh</x:v>
      </x:c>
      <x:c r="D115" s="38" t="str">
        <x:v>rich</x:v>
      </x:c>
      <x:c r="E115" s="38"/>
      <x:c r="F115" s="38" t="str">
        <x:v>fresh | rich</x:v>
      </x:c>
      <x:c r="G115" s="38" t="str">
        <x:v>REMOVE</x:v>
      </x:c>
      <x:c r="H115" s="38" t="str">
        <x:v>NOT TAGGED</x:v>
      </x:c>
      <x:c r="I115" s="38" t="str">
        <x:v>REMOVE RICH</x:v>
      </x:c>
      <x:c r="J115" s="38" t="str">
        <x:v>fresh</x:v>
      </x:c>
      <x:c r="K115" s="38" t="str">
        <x:v>Rich — Remove rich: the current description is more specifically defined by its other preference flavor(s), while 'rich' reads as a generic extra label.</x:v>
      </x:c>
    </x:row>
    <x:row r="116" ht="48" customHeight="1">
      <x:c r="A116" s="38" t="str">
        <x:v>rechta</x:v>
      </x:c>
      <x:c r="B116" s="38" t="str">
        <x:v>Rechta</x:v>
      </x:c>
      <x:c r="C116" s="38" t="str">
        <x:v>comforting</x:v>
      </x:c>
      <x:c r="D116" s="38" t="str">
        <x:v>rich</x:v>
      </x:c>
      <x:c r="E116" s="38"/>
      <x:c r="F116" s="38" t="str">
        <x:v>comforting | rich</x:v>
      </x:c>
      <x:c r="G116" s="38" t="str">
        <x:v>REMOVE</x:v>
      </x:c>
      <x:c r="H116" s="38" t="str">
        <x:v>KEEP</x:v>
      </x:c>
      <x:c r="I116" s="38" t="str">
        <x:v>REMOVE RICH</x:v>
      </x:c>
      <x:c r="J116" s="38" t="str">
        <x:v>comforting</x:v>
      </x:c>
      <x:c r="K116"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17" ht="48" customHeight="1">
      <x:c r="A117" s="38" t="str">
        <x:v>yassa</x:v>
      </x:c>
      <x:c r="B117" s="38" t="str">
        <x:v>Yassa</x:v>
      </x:c>
      <x:c r="C117" s="38" t="str">
        <x:v>tangy</x:v>
      </x:c>
      <x:c r="D117" s="38" t="str">
        <x:v>spicy</x:v>
      </x:c>
      <x:c r="E117" s="38"/>
      <x:c r="F117" s="38" t="str">
        <x:v>tangy | spicy</x:v>
      </x:c>
      <x:c r="G117" s="38" t="str">
        <x:v>NOT TAGGED</x:v>
      </x:c>
      <x:c r="H117" s="38" t="str">
        <x:v>NOT TAGGED</x:v>
      </x:c>
      <x:c r="I117" s="38" t="str">
        <x:v>KEEP CURRENT</x:v>
      </x:c>
      <x:c r="J117" s="38" t="str">
        <x:v>tangy | spicy</x:v>
      </x:c>
      <x:c r="K117" s="38" t="str">
        <x:v>Neither rich nor comforting is currently assigned; no keep/remove action is needed in this audit.</x:v>
      </x:c>
    </x:row>
    <x:row r="118" ht="48" customHeight="1">
      <x:c r="A118" s="38" t="str">
        <x:v>bissara</x:v>
      </x:c>
      <x:c r="B118" s="38" t="str">
        <x:v>Bissara</x:v>
      </x:c>
      <x:c r="C118" s="38" t="str">
        <x:v>comforting</x:v>
      </x:c>
      <x:c r="D118" s="38" t="str">
        <x:v>rich</x:v>
      </x:c>
      <x:c r="E118" s="38"/>
      <x:c r="F118" s="38" t="str">
        <x:v>comforting | rich</x:v>
      </x:c>
      <x:c r="G118" s="38" t="str">
        <x:v>REMOVE</x:v>
      </x:c>
      <x:c r="H118" s="38" t="str">
        <x:v>KEEP</x:v>
      </x:c>
      <x:c r="I118" s="38" t="str">
        <x:v>REMOVE RICH</x:v>
      </x:c>
      <x:c r="J118" s="38" t="str">
        <x:v>comforting</x:v>
      </x:c>
      <x:c r="K118" s="38" t="str">
        <x:v>Rich — Remove rich: the tag appears broader than what the current catalog description supports. Comforting — The warm, soft, starchy, brothy, braised, or slow-cooked format makes comforting a defining eating experience rather than a catch-all tag.</x:v>
      </x:c>
    </x:row>
    <x:row r="119" ht="48" customHeight="1">
      <x:c r="A119" s="38" t="str">
        <x:v>shisa-nyama</x:v>
      </x:c>
      <x:c r="B119" s="38" t="str">
        <x:v>Shisa Nyama</x:v>
      </x:c>
      <x:c r="C119" s="38" t="str">
        <x:v>rich</x:v>
      </x:c>
      <x:c r="D119" s="38" t="str">
        <x:v>comforting</x:v>
      </x:c>
      <x:c r="E119" s="38"/>
      <x:c r="F119" s="38" t="str">
        <x:v>rich | comforting</x:v>
      </x:c>
      <x:c r="G119" s="38" t="str">
        <x:v>KEEP</x:v>
      </x:c>
      <x:c r="H119" s="38" t="str">
        <x:v>REMOVE</x:v>
      </x:c>
      <x:c r="I119" s="38" t="str">
        <x:v>REMOVE COMFORTING</x:v>
      </x:c>
      <x:c r="J119" s="38" t="str">
        <x:v>rich</x:v>
      </x:c>
      <x:c r="K119" s="38" t="str">
        <x:v>Rich — The dish is centered on a dense, concentrated, meat-forward, fried, or thick preparation, so rich is meaningfully descriptive. Comforting — Remove comforting: the current description is primarily grilled, crisp, fresh, or portable rather than inherently cozy or soothing.</x:v>
      </x:c>
    </x:row>
    <x:row r="120" ht="48" customHeight="1">
      <x:c r="A120" s="38" t="str">
        <x:v>fideua</x:v>
      </x:c>
      <x:c r="B120" s="38" t="str">
        <x:v>Fideuà</x:v>
      </x:c>
      <x:c r="C120" s="38" t="str">
        <x:v>rich</x:v>
      </x:c>
      <x:c r="D120" s="38" t="str">
        <x:v>fresh</x:v>
      </x:c>
      <x:c r="E120" s="38"/>
      <x:c r="F120" s="38" t="str">
        <x:v>rich | fresh</x:v>
      </x:c>
      <x:c r="G120" s="38" t="str">
        <x:v>REMOVE</x:v>
      </x:c>
      <x:c r="H120" s="38" t="str">
        <x:v>NOT TAGGED</x:v>
      </x:c>
      <x:c r="I120" s="38" t="str">
        <x:v>REMOVE RICH</x:v>
      </x:c>
      <x:c r="J120" s="38" t="str">
        <x:v>fresh</x:v>
      </x:c>
      <x:c r="K120" s="38" t="str">
        <x:v>Rich — Remove rich: the current description is more specifically defined by its other preference flavor(s), while 'rich' reads as a generic extra label.</x:v>
      </x:c>
    </x:row>
    <x:row r="121" ht="48" customHeight="1">
      <x:c r="A121" s="38" t="str">
        <x:v>borscht</x:v>
      </x:c>
      <x:c r="B121" s="38" t="str">
        <x:v>Borscht</x:v>
      </x:c>
      <x:c r="C121" s="38" t="str">
        <x:v>tangy</x:v>
      </x:c>
      <x:c r="D121" s="38" t="str">
        <x:v>comforting</x:v>
      </x:c>
      <x:c r="E121" s="38" t="str">
        <x:v>fresh</x:v>
      </x:c>
      <x:c r="F121" s="38" t="str">
        <x:v>tangy | comforting | fresh</x:v>
      </x:c>
      <x:c r="G121" s="38" t="str">
        <x:v>NOT TAGGED</x:v>
      </x:c>
      <x:c r="H121" s="38" t="str">
        <x:v>KEEP</x:v>
      </x:c>
      <x:c r="I121" s="38" t="str">
        <x:v>KEEP CURRENT</x:v>
      </x:c>
      <x:c r="J121" s="38" t="str">
        <x:v>tangy | comforting | fresh</x:v>
      </x:c>
      <x:c r="K121" s="38" t="str">
        <x:v>Comforting — The warm, soft, starchy, brothy, braised, or slow-cooked format makes comforting a defining eating experience rather than a catch-all tag.</x:v>
      </x:c>
    </x:row>
    <x:row r="122" ht="48" customHeight="1">
      <x:c r="A122" s="38" t="str">
        <x:v>pirozhki</x:v>
      </x:c>
      <x:c r="B122" s="38" t="str">
        <x:v>Pirozhki</x:v>
      </x:c>
      <x:c r="C122" s="38" t="str">
        <x:v>comforting</x:v>
      </x:c>
      <x:c r="D122" s="38" t="str">
        <x:v>rich</x:v>
      </x:c>
      <x:c r="E122" s="38"/>
      <x:c r="F122" s="38" t="str">
        <x:v>comforting | rich</x:v>
      </x:c>
      <x:c r="G122" s="38" t="str">
        <x:v>REMOVE</x:v>
      </x:c>
      <x:c r="H122" s="38" t="str">
        <x:v>KEEP</x:v>
      </x:c>
      <x:c r="I122" s="38" t="str">
        <x:v>REMOVE RICH</x:v>
      </x:c>
      <x:c r="J122" s="38" t="str">
        <x:v>comforting</x:v>
      </x:c>
      <x:c r="K122" s="38" t="str">
        <x:v>Rich — Remove rich: the tag appears broader than what the current catalog description supports. Comforting — The current description supports a hearty, familiar, filling profile where comforting is useful to the recommendation experience.</x:v>
      </x:c>
    </x:row>
    <x:row r="123" ht="48" customHeight="1">
      <x:c r="A123" s="38" t="str">
        <x:v>arroz-chaufa</x:v>
      </x:c>
      <x:c r="B123" s="38" t="str">
        <x:v>Arroz Chaufa</x:v>
      </x:c>
      <x:c r="C123" s="38" t="str">
        <x:v>rich</x:v>
      </x:c>
      <x:c r="D123" s="38" t="str">
        <x:v>comforting</x:v>
      </x:c>
      <x:c r="E123" s="38"/>
      <x:c r="F123" s="38" t="str">
        <x:v>rich | comforting</x:v>
      </x:c>
      <x:c r="G123" s="38" t="str">
        <x:v>REMOVE</x:v>
      </x:c>
      <x:c r="H123" s="38" t="str">
        <x:v>KEEP</x:v>
      </x:c>
      <x:c r="I123" s="38" t="str">
        <x:v>REMOVE RICH</x:v>
      </x:c>
      <x:c r="J123" s="38" t="str">
        <x:v>comforting</x:v>
      </x:c>
      <x:c r="K123"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24" ht="48" customHeight="1">
      <x:c r="A124" s="38" t="str">
        <x:v>pupusa</x:v>
      </x:c>
      <x:c r="B124" s="38" t="str">
        <x:v>Pupusa</x:v>
      </x:c>
      <x:c r="C124" s="38" t="str">
        <x:v>comforting</x:v>
      </x:c>
      <x:c r="D124" s="38" t="str">
        <x:v>rich</x:v>
      </x:c>
      <x:c r="E124" s="38"/>
      <x:c r="F124" s="38" t="str">
        <x:v>comforting | rich</x:v>
      </x:c>
      <x:c r="G124" s="38" t="str">
        <x:v>KEEP</x:v>
      </x:c>
      <x:c r="H124" s="38" t="str">
        <x:v>KEEP</x:v>
      </x:c>
      <x:c r="I124" s="38" t="str">
        <x:v>KEEP CURRENT</x:v>
      </x:c>
      <x:c r="J124" s="38" t="str">
        <x:v>comforting | rich</x:v>
      </x:c>
      <x:c r="K124"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25" ht="48" customHeight="1">
      <x:c r="A125" s="38" t="str">
        <x:v>moqueca</x:v>
      </x:c>
      <x:c r="B125" s="38" t="str">
        <x:v>Moqueca</x:v>
      </x:c>
      <x:c r="C125" s="38" t="str">
        <x:v>rich</x:v>
      </x:c>
      <x:c r="D125" s="38" t="str">
        <x:v>fresh</x:v>
      </x:c>
      <x:c r="E125" s="38"/>
      <x:c r="F125" s="38" t="str">
        <x:v>rich | fresh</x:v>
      </x:c>
      <x:c r="G125" s="38" t="str">
        <x:v>REMOVE</x:v>
      </x:c>
      <x:c r="H125" s="38" t="str">
        <x:v>NOT TAGGED</x:v>
      </x:c>
      <x:c r="I125" s="38" t="str">
        <x:v>REMOVE RICH</x:v>
      </x:c>
      <x:c r="J125" s="38" t="str">
        <x:v>fresh</x:v>
      </x:c>
      <x:c r="K125" s="38" t="str">
        <x:v>Rich — Remove rich: the current description is more specifically defined by its other preference flavor(s), while 'rich' reads as a generic extra label.</x:v>
      </x:c>
    </x:row>
    <x:row r="126" ht="48" customHeight="1">
      <x:c r="A126" s="38" t="str">
        <x:v>churrasco</x:v>
      </x:c>
      <x:c r="B126" s="38" t="str">
        <x:v>Churrasco</x:v>
      </x:c>
      <x:c r="C126" s="38" t="str">
        <x:v>rich</x:v>
      </x:c>
      <x:c r="D126" s="38" t="str">
        <x:v>comforting</x:v>
      </x:c>
      <x:c r="E126" s="38"/>
      <x:c r="F126" s="38" t="str">
        <x:v>rich | comforting</x:v>
      </x:c>
      <x:c r="G126" s="38" t="str">
        <x:v>KEEP</x:v>
      </x:c>
      <x:c r="H126" s="38" t="str">
        <x:v>REMOVE</x:v>
      </x:c>
      <x:c r="I126" s="38" t="str">
        <x:v>REMOVE COMFORTING</x:v>
      </x:c>
      <x:c r="J126" s="38" t="str">
        <x:v>rich</x:v>
      </x:c>
      <x:c r="K126" s="38" t="str">
        <x:v>Rich — The dish is centered on a dense, concentrated, meat-forward, fried, or thick preparation, so rich is meaningfully descriptive. Comforting — Remove comforting: the current description is primarily grilled, crisp, fresh, or portable rather than inherently cozy or soothing.</x:v>
      </x:c>
    </x:row>
    <x:row r="127" ht="48" customHeight="1">
      <x:c r="A127" s="38" t="str">
        <x:v>philly-cheesesteak</x:v>
      </x:c>
      <x:c r="B127" s="38" t="str">
        <x:v>Philly Cheesesteak</x:v>
      </x:c>
      <x:c r="C127" s="38" t="str">
        <x:v>rich</x:v>
      </x:c>
      <x:c r="D127" s="38" t="str">
        <x:v>comforting</x:v>
      </x:c>
      <x:c r="E127" s="38"/>
      <x:c r="F127" s="38" t="str">
        <x:v>rich | comforting</x:v>
      </x:c>
      <x:c r="G127" s="38" t="str">
        <x:v>KEEP</x:v>
      </x:c>
      <x:c r="H127" s="38" t="str">
        <x:v>KEEP</x:v>
      </x:c>
      <x:c r="I127" s="38" t="str">
        <x:v>KEEP CURRENT</x:v>
      </x:c>
      <x:c r="J127" s="38" t="str">
        <x:v>rich | comforting</x:v>
      </x:c>
      <x:c r="K127"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128" ht="48" customHeight="1">
      <x:c r="A128" s="38" t="str">
        <x:v>chili-con-carne</x:v>
      </x:c>
      <x:c r="B128" s="38" t="str">
        <x:v>Chili con Carne</x:v>
      </x:c>
      <x:c r="C128" s="38" t="str">
        <x:v>spicy</x:v>
      </x:c>
      <x:c r="D128" s="38" t="str">
        <x:v>rich</x:v>
      </x:c>
      <x:c r="E128" s="38"/>
      <x:c r="F128" s="38" t="str">
        <x:v>spicy | rich</x:v>
      </x:c>
      <x:c r="G128" s="38" t="str">
        <x:v>KEEP</x:v>
      </x:c>
      <x:c r="H128" s="38" t="str">
        <x:v>NOT TAGGED</x:v>
      </x:c>
      <x:c r="I128" s="38" t="str">
        <x:v>KEEP CURRENT</x:v>
      </x:c>
      <x:c r="J128" s="38" t="str">
        <x:v>spicy | rich</x:v>
      </x:c>
      <x:c r="K128" s="38" t="str">
        <x:v>Rich — The dish is centered on a dense, concentrated, meat-forward, fried, or thick preparation, so rich is meaningfully descriptive.</x:v>
      </x:c>
    </x:row>
    <x:row r="129" ht="48" customHeight="1">
      <x:c r="A129" s="38" t="str">
        <x:v>baked-ziti</x:v>
      </x:c>
      <x:c r="B129" s="38" t="str">
        <x:v>Baked Ziti</x:v>
      </x:c>
      <x:c r="C129" s="38" t="str">
        <x:v>rich</x:v>
      </x:c>
      <x:c r="D129" s="38" t="str">
        <x:v>comforting</x:v>
      </x:c>
      <x:c r="E129" s="38"/>
      <x:c r="F129" s="38" t="str">
        <x:v>rich | comforting</x:v>
      </x:c>
      <x:c r="G129" s="38" t="str">
        <x:v>KEEP</x:v>
      </x:c>
      <x:c r="H129" s="38" t="str">
        <x:v>KEEP</x:v>
      </x:c>
      <x:c r="I129" s="38" t="str">
        <x:v>KEEP CURRENT</x:v>
      </x:c>
      <x:c r="J129" s="38" t="str">
        <x:v>rich | comforting</x:v>
      </x:c>
      <x:c r="K129"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30" ht="48" customHeight="1">
      <x:c r="A130" s="38" t="str">
        <x:v>mapo-tofu</x:v>
      </x:c>
      <x:c r="B130" s="38" t="str">
        <x:v>Mapo Tofu</x:v>
      </x:c>
      <x:c r="C130" s="38" t="str">
        <x:v>spicy</x:v>
      </x:c>
      <x:c r="D130" s="38" t="str">
        <x:v>rich</x:v>
      </x:c>
      <x:c r="E130" s="38"/>
      <x:c r="F130" s="38" t="str">
        <x:v>spicy | rich</x:v>
      </x:c>
      <x:c r="G130" s="38" t="str">
        <x:v>KEEP</x:v>
      </x:c>
      <x:c r="H130" s="38" t="str">
        <x:v>NOT TAGGED</x:v>
      </x:c>
      <x:c r="I130" s="38" t="str">
        <x:v>KEEP CURRENT</x:v>
      </x:c>
      <x:c r="J130" s="38" t="str">
        <x:v>spicy | rich</x:v>
      </x:c>
      <x:c r="K130" s="38" t="str">
        <x:v>Rich — The dish is centered on a dense, concentrated, meat-forward, fried, or thick preparation, so rich is meaningfully descriptive.</x:v>
      </x:c>
    </x:row>
    <x:row r="131" ht="48" customHeight="1">
      <x:c r="A131" s="38" t="str">
        <x:v>japchae</x:v>
      </x:c>
      <x:c r="B131" s="38" t="str">
        <x:v>Japchae</x:v>
      </x:c>
      <x:c r="C131" s="38" t="str">
        <x:v>fresh</x:v>
      </x:c>
      <x:c r="D131" s="38" t="str">
        <x:v>comforting</x:v>
      </x:c>
      <x:c r="E131" s="38"/>
      <x:c r="F131" s="38" t="str">
        <x:v>fresh | comforting</x:v>
      </x:c>
      <x:c r="G131" s="38" t="str">
        <x:v>NOT TAGGED</x:v>
      </x:c>
      <x:c r="H131" s="38" t="str">
        <x:v>REMOVE</x:v>
      </x:c>
      <x:c r="I131" s="38" t="str">
        <x:v>REMOVE COMFORTING</x:v>
      </x:c>
      <x:c r="J131" s="38" t="str">
        <x:v>fresh</x:v>
      </x:c>
      <x:c r="K131" s="38" t="str">
        <x:v>Comforting — Remove comforting: the dish is better distinguished by its sharper current preference flavor(s); comfort adds little discriminatory value.</x:v>
      </x:c>
    </x:row>
    <x:row r="132" ht="48" customHeight="1">
      <x:c r="A132" s="38" t="str">
        <x:v>onigiri</x:v>
      </x:c>
      <x:c r="B132" s="38" t="str">
        <x:v>Onigiri</x:v>
      </x:c>
      <x:c r="C132" s="38" t="str">
        <x:v>fresh</x:v>
      </x:c>
      <x:c r="D132" s="38" t="str">
        <x:v>comforting</x:v>
      </x:c>
      <x:c r="E132" s="38"/>
      <x:c r="F132" s="38" t="str">
        <x:v>fresh | comforting</x:v>
      </x:c>
      <x:c r="G132" s="38" t="str">
        <x:v>NOT TAGGED</x:v>
      </x:c>
      <x:c r="H132" s="38" t="str">
        <x:v>REMOVE</x:v>
      </x:c>
      <x:c r="I132" s="38" t="str">
        <x:v>REMOVE COMFORTING</x:v>
      </x:c>
      <x:c r="J132" s="38" t="str">
        <x:v>fresh</x:v>
      </x:c>
      <x:c r="K132" s="38" t="str">
        <x:v>Comforting — Remove comforting: the dish is better distinguished by its sharper current preference flavor(s); comfort adds little discriminatory value.</x:v>
      </x:c>
    </x:row>
    <x:row r="133" ht="48" customHeight="1">
      <x:c r="A133" s="38" t="str">
        <x:v>goi-cuon</x:v>
      </x:c>
      <x:c r="B133" s="38" t="str">
        <x:v>Gỏi Cuốn</x:v>
      </x:c>
      <x:c r="C133" s="38" t="str">
        <x:v>fresh</x:v>
      </x:c>
      <x:c r="D133" s="38" t="str">
        <x:v>tangy</x:v>
      </x:c>
      <x:c r="E133" s="38"/>
      <x:c r="F133" s="38" t="str">
        <x:v>fresh | tangy</x:v>
      </x:c>
      <x:c r="G133" s="38" t="str">
        <x:v>NOT TAGGED</x:v>
      </x:c>
      <x:c r="H133" s="38" t="str">
        <x:v>NOT TAGGED</x:v>
      </x:c>
      <x:c r="I133" s="38" t="str">
        <x:v>KEEP CURRENT</x:v>
      </x:c>
      <x:c r="J133" s="38" t="str">
        <x:v>fresh | tangy</x:v>
      </x:c>
      <x:c r="K133" s="38" t="str">
        <x:v>Neither rich nor comforting is currently assigned; no keep/remove action is needed in this audit.</x:v>
      </x:c>
    </x:row>
    <x:row r="134" ht="48" customHeight="1">
      <x:c r="A134" s="38" t="str">
        <x:v>banh-xeo</x:v>
      </x:c>
      <x:c r="B134" s="38" t="str">
        <x:v>Bánh Xèo</x:v>
      </x:c>
      <x:c r="C134" s="38" t="str">
        <x:v>crispy</x:v>
      </x:c>
      <x:c r="D134" s="38" t="str">
        <x:v>fresh</x:v>
      </x:c>
      <x:c r="E134" s="38"/>
      <x:c r="F134" s="38" t="str">
        <x:v>crispy | fresh</x:v>
      </x:c>
      <x:c r="G134" s="38" t="str">
        <x:v>NOT TAGGED</x:v>
      </x:c>
      <x:c r="H134" s="38" t="str">
        <x:v>NOT TAGGED</x:v>
      </x:c>
      <x:c r="I134" s="38" t="str">
        <x:v>KEEP CURRENT</x:v>
      </x:c>
      <x:c r="J134" s="38" t="str">
        <x:v>crispy | fresh</x:v>
      </x:c>
      <x:c r="K134" s="38" t="str">
        <x:v>Neither rich nor comforting is currently assigned; no keep/remove action is needed in this audit.</x:v>
      </x:c>
    </x:row>
    <x:row r="135" ht="48" customHeight="1">
      <x:c r="A135" s="38" t="str">
        <x:v>ikan-bakar</x:v>
      </x:c>
      <x:c r="B135" s="38" t="str">
        <x:v>Ikan Bakar</x:v>
      </x:c>
      <x:c r="C135" s="38" t="str">
        <x:v>spicy</x:v>
      </x:c>
      <x:c r="D135" s="38" t="str">
        <x:v>fresh</x:v>
      </x:c>
      <x:c r="E135" s="38"/>
      <x:c r="F135" s="38" t="str">
        <x:v>spicy | fresh</x:v>
      </x:c>
      <x:c r="G135" s="38" t="str">
        <x:v>NOT TAGGED</x:v>
      </x:c>
      <x:c r="H135" s="38" t="str">
        <x:v>NOT TAGGED</x:v>
      </x:c>
      <x:c r="I135" s="38" t="str">
        <x:v>KEEP CURRENT</x:v>
      </x:c>
      <x:c r="J135" s="38" t="str">
        <x:v>spicy | fresh</x:v>
      </x:c>
      <x:c r="K135" s="38" t="str">
        <x:v>Neither rich nor comforting is currently assigned; no keep/remove action is needed in this audit.</x:v>
      </x:c>
    </x:row>
    <x:row r="136" ht="48" customHeight="1">
      <x:c r="A136" s="38" t="str">
        <x:v>khichdi</x:v>
      </x:c>
      <x:c r="B136" s="38" t="str">
        <x:v>Khichdi</x:v>
      </x:c>
      <x:c r="C136" s="38" t="str">
        <x:v>comforting</x:v>
      </x:c>
      <x:c r="D136" s="38" t="str">
        <x:v>fresh</x:v>
      </x:c>
      <x:c r="E136" s="38"/>
      <x:c r="F136" s="38" t="str">
        <x:v>comforting | fresh</x:v>
      </x:c>
      <x:c r="G136" s="38" t="str">
        <x:v>NOT TAGGED</x:v>
      </x:c>
      <x:c r="H136" s="38" t="str">
        <x:v>KEEP</x:v>
      </x:c>
      <x:c r="I136" s="38" t="str">
        <x:v>KEEP CURRENT</x:v>
      </x:c>
      <x:c r="J136" s="38" t="str">
        <x:v>comforting | fresh</x:v>
      </x:c>
      <x:c r="K136" s="38" t="str">
        <x:v>Comforting — The warm, soft, starchy, brothy, braised, or slow-cooked format makes comforting a defining eating experience rather than a catch-all tag.</x:v>
      </x:c>
    </x:row>
    <x:row r="137" ht="48" customHeight="1">
      <x:c r="A137" s="38" t="str">
        <x:v>kathi-roll</x:v>
      </x:c>
      <x:c r="B137" s="38" t="str">
        <x:v>Kathi Roll</x:v>
      </x:c>
      <x:c r="C137" s="38" t="str">
        <x:v>spicy</x:v>
      </x:c>
      <x:c r="D137" s="38" t="str">
        <x:v>crispy</x:v>
      </x:c>
      <x:c r="E137" s="38"/>
      <x:c r="F137" s="38" t="str">
        <x:v>spicy | crispy</x:v>
      </x:c>
      <x:c r="G137" s="38" t="str">
        <x:v>NOT TAGGED</x:v>
      </x:c>
      <x:c r="H137" s="38" t="str">
        <x:v>NOT TAGGED</x:v>
      </x:c>
      <x:c r="I137" s="38" t="str">
        <x:v>KEEP CURRENT</x:v>
      </x:c>
      <x:c r="J137" s="38" t="str">
        <x:v>spicy | crispy</x:v>
      </x:c>
      <x:c r="K137" s="38" t="str">
        <x:v>Neither rich nor comforting is currently assigned; no keep/remove action is needed in this audit.</x:v>
      </x:c>
    </x:row>
    <x:row r="138" ht="48" customHeight="1">
      <x:c r="A138" s="38" t="str">
        <x:v>korma</x:v>
      </x:c>
      <x:c r="B138" s="38" t="str">
        <x:v>Korma</x:v>
      </x:c>
      <x:c r="C138" s="38" t="str">
        <x:v>rich</x:v>
      </x:c>
      <x:c r="D138" s="38" t="str">
        <x:v>comforting</x:v>
      </x:c>
      <x:c r="E138" s="38"/>
      <x:c r="F138" s="38" t="str">
        <x:v>rich | comforting</x:v>
      </x:c>
      <x:c r="G138" s="38" t="str">
        <x:v>KEEP</x:v>
      </x:c>
      <x:c r="H138" s="38" t="str">
        <x:v>KEEP</x:v>
      </x:c>
      <x:c r="I138" s="38" t="str">
        <x:v>KEEP CURRENT</x:v>
      </x:c>
      <x:c r="J138" s="38" t="str">
        <x:v>rich | comforting</x:v>
      </x:c>
      <x:c r="K138"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39" ht="48" customHeight="1">
      <x:c r="A139" s="38" t="str">
        <x:v>musakhan</x:v>
      </x:c>
      <x:c r="B139" s="38" t="str">
        <x:v>Musakhan</x:v>
      </x:c>
      <x:c r="C139" s="38" t="str">
        <x:v>tangy</x:v>
      </x:c>
      <x:c r="D139" s="38" t="str">
        <x:v>rich</x:v>
      </x:c>
      <x:c r="E139" s="38"/>
      <x:c r="F139" s="38" t="str">
        <x:v>tangy | rich</x:v>
      </x:c>
      <x:c r="G139" s="38" t="str">
        <x:v>KEEP</x:v>
      </x:c>
      <x:c r="H139" s="38" t="str">
        <x:v>NOT TAGGED</x:v>
      </x:c>
      <x:c r="I139" s="38" t="str">
        <x:v>KEEP CURRENT</x:v>
      </x:c>
      <x:c r="J139" s="38" t="str">
        <x:v>tangy | rich</x:v>
      </x:c>
      <x:c r="K139" s="38" t="str">
        <x:v>Rich — The current description presents a full-bodied, substantial preparation where rich adds useful recommendation signal.</x:v>
      </x:c>
    </x:row>
    <x:row r="140" ht="48" customHeight="1">
      <x:c r="A140" s="38" t="str">
        <x:v>harees</x:v>
      </x:c>
      <x:c r="B140" s="38" t="str">
        <x:v>Harees</x:v>
      </x:c>
      <x:c r="C140" s="38" t="str">
        <x:v>comforting</x:v>
      </x:c>
      <x:c r="D140" s="38" t="str">
        <x:v>rich</x:v>
      </x:c>
      <x:c r="E140" s="38"/>
      <x:c r="F140" s="38" t="str">
        <x:v>comforting | rich</x:v>
      </x:c>
      <x:c r="G140" s="38" t="str">
        <x:v>KEEP</x:v>
      </x:c>
      <x:c r="H140" s="38" t="str">
        <x:v>KEEP</x:v>
      </x:c>
      <x:c r="I140" s="38" t="str">
        <x:v>KEEP CURRENT</x:v>
      </x:c>
      <x:c r="J140" s="38" t="str">
        <x:v>comforting | rich</x:v>
      </x:c>
      <x:c r="K140"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41" ht="48" customHeight="1">
      <x:c r="A141" s="38" t="str">
        <x:v>lahmacun</x:v>
      </x:c>
      <x:c r="B141" s="38" t="str">
        <x:v>Lahmacun</x:v>
      </x:c>
      <x:c r="C141" s="38" t="str">
        <x:v>fresh</x:v>
      </x:c>
      <x:c r="D141" s="38" t="str">
        <x:v>crispy</x:v>
      </x:c>
      <x:c r="E141" s="38" t="str">
        <x:v>spicy</x:v>
      </x:c>
      <x:c r="F141" s="38" t="str">
        <x:v>fresh | crispy | spicy</x:v>
      </x:c>
      <x:c r="G141" s="38" t="str">
        <x:v>NOT TAGGED</x:v>
      </x:c>
      <x:c r="H141" s="38" t="str">
        <x:v>NOT TAGGED</x:v>
      </x:c>
      <x:c r="I141" s="38" t="str">
        <x:v>KEEP CURRENT</x:v>
      </x:c>
      <x:c r="J141" s="38" t="str">
        <x:v>fresh | crispy | spicy</x:v>
      </x:c>
      <x:c r="K141" s="38" t="str">
        <x:v>Neither rich nor comforting is currently assigned; no keep/remove action is needed in this audit.</x:v>
      </x:c>
    </x:row>
    <x:row r="142" ht="48" customHeight="1">
      <x:c r="A142" s="38" t="str">
        <x:v>ful-medames</x:v>
      </x:c>
      <x:c r="B142" s="38" t="str">
        <x:v>Ful Medames</x:v>
      </x:c>
      <x:c r="C142" s="38" t="str">
        <x:v>comforting</x:v>
      </x:c>
      <x:c r="D142" s="38" t="str">
        <x:v>fresh</x:v>
      </x:c>
      <x:c r="E142" s="38"/>
      <x:c r="F142" s="38" t="str">
        <x:v>comforting | fresh</x:v>
      </x:c>
      <x:c r="G142" s="38" t="str">
        <x:v>NOT TAGGED</x:v>
      </x:c>
      <x:c r="H142" s="38" t="str">
        <x:v>KEEP</x:v>
      </x:c>
      <x:c r="I142" s="38" t="str">
        <x:v>KEEP CURRENT</x:v>
      </x:c>
      <x:c r="J142" s="38" t="str">
        <x:v>comforting | fresh</x:v>
      </x:c>
      <x:c r="K142" s="38" t="str">
        <x:v>Comforting — The warm, soft, starchy, brothy, braised, or slow-cooked format makes comforting a defining eating experience rather than a catch-all tag.</x:v>
      </x:c>
    </x:row>
    <x:row r="143" ht="48" customHeight="1">
      <x:c r="A143" s="38" t="str">
        <x:v>nyama-choma</x:v>
      </x:c>
      <x:c r="B143" s="38" t="str">
        <x:v>Nyama Choma</x:v>
      </x:c>
      <x:c r="C143" s="38" t="str">
        <x:v>fresh</x:v>
      </x:c>
      <x:c r="D143" s="38" t="str">
        <x:v>rich</x:v>
      </x:c>
      <x:c r="E143" s="38"/>
      <x:c r="F143" s="38" t="str">
        <x:v>fresh | rich</x:v>
      </x:c>
      <x:c r="G143" s="38" t="str">
        <x:v>KEEP</x:v>
      </x:c>
      <x:c r="H143" s="38" t="str">
        <x:v>NOT TAGGED</x:v>
      </x:c>
      <x:c r="I143" s="38" t="str">
        <x:v>KEEP CURRENT</x:v>
      </x:c>
      <x:c r="J143" s="38" t="str">
        <x:v>fresh | rich</x:v>
      </x:c>
      <x:c r="K143" s="38" t="str">
        <x:v>Rich — The dish is centered on a dense, concentrated, meat-forward, fried, or thick preparation, so rich is meaningfully descriptive.</x:v>
      </x:c>
    </x:row>
    <x:row r="144" ht="48" customHeight="1">
      <x:c r="A144" s="38" t="str">
        <x:v>rolex</x:v>
      </x:c>
      <x:c r="B144" s="38" t="str">
        <x:v>Rolex</x:v>
      </x:c>
      <x:c r="C144" s="38" t="str">
        <x:v>fresh</x:v>
      </x:c>
      <x:c r="D144" s="38" t="str">
        <x:v>comforting</x:v>
      </x:c>
      <x:c r="E144" s="38"/>
      <x:c r="F144" s="38" t="str">
        <x:v>fresh | comforting</x:v>
      </x:c>
      <x:c r="G144" s="38" t="str">
        <x:v>NOT TAGGED</x:v>
      </x:c>
      <x:c r="H144" s="38" t="str">
        <x:v>REMOVE</x:v>
      </x:c>
      <x:c r="I144" s="38" t="str">
        <x:v>REMOVE COMFORTING</x:v>
      </x:c>
      <x:c r="J144" s="38" t="str">
        <x:v>fresh</x:v>
      </x:c>
      <x:c r="K144" s="38" t="str">
        <x:v>Comforting — Remove comforting: the dish is better distinguished by its sharper current preference flavor(s); comfort adds little discriminatory value.</x:v>
      </x:c>
    </x:row>
    <x:row r="145" ht="48" customHeight="1">
      <x:c r="A145" s="38" t="str">
        <x:v>couscous</x:v>
      </x:c>
      <x:c r="B145" s="38" t="str">
        <x:v>Couscous</x:v>
      </x:c>
      <x:c r="C145" s="38" t="str">
        <x:v>fresh</x:v>
      </x:c>
      <x:c r="D145" s="38" t="str">
        <x:v>comforting</x:v>
      </x:c>
      <x:c r="E145" s="38"/>
      <x:c r="F145" s="38" t="str">
        <x:v>fresh | comforting</x:v>
      </x:c>
      <x:c r="G145" s="38" t="str">
        <x:v>NOT TAGGED</x:v>
      </x:c>
      <x:c r="H145" s="38" t="str">
        <x:v>KEEP</x:v>
      </x:c>
      <x:c r="I145" s="38" t="str">
        <x:v>KEEP CURRENT</x:v>
      </x:c>
      <x:c r="J145" s="38" t="str">
        <x:v>fresh | comforting</x:v>
      </x:c>
      <x:c r="K145" s="38" t="str">
        <x:v>Comforting — The warm, soft, starchy, brothy, braised, or slow-cooked format makes comforting a defining eating experience rather than a catch-all tag.</x:v>
      </x:c>
    </x:row>
    <x:row r="146" ht="48" customHeight="1">
      <x:c r="A146" s="38" t="str">
        <x:v>fish-and-chips</x:v>
      </x:c>
      <x:c r="B146" s="38" t="str">
        <x:v>Fish and Chips</x:v>
      </x:c>
      <x:c r="C146" s="38" t="str">
        <x:v>crispy</x:v>
      </x:c>
      <x:c r="D146" s="38" t="str">
        <x:v>comforting</x:v>
      </x:c>
      <x:c r="E146" s="38"/>
      <x:c r="F146" s="38" t="str">
        <x:v>crispy | comforting</x:v>
      </x:c>
      <x:c r="G146" s="38" t="str">
        <x:v>NOT TAGGED</x:v>
      </x:c>
      <x:c r="H146" s="38" t="str">
        <x:v>KEEP</x:v>
      </x:c>
      <x:c r="I146" s="38" t="str">
        <x:v>KEEP CURRENT</x:v>
      </x:c>
      <x:c r="J146" s="38" t="str">
        <x:v>crispy | comforting</x:v>
      </x:c>
      <x:c r="K146" s="38" t="str">
        <x:v>Comforting — Comforting is still defensible from the dish's warm, familiar, substantial format and adds useful mood-level signal.</x:v>
      </x:c>
    </x:row>
    <x:row r="147" ht="48" customHeight="1">
      <x:c r="A147" s="38" t="str">
        <x:v>moussaka</x:v>
      </x:c>
      <x:c r="B147" s="38" t="str">
        <x:v>Moussaka</x:v>
      </x:c>
      <x:c r="C147" s="38" t="str">
        <x:v>rich</x:v>
      </x:c>
      <x:c r="D147" s="38" t="str">
        <x:v>comforting</x:v>
      </x:c>
      <x:c r="E147" s="38"/>
      <x:c r="F147" s="38" t="str">
        <x:v>rich | comforting</x:v>
      </x:c>
      <x:c r="G147" s="38" t="str">
        <x:v>KEEP</x:v>
      </x:c>
      <x:c r="H147" s="38" t="str">
        <x:v>KEEP</x:v>
      </x:c>
      <x:c r="I147" s="38" t="str">
        <x:v>KEEP CURRENT</x:v>
      </x:c>
      <x:c r="J147" s="38" t="str">
        <x:v>rich | comforting</x:v>
      </x:c>
      <x:c r="K147"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48" ht="48" customHeight="1">
      <x:c r="A148" s="38" t="str">
        <x:v>croque-monsieur</x:v>
      </x:c>
      <x:c r="B148" s="38" t="str">
        <x:v>Croque Monsieur</x:v>
      </x:c>
      <x:c r="C148" s="38" t="str">
        <x:v>crispy</x:v>
      </x:c>
      <x:c r="D148" s="38" t="str">
        <x:v>rich</x:v>
      </x:c>
      <x:c r="E148" s="38"/>
      <x:c r="F148" s="38" t="str">
        <x:v>crispy | rich</x:v>
      </x:c>
      <x:c r="G148" s="38" t="str">
        <x:v>KEEP</x:v>
      </x:c>
      <x:c r="H148" s="38" t="str">
        <x:v>NOT TAGGED</x:v>
      </x:c>
      <x:c r="I148" s="38" t="str">
        <x:v>KEEP CURRENT</x:v>
      </x:c>
      <x:c r="J148" s="38" t="str">
        <x:v>crispy | rich</x:v>
      </x:c>
      <x:c r="K148" s="38" t="str">
        <x:v>Rich — Richness is supported by a creamy, fatty, nutty, coconut, cheese, or similarly dense component in the current catalog description.</x:v>
      </x:c>
    </x:row>
    <x:row r="149" ht="48" customHeight="1">
      <x:c r="A149" s="38" t="str">
        <x:v>aji-de-gallina</x:v>
      </x:c>
      <x:c r="B149" s="38" t="str">
        <x:v>Ají de Gallina</x:v>
      </x:c>
      <x:c r="C149" s="38" t="str">
        <x:v>rich</x:v>
      </x:c>
      <x:c r="D149" s="38" t="str">
        <x:v>comforting</x:v>
      </x:c>
      <x:c r="E149" s="38"/>
      <x:c r="F149" s="38" t="str">
        <x:v>rich | comforting</x:v>
      </x:c>
      <x:c r="G149" s="38" t="str">
        <x:v>KEEP</x:v>
      </x:c>
      <x:c r="H149" s="38" t="str">
        <x:v>KEEP</x:v>
      </x:c>
      <x:c r="I149" s="38" t="str">
        <x:v>KEEP CURRENT</x:v>
      </x:c>
      <x:c r="J149" s="38" t="str">
        <x:v>rich | comforting</x:v>
      </x:c>
      <x:c r="K149"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150" ht="48" customHeight="1">
      <x:c r="A150" s="38" t="str">
        <x:v>sopa-de-fideo</x:v>
      </x:c>
      <x:c r="B150" s="38" t="str">
        <x:v>Sopa de Fideo</x:v>
      </x:c>
      <x:c r="C150" s="38" t="str">
        <x:v>comforting</x:v>
      </x:c>
      <x:c r="D150" s="38" t="str">
        <x:v>fresh</x:v>
      </x:c>
      <x:c r="E150" s="38"/>
      <x:c r="F150" s="38" t="str">
        <x:v>comforting | fresh</x:v>
      </x:c>
      <x:c r="G150" s="38" t="str">
        <x:v>NOT TAGGED</x:v>
      </x:c>
      <x:c r="H150" s="38" t="str">
        <x:v>KEEP</x:v>
      </x:c>
      <x:c r="I150" s="38" t="str">
        <x:v>KEEP CURRENT</x:v>
      </x:c>
      <x:c r="J150" s="38" t="str">
        <x:v>comforting | fresh</x:v>
      </x:c>
      <x:c r="K150" s="38" t="str">
        <x:v>Comforting — The warm, soft, starchy, brothy, braised, or slow-cooked format makes comforting a defining eating experience rather than a catch-all tag.</x:v>
      </x:c>
    </x:row>
    <x:row r="151" ht="48" customHeight="1">
      <x:c r="A151" s="38" t="str">
        <x:v>coxinha</x:v>
      </x:c>
      <x:c r="B151" s="38" t="str">
        <x:v>Coxinha</x:v>
      </x:c>
      <x:c r="C151" s="38" t="str">
        <x:v>crispy</x:v>
      </x:c>
      <x:c r="D151" s="38" t="str">
        <x:v>rich</x:v>
      </x:c>
      <x:c r="E151" s="38"/>
      <x:c r="F151" s="38" t="str">
        <x:v>crispy | rich</x:v>
      </x:c>
      <x:c r="G151" s="38" t="str">
        <x:v>KEEP</x:v>
      </x:c>
      <x:c r="H151" s="38" t="str">
        <x:v>NOT TAGGED</x:v>
      </x:c>
      <x:c r="I151" s="38" t="str">
        <x:v>KEEP CURRENT</x:v>
      </x:c>
      <x:c r="J151" s="38" t="str">
        <x:v>crispy | rich</x:v>
      </x:c>
      <x:c r="K151" s="38" t="str">
        <x:v>Rich — Richness is supported by a creamy, fatty, nutty, coconut, cheese, or similarly dense component in the current catalog description.</x:v>
      </x:c>
    </x:row>
    <x:row r="152" ht="48" customHeight="1">
      <x:c r="A152" s="38" t="str">
        <x:v>nashville-hot-chicken</x:v>
      </x:c>
      <x:c r="B152" s="38" t="str">
        <x:v>Nashville Hot Chicken</x:v>
      </x:c>
      <x:c r="C152" s="38" t="str">
        <x:v>spicy</x:v>
      </x:c>
      <x:c r="D152" s="38" t="str">
        <x:v>crispy</x:v>
      </x:c>
      <x:c r="E152" s="38"/>
      <x:c r="F152" s="38" t="str">
        <x:v>spicy | crispy</x:v>
      </x:c>
      <x:c r="G152" s="38" t="str">
        <x:v>NOT TAGGED</x:v>
      </x:c>
      <x:c r="H152" s="38" t="str">
        <x:v>NOT TAGGED</x:v>
      </x:c>
      <x:c r="I152" s="38" t="str">
        <x:v>KEEP CURRENT</x:v>
      </x:c>
      <x:c r="J152" s="38" t="str">
        <x:v>spicy | crispy</x:v>
      </x:c>
      <x:c r="K152" s="38" t="str">
        <x:v>Neither rich nor comforting is currently assigned; no keep/remove action is needed in this audit.</x:v>
      </x:c>
    </x:row>
    <x:row r="153" ht="48" customHeight="1">
      <x:c r="A153" s="38" t="str">
        <x:v>reuben-sandwich</x:v>
      </x:c>
      <x:c r="B153" s="38" t="str">
        <x:v>Reuben Sandwich</x:v>
      </x:c>
      <x:c r="C153" s="38" t="str">
        <x:v>rich</x:v>
      </x:c>
      <x:c r="D153" s="38" t="str">
        <x:v>tangy</x:v>
      </x:c>
      <x:c r="E153" s="38"/>
      <x:c r="F153" s="38" t="str">
        <x:v>rich | tangy</x:v>
      </x:c>
      <x:c r="G153" s="38" t="str">
        <x:v>KEEP</x:v>
      </x:c>
      <x:c r="H153" s="38" t="str">
        <x:v>NOT TAGGED</x:v>
      </x:c>
      <x:c r="I153" s="38" t="str">
        <x:v>KEEP CURRENT</x:v>
      </x:c>
      <x:c r="J153" s="38" t="str">
        <x:v>rich | tangy</x:v>
      </x:c>
      <x:c r="K153" s="38" t="str">
        <x:v>Rich — Richness is supported by a creamy, fatty, nutty, coconut, cheese, or similarly dense component in the current catalog description.</x:v>
      </x:c>
    </x:row>
    <x:row r="154" ht="48" customHeight="1">
      <x:c r="A154" s="38" t="str">
        <x:v>loco-moco</x:v>
      </x:c>
      <x:c r="B154" s="38" t="str">
        <x:v>Loco Moco</x:v>
      </x:c>
      <x:c r="C154" s="38" t="str">
        <x:v>rich</x:v>
      </x:c>
      <x:c r="D154" s="38" t="str">
        <x:v>comforting</x:v>
      </x:c>
      <x:c r="E154" s="38"/>
      <x:c r="F154" s="38" t="str">
        <x:v>rich | comforting</x:v>
      </x:c>
      <x:c r="G154" s="38" t="str">
        <x:v>KEEP</x:v>
      </x:c>
      <x:c r="H154" s="38" t="str">
        <x:v>KEEP</x:v>
      </x:c>
      <x:c r="I154" s="38" t="str">
        <x:v>KEEP CURRENT</x:v>
      </x:c>
      <x:c r="J154" s="38" t="str">
        <x:v>rich | comforting</x:v>
      </x:c>
      <x:c r="K154"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55" ht="48" customHeight="1">
      <x:c r="A155" s="38" t="str">
        <x:v>oyakodon</x:v>
      </x:c>
      <x:c r="B155" s="38" t="str">
        <x:v>Oyakodon</x:v>
      </x:c>
      <x:c r="C155" s="38" t="str">
        <x:v>comforting</x:v>
      </x:c>
      <x:c r="D155" s="38" t="str">
        <x:v>rich</x:v>
      </x:c>
      <x:c r="E155" s="38"/>
      <x:c r="F155" s="38" t="str">
        <x:v>comforting | rich</x:v>
      </x:c>
      <x:c r="G155" s="38" t="str">
        <x:v>REMOVE</x:v>
      </x:c>
      <x:c r="H155" s="38" t="str">
        <x:v>KEEP</x:v>
      </x:c>
      <x:c r="I155" s="38" t="str">
        <x:v>REMOVE RICH</x:v>
      </x:c>
      <x:c r="J155" s="38" t="str">
        <x:v>comforting</x:v>
      </x:c>
      <x:c r="K155"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56" ht="48" customHeight="1">
      <x:c r="A156" s="38" t="str">
        <x:v>doenjang-jjigae</x:v>
      </x:c>
      <x:c r="B156" s="38" t="str">
        <x:v>Doenjang-jjigae</x:v>
      </x:c>
      <x:c r="C156" s="38" t="str">
        <x:v>rich</x:v>
      </x:c>
      <x:c r="D156" s="38" t="str">
        <x:v>comforting</x:v>
      </x:c>
      <x:c r="E156" s="38"/>
      <x:c r="F156" s="38" t="str">
        <x:v>rich | comforting</x:v>
      </x:c>
      <x:c r="G156" s="38" t="str">
        <x:v>REMOVE</x:v>
      </x:c>
      <x:c r="H156" s="38" t="str">
        <x:v>KEEP</x:v>
      </x:c>
      <x:c r="I156" s="38" t="str">
        <x:v>REMOVE RICH</x:v>
      </x:c>
      <x:c r="J156" s="38" t="str">
        <x:v>comforting</x:v>
      </x:c>
      <x:c r="K156"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57" ht="48" customHeight="1">
      <x:c r="A157" s="38" t="str">
        <x:v>zongzi</x:v>
      </x:c>
      <x:c r="B157" s="38" t="str">
        <x:v>Zongzi</x:v>
      </x:c>
      <x:c r="C157" s="38" t="str">
        <x:v>comforting</x:v>
      </x:c>
      <x:c r="D157" s="38" t="str">
        <x:v>rich</x:v>
      </x:c>
      <x:c r="E157" s="38"/>
      <x:c r="F157" s="38" t="str">
        <x:v>comforting | rich</x:v>
      </x:c>
      <x:c r="G157" s="38" t="str">
        <x:v>REMOVE</x:v>
      </x:c>
      <x:c r="H157" s="38" t="str">
        <x:v>KEEP</x:v>
      </x:c>
      <x:c r="I157" s="38" t="str">
        <x:v>REMOVE RICH</x:v>
      </x:c>
      <x:c r="J157" s="38" t="str">
        <x:v>comforting</x:v>
      </x:c>
      <x:c r="K157"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58" ht="48" customHeight="1">
      <x:c r="A158" s="38" t="str">
        <x:v>bai-sach-chrouk</x:v>
      </x:c>
      <x:c r="B158" s="38" t="str">
        <x:v>Bai Sach Chrouk</x:v>
      </x:c>
      <x:c r="C158" s="38" t="str">
        <x:v>comforting</x:v>
      </x:c>
      <x:c r="D158" s="38" t="str">
        <x:v>fresh</x:v>
      </x:c>
      <x:c r="E158" s="38"/>
      <x:c r="F158" s="38" t="str">
        <x:v>comforting | fresh</x:v>
      </x:c>
      <x:c r="G158" s="38" t="str">
        <x:v>NOT TAGGED</x:v>
      </x:c>
      <x:c r="H158" s="38" t="str">
        <x:v>KEEP</x:v>
      </x:c>
      <x:c r="I158" s="38" t="str">
        <x:v>KEEP CURRENT</x:v>
      </x:c>
      <x:c r="J158" s="38" t="str">
        <x:v>comforting | fresh</x:v>
      </x:c>
      <x:c r="K158" s="38" t="str">
        <x:v>Comforting — The warm, soft, starchy, brothy, braised, or slow-cooked format makes comforting a defining eating experience rather than a catch-all tag.</x:v>
      </x:c>
    </x:row>
    <x:row r="159" ht="48" customHeight="1">
      <x:c r="A159" s="38" t="str">
        <x:v>kuy-teav</x:v>
      </x:c>
      <x:c r="B159" s="38" t="str">
        <x:v>Kuy Teav</x:v>
      </x:c>
      <x:c r="C159" s="38" t="str">
        <x:v>fresh</x:v>
      </x:c>
      <x:c r="D159" s="38" t="str">
        <x:v>comforting</x:v>
      </x:c>
      <x:c r="E159" s="38"/>
      <x:c r="F159" s="38" t="str">
        <x:v>fresh | comforting</x:v>
      </x:c>
      <x:c r="G159" s="38" t="str">
        <x:v>NOT TAGGED</x:v>
      </x:c>
      <x:c r="H159" s="38" t="str">
        <x:v>KEEP</x:v>
      </x:c>
      <x:c r="I159" s="38" t="str">
        <x:v>KEEP CURRENT</x:v>
      </x:c>
      <x:c r="J159" s="38" t="str">
        <x:v>fresh | comforting</x:v>
      </x:c>
      <x:c r="K159" s="38" t="str">
        <x:v>Comforting — The warm, soft, starchy, brothy, braised, or slow-cooked format makes comforting a defining eating experience rather than a catch-all tag.</x:v>
      </x:c>
    </x:row>
    <x:row r="160" ht="48" customHeight="1">
      <x:c r="A160" s="38" t="str">
        <x:v>fish-amok</x:v>
      </x:c>
      <x:c r="B160" s="38" t="str">
        <x:v>Fish Amok</x:v>
      </x:c>
      <x:c r="C160" s="38" t="str">
        <x:v>rich</x:v>
      </x:c>
      <x:c r="D160" s="38" t="str">
        <x:v>fresh</x:v>
      </x:c>
      <x:c r="E160" s="38"/>
      <x:c r="F160" s="38" t="str">
        <x:v>rich | fresh</x:v>
      </x:c>
      <x:c r="G160" s="38" t="str">
        <x:v>KEEP</x:v>
      </x:c>
      <x:c r="H160" s="38" t="str">
        <x:v>NOT TAGGED</x:v>
      </x:c>
      <x:c r="I160" s="38" t="str">
        <x:v>KEEP CURRENT</x:v>
      </x:c>
      <x:c r="J160" s="38" t="str">
        <x:v>rich | fresh</x:v>
      </x:c>
      <x:c r="K160" s="38" t="str">
        <x:v>Rich — Richness is supported by a creamy, fatty, nutty, coconut, cheese, or similarly dense component in the current catalog description.</x:v>
      </x:c>
    </x:row>
    <x:row r="161" ht="48" customHeight="1">
      <x:c r="A161" s="38" t="str">
        <x:v>butter-chicken</x:v>
      </x:c>
      <x:c r="B161" s="38" t="str">
        <x:v>Butter Chicken</x:v>
      </x:c>
      <x:c r="C161" s="38" t="str">
        <x:v>rich</x:v>
      </x:c>
      <x:c r="D161" s="38" t="str">
        <x:v>comforting</x:v>
      </x:c>
      <x:c r="E161" s="38"/>
      <x:c r="F161" s="38" t="str">
        <x:v>rich | comforting</x:v>
      </x:c>
      <x:c r="G161" s="38" t="str">
        <x:v>KEEP</x:v>
      </x:c>
      <x:c r="H161" s="38" t="str">
        <x:v>KEEP</x:v>
      </x:c>
      <x:c r="I161" s="38" t="str">
        <x:v>KEEP CURRENT</x:v>
      </x:c>
      <x:c r="J161" s="38" t="str">
        <x:v>rich | comforting</x:v>
      </x:c>
      <x:c r="K161" s="38" t="str">
        <x:v>Rich — Richness is supported by a creamy, fatty, nutty, coconut, cheese, or similarly dense component in the current catalog description. Comforting — Comforting is still defensible from the dish's warm, familiar, substantial format and adds useful mood-level signal.</x:v>
      </x:c>
    </x:row>
    <x:row r="162" ht="48" customHeight="1">
      <x:c r="A162" s="38" t="str">
        <x:v>poha</x:v>
      </x:c>
      <x:c r="B162" s="38" t="str">
        <x:v>Poha</x:v>
      </x:c>
      <x:c r="C162" s="38" t="str">
        <x:v>fresh</x:v>
      </x:c>
      <x:c r="D162" s="38" t="str">
        <x:v>comforting</x:v>
      </x:c>
      <x:c r="E162" s="38"/>
      <x:c r="F162" s="38" t="str">
        <x:v>fresh | comforting</x:v>
      </x:c>
      <x:c r="G162" s="38" t="str">
        <x:v>NOT TAGGED</x:v>
      </x:c>
      <x:c r="H162" s="38" t="str">
        <x:v>KEEP</x:v>
      </x:c>
      <x:c r="I162" s="38" t="str">
        <x:v>KEEP CURRENT</x:v>
      </x:c>
      <x:c r="J162" s="38" t="str">
        <x:v>fresh | comforting</x:v>
      </x:c>
      <x:c r="K162" s="38" t="str">
        <x:v>Comforting — The warm, soft, starchy, brothy, braised, or slow-cooked format makes comforting a defining eating experience rather than a catch-all tag.</x:v>
      </x:c>
    </x:row>
    <x:row r="163" ht="48" customHeight="1">
      <x:c r="A163" s="38" t="str">
        <x:v>dal-dhokli</x:v>
      </x:c>
      <x:c r="B163" s="38" t="str">
        <x:v>Dal Dhokli</x:v>
      </x:c>
      <x:c r="C163" s="38" t="str">
        <x:v>comforting</x:v>
      </x:c>
      <x:c r="D163" s="38" t="str">
        <x:v>tangy</x:v>
      </x:c>
      <x:c r="E163" s="38"/>
      <x:c r="F163" s="38" t="str">
        <x:v>comforting | tangy</x:v>
      </x:c>
      <x:c r="G163" s="38" t="str">
        <x:v>NOT TAGGED</x:v>
      </x:c>
      <x:c r="H163" s="38" t="str">
        <x:v>KEEP</x:v>
      </x:c>
      <x:c r="I163" s="38" t="str">
        <x:v>KEEP CURRENT</x:v>
      </x:c>
      <x:c r="J163" s="38" t="str">
        <x:v>comforting | tangy</x:v>
      </x:c>
      <x:c r="K163" s="38" t="str">
        <x:v>Comforting — The current description supports a hearty, familiar, filling profile where comforting is useful to the recommendation experience.</x:v>
      </x:c>
    </x:row>
    <x:row r="164" ht="48" customHeight="1">
      <x:c r="A164" s="38" t="str">
        <x:v>manti</x:v>
      </x:c>
      <x:c r="B164" s="38" t="str">
        <x:v>Manti</x:v>
      </x:c>
      <x:c r="C164" s="38" t="str">
        <x:v>rich</x:v>
      </x:c>
      <x:c r="D164" s="38" t="str">
        <x:v>tangy</x:v>
      </x:c>
      <x:c r="E164" s="38"/>
      <x:c r="F164" s="38" t="str">
        <x:v>rich | tangy</x:v>
      </x:c>
      <x:c r="G164" s="38" t="str">
        <x:v>KEEP</x:v>
      </x:c>
      <x:c r="H164" s="38" t="str">
        <x:v>NOT TAGGED</x:v>
      </x:c>
      <x:c r="I164" s="38" t="str">
        <x:v>KEEP CURRENT</x:v>
      </x:c>
      <x:c r="J164" s="38" t="str">
        <x:v>rich | tangy</x:v>
      </x:c>
      <x:c r="K164" s="38" t="str">
        <x:v>Rich — Richness is supported by a creamy, fatty, nutty, coconut, cheese, or similarly dense component in the current catalog description.</x:v>
      </x:c>
    </x:row>
    <x:row r="165" ht="48" customHeight="1">
      <x:c r="A165" s="38" t="str">
        <x:v>adana-kebab</x:v>
      </x:c>
      <x:c r="B165" s="38" t="str">
        <x:v>Adana Kebab</x:v>
      </x:c>
      <x:c r="C165" s="38" t="str">
        <x:v>spicy</x:v>
      </x:c>
      <x:c r="D165" s="38" t="str">
        <x:v>rich</x:v>
      </x:c>
      <x:c r="E165" s="38"/>
      <x:c r="F165" s="38" t="str">
        <x:v>spicy | rich</x:v>
      </x:c>
      <x:c r="G165" s="38" t="str">
        <x:v>KEEP</x:v>
      </x:c>
      <x:c r="H165" s="38" t="str">
        <x:v>NOT TAGGED</x:v>
      </x:c>
      <x:c r="I165" s="38" t="str">
        <x:v>KEEP CURRENT</x:v>
      </x:c>
      <x:c r="J165" s="38" t="str">
        <x:v>spicy | rich</x:v>
      </x:c>
      <x:c r="K165" s="38" t="str">
        <x:v>Rich — The dish is centered on a dense, concentrated, meat-forward, fried, or thick preparation, so rich is meaningfully descriptive.</x:v>
      </x:c>
    </x:row>
    <x:row r="166" ht="48" customHeight="1">
      <x:c r="A166" s="38" t="str">
        <x:v>freekeh-pilaf</x:v>
      </x:c>
      <x:c r="B166" s="38" t="str">
        <x:v>Freekeh Pilaf</x:v>
      </x:c>
      <x:c r="C166" s="38" t="str">
        <x:v>fresh</x:v>
      </x:c>
      <x:c r="D166" s="38" t="str">
        <x:v>comforting</x:v>
      </x:c>
      <x:c r="E166" s="38"/>
      <x:c r="F166" s="38" t="str">
        <x:v>fresh | comforting</x:v>
      </x:c>
      <x:c r="G166" s="38" t="str">
        <x:v>NOT TAGGED</x:v>
      </x:c>
      <x:c r="H166" s="38" t="str">
        <x:v>KEEP</x:v>
      </x:c>
      <x:c r="I166" s="38" t="str">
        <x:v>KEEP CURRENT</x:v>
      </x:c>
      <x:c r="J166" s="38" t="str">
        <x:v>fresh | comforting</x:v>
      </x:c>
      <x:c r="K166" s="38" t="str">
        <x:v>Comforting — Comforting is still defensible from the dish's warm, familiar, substantial format and adds useful mood-level signal.</x:v>
      </x:c>
    </x:row>
    <x:row r="167" ht="48" customHeight="1">
      <x:c r="A167" s="38" t="str">
        <x:v>sfiha</x:v>
      </x:c>
      <x:c r="B167" s="38" t="str">
        <x:v>Sfiha</x:v>
      </x:c>
      <x:c r="C167" s="38" t="str">
        <x:v>crispy</x:v>
      </x:c>
      <x:c r="D167" s="38" t="str">
        <x:v>fresh</x:v>
      </x:c>
      <x:c r="E167" s="38"/>
      <x:c r="F167" s="38" t="str">
        <x:v>crispy | fresh</x:v>
      </x:c>
      <x:c r="G167" s="38" t="str">
        <x:v>NOT TAGGED</x:v>
      </x:c>
      <x:c r="H167" s="38" t="str">
        <x:v>NOT TAGGED</x:v>
      </x:c>
      <x:c r="I167" s="38" t="str">
        <x:v>KEEP CURRENT</x:v>
      </x:c>
      <x:c r="J167" s="38" t="str">
        <x:v>crispy | fresh</x:v>
      </x:c>
      <x:c r="K167" s="38" t="str">
        <x:v>Neither rich nor comforting is currently assigned; no keep/remove action is needed in this audit.</x:v>
      </x:c>
    </x:row>
    <x:row r="168" ht="48" customHeight="1">
      <x:c r="A168" s="38" t="str">
        <x:v>baasto-iyo-suugo</x:v>
      </x:c>
      <x:c r="B168" s="38" t="str">
        <x:v>Baasto iyo Suugo</x:v>
      </x:c>
      <x:c r="C168" s="38" t="str">
        <x:v>rich</x:v>
      </x:c>
      <x:c r="D168" s="38" t="str">
        <x:v>spicy</x:v>
      </x:c>
      <x:c r="E168" s="38"/>
      <x:c r="F168" s="38" t="str">
        <x:v>rich | spicy</x:v>
      </x:c>
      <x:c r="G168" s="38" t="str">
        <x:v>REMOVE</x:v>
      </x:c>
      <x:c r="H168" s="38" t="str">
        <x:v>NOT TAGGED</x:v>
      </x:c>
      <x:c r="I168" s="38" t="str">
        <x:v>REMOVE RICH</x:v>
      </x:c>
      <x:c r="J168" s="38" t="str">
        <x:v>spicy</x:v>
      </x:c>
      <x:c r="K168" s="38" t="str">
        <x:v>Rich — Remove rich: the current description is more specifically defined by its other preference flavor(s), while 'rich' reads as a generic extra label.</x:v>
      </x:c>
    </x:row>
    <x:row r="169" ht="48" customHeight="1">
      <x:c r="A169" s="38" t="str">
        <x:v>pastilla</x:v>
      </x:c>
      <x:c r="B169" s="38" t="str">
        <x:v>Pastilla</x:v>
      </x:c>
      <x:c r="C169" s="38" t="str">
        <x:v>crispy</x:v>
      </x:c>
      <x:c r="D169" s="38" t="str">
        <x:v>rich</x:v>
      </x:c>
      <x:c r="E169" s="38"/>
      <x:c r="F169" s="38" t="str">
        <x:v>crispy | rich</x:v>
      </x:c>
      <x:c r="G169" s="38" t="str">
        <x:v>KEEP</x:v>
      </x:c>
      <x:c r="H169" s="38" t="str">
        <x:v>NOT TAGGED</x:v>
      </x:c>
      <x:c r="I169" s="38" t="str">
        <x:v>KEEP CURRENT</x:v>
      </x:c>
      <x:c r="J169" s="38" t="str">
        <x:v>crispy | rich</x:v>
      </x:c>
      <x:c r="K169" s="38" t="str">
        <x:v>Rich — The current description presents a full-bodied, substantial preparation where rich adds useful recommendation signal.</x:v>
      </x:c>
    </x:row>
    <x:row r="170" ht="48" customHeight="1">
      <x:c r="A170" s="38" t="str">
        <x:v>moi-moi</x:v>
      </x:c>
      <x:c r="B170" s="38" t="str">
        <x:v>Moi Moi</x:v>
      </x:c>
      <x:c r="C170" s="38" t="str">
        <x:v>fresh</x:v>
      </x:c>
      <x:c r="D170" s="38" t="str">
        <x:v>comforting</x:v>
      </x:c>
      <x:c r="E170" s="38"/>
      <x:c r="F170" s="38" t="str">
        <x:v>fresh | comforting</x:v>
      </x:c>
      <x:c r="G170" s="38" t="str">
        <x:v>NOT TAGGED</x:v>
      </x:c>
      <x:c r="H170" s="38" t="str">
        <x:v>REMOVE</x:v>
      </x:c>
      <x:c r="I170" s="38" t="str">
        <x:v>REMOVE COMFORTING</x:v>
      </x:c>
      <x:c r="J170" s="38" t="str">
        <x:v>fresh</x:v>
      </x:c>
      <x:c r="K170" s="38" t="str">
        <x:v>Comforting — Remove comforting: the dish is better distinguished by its sharper current preference flavor(s); comfort adds little discriminatory value.</x:v>
      </x:c>
    </x:row>
    <x:row r="171" ht="48" customHeight="1">
      <x:c r="A171" s="38" t="str">
        <x:v>attieke-fish</x:v>
      </x:c>
      <x:c r="B171" s="38" t="str">
        <x:v>Attiéké with Grilled Fish</x:v>
      </x:c>
      <x:c r="C171" s="38" t="str">
        <x:v>fresh</x:v>
      </x:c>
      <x:c r="D171" s="38" t="str">
        <x:v>tangy</x:v>
      </x:c>
      <x:c r="E171" s="38"/>
      <x:c r="F171" s="38" t="str">
        <x:v>fresh | tangy</x:v>
      </x:c>
      <x:c r="G171" s="38" t="str">
        <x:v>NOT TAGGED</x:v>
      </x:c>
      <x:c r="H171" s="38" t="str">
        <x:v>NOT TAGGED</x:v>
      </x:c>
      <x:c r="I171" s="38" t="str">
        <x:v>KEEP CURRENT</x:v>
      </x:c>
      <x:c r="J171" s="38" t="str">
        <x:v>fresh | tangy</x:v>
      </x:c>
      <x:c r="K171" s="38" t="str">
        <x:v>Neither rich nor comforting is currently assigned; no keep/remove action is needed in this audit.</x:v>
      </x:c>
    </x:row>
    <x:row r="172" ht="48" customHeight="1">
      <x:c r="A172" s="38" t="str">
        <x:v>arroz-de-marisco</x:v>
      </x:c>
      <x:c r="B172" s="38" t="str">
        <x:v>Arroz de Marisco</x:v>
      </x:c>
      <x:c r="C172" s="38" t="str">
        <x:v>rich</x:v>
      </x:c>
      <x:c r="D172" s="38" t="str">
        <x:v>fresh</x:v>
      </x:c>
      <x:c r="E172" s="38"/>
      <x:c r="F172" s="38" t="str">
        <x:v>rich | fresh</x:v>
      </x:c>
      <x:c r="G172" s="38" t="str">
        <x:v>REMOVE</x:v>
      </x:c>
      <x:c r="H172" s="38" t="str">
        <x:v>NOT TAGGED</x:v>
      </x:c>
      <x:c r="I172" s="38" t="str">
        <x:v>REMOVE RICH</x:v>
      </x:c>
      <x:c r="J172" s="38" t="str">
        <x:v>fresh</x:v>
      </x:c>
      <x:c r="K172" s="38" t="str">
        <x:v>Rich — Remove rich: the current description is more specifically defined by its other preference flavor(s), while 'rich' reads as a generic extra label.</x:v>
      </x:c>
    </x:row>
    <x:row r="173" ht="48" customHeight="1">
      <x:c r="A173" s="38" t="str">
        <x:v>arroz-negro</x:v>
      </x:c>
      <x:c r="B173" s="38" t="str">
        <x:v>Arroz Negro</x:v>
      </x:c>
      <x:c r="C173" s="38" t="str">
        <x:v>rich</x:v>
      </x:c>
      <x:c r="D173" s="38" t="str">
        <x:v>fresh</x:v>
      </x:c>
      <x:c r="E173" s="38"/>
      <x:c r="F173" s="38" t="str">
        <x:v>rich | fresh</x:v>
      </x:c>
      <x:c r="G173" s="38" t="str">
        <x:v>REMOVE</x:v>
      </x:c>
      <x:c r="H173" s="38" t="str">
        <x:v>NOT TAGGED</x:v>
      </x:c>
      <x:c r="I173" s="38" t="str">
        <x:v>REMOVE RICH</x:v>
      </x:c>
      <x:c r="J173" s="38" t="str">
        <x:v>fresh</x:v>
      </x:c>
      <x:c r="K173" s="38" t="str">
        <x:v>Rich — Remove rich: the current description is more specifically defined by its other preference flavor(s), while 'rich' reads as a generic extra label.</x:v>
      </x:c>
    </x:row>
    <x:row r="174" ht="48" customHeight="1">
      <x:c r="A174" s="38" t="str">
        <x:v>cevapi</x:v>
      </x:c>
      <x:c r="B174" s="38" t="str">
        <x:v>Ćevapi</x:v>
      </x:c>
      <x:c r="C174" s="38" t="str">
        <x:v>rich</x:v>
      </x:c>
      <x:c r="D174" s="38" t="str">
        <x:v>fresh</x:v>
      </x:c>
      <x:c r="E174" s="38"/>
      <x:c r="F174" s="38" t="str">
        <x:v>rich | fresh</x:v>
      </x:c>
      <x:c r="G174" s="38" t="str">
        <x:v>KEEP</x:v>
      </x:c>
      <x:c r="H174" s="38" t="str">
        <x:v>NOT TAGGED</x:v>
      </x:c>
      <x:c r="I174" s="38" t="str">
        <x:v>KEEP CURRENT</x:v>
      </x:c>
      <x:c r="J174" s="38" t="str">
        <x:v>rich | fresh</x:v>
      </x:c>
      <x:c r="K174" s="38" t="str">
        <x:v>Rich — The dish is centered on a dense, concentrated, meat-forward, fried, or thick preparation, so rich is meaningfully descriptive.</x:v>
      </x:c>
    </x:row>
    <x:row r="175" ht="48" customHeight="1">
      <x:c r="A175" s="38" t="str">
        <x:v>arroz-con-gandules</x:v>
      </x:c>
      <x:c r="B175" s="38" t="str">
        <x:v>Arroz con Gandules</x:v>
      </x:c>
      <x:c r="C175" s="38" t="str">
        <x:v>comforting</x:v>
      </x:c>
      <x:c r="D175" s="38" t="str">
        <x:v>rich</x:v>
      </x:c>
      <x:c r="E175" s="38"/>
      <x:c r="F175" s="38" t="str">
        <x:v>comforting | rich</x:v>
      </x:c>
      <x:c r="G175" s="38" t="str">
        <x:v>KEEP</x:v>
      </x:c>
      <x:c r="H175" s="38" t="str">
        <x:v>KEEP</x:v>
      </x:c>
      <x:c r="I175" s="38" t="str">
        <x:v>KEEP CURRENT</x:v>
      </x:c>
      <x:c r="J175" s="38" t="str">
        <x:v>comforting | rich</x:v>
      </x:c>
      <x:c r="K175" s="38" t="str">
        <x:v>Rich — The current description presents a full-bodied, substantial preparation where rich adds useful recommendation signal. Comforting — The warm, soft, starchy, brothy, braised, or slow-cooked format makes comforting a defining eating experience rather than a catch-all tag.</x:v>
      </x:c>
    </x:row>
    <x:row r="176" ht="48" customHeight="1">
      <x:c r="A176" s="38" t="str">
        <x:v>chivito</x:v>
      </x:c>
      <x:c r="B176" s="38" t="str">
        <x:v>Chivito</x:v>
      </x:c>
      <x:c r="C176" s="38" t="str">
        <x:v>rich</x:v>
      </x:c>
      <x:c r="D176" s="38" t="str">
        <x:v>fresh</x:v>
      </x:c>
      <x:c r="E176" s="38"/>
      <x:c r="F176" s="38" t="str">
        <x:v>rich | fresh</x:v>
      </x:c>
      <x:c r="G176" s="38" t="str">
        <x:v>KEEP</x:v>
      </x:c>
      <x:c r="H176" s="38" t="str">
        <x:v>NOT TAGGED</x:v>
      </x:c>
      <x:c r="I176" s="38" t="str">
        <x:v>KEEP CURRENT</x:v>
      </x:c>
      <x:c r="J176" s="38" t="str">
        <x:v>rich | fresh</x:v>
      </x:c>
      <x:c r="K176" s="38" t="str">
        <x:v>Rich — Richness is supported by a creamy, fatty, nutty, coconut, cheese, or similarly dense component in the current catalog description.</x:v>
      </x:c>
    </x:row>
    <x:row r="177" ht="48" customHeight="1">
      <x:c r="A177" s="38" t="str">
        <x:v>jerk-chicken</x:v>
      </x:c>
      <x:c r="B177" s="38" t="str">
        <x:v>Jerk Chicken</x:v>
      </x:c>
      <x:c r="C177" s="38" t="str">
        <x:v>spicy</x:v>
      </x:c>
      <x:c r="D177" s="38" t="str">
        <x:v>fresh</x:v>
      </x:c>
      <x:c r="E177" s="38"/>
      <x:c r="F177" s="38" t="str">
        <x:v>spicy | fresh</x:v>
      </x:c>
      <x:c r="G177" s="38" t="str">
        <x:v>NOT TAGGED</x:v>
      </x:c>
      <x:c r="H177" s="38" t="str">
        <x:v>NOT TAGGED</x:v>
      </x:c>
      <x:c r="I177" s="38" t="str">
        <x:v>KEEP CURRENT</x:v>
      </x:c>
      <x:c r="J177" s="38" t="str">
        <x:v>spicy | fresh</x:v>
      </x:c>
      <x:c r="K177" s="38" t="str">
        <x:v>Neither rich nor comforting is currently assigned; no keep/remove action is needed in this audit.</x:v>
      </x:c>
    </x:row>
    <x:row r="178" ht="48" customHeight="1">
      <x:c r="A178" s="38" t="str">
        <x:v>montreal-smoked-meat-sandwich</x:v>
      </x:c>
      <x:c r="B178" s="38" t="str">
        <x:v>Montreal Smoked Meat Sandwich</x:v>
      </x:c>
      <x:c r="C178" s="38" t="str">
        <x:v>rich</x:v>
      </x:c>
      <x:c r="D178" s="38" t="str">
        <x:v>tangy</x:v>
      </x:c>
      <x:c r="E178" s="38"/>
      <x:c r="F178" s="38" t="str">
        <x:v>rich | tangy</x:v>
      </x:c>
      <x:c r="G178" s="38" t="str">
        <x:v>KEEP</x:v>
      </x:c>
      <x:c r="H178" s="38" t="str">
        <x:v>NOT TAGGED</x:v>
      </x:c>
      <x:c r="I178" s="38" t="str">
        <x:v>KEEP CURRENT</x:v>
      </x:c>
      <x:c r="J178" s="38" t="str">
        <x:v>rich | tangy</x:v>
      </x:c>
      <x:c r="K178" s="38" t="str">
        <x:v>Rich — The current description presents a full-bodied, substantial preparation where rich adds useful recommendation signal.</x:v>
      </x:c>
    </x:row>
    <x:row r="179" ht="48" customHeight="1">
      <x:c r="A179" s="38" t="str">
        <x:v>chicken-and-waffles</x:v>
      </x:c>
      <x:c r="B179" s="38" t="str">
        <x:v>Chicken and Waffles</x:v>
      </x:c>
      <x:c r="C179" s="38" t="str">
        <x:v>crispy</x:v>
      </x:c>
      <x:c r="D179" s="38" t="str">
        <x:v>rich</x:v>
      </x:c>
      <x:c r="E179" s="38"/>
      <x:c r="F179" s="38" t="str">
        <x:v>crispy | rich</x:v>
      </x:c>
      <x:c r="G179" s="38" t="str">
        <x:v>KEEP</x:v>
      </x:c>
      <x:c r="H179" s="38" t="str">
        <x:v>NOT TAGGED</x:v>
      </x:c>
      <x:c r="I179" s="38" t="str">
        <x:v>KEEP CURRENT</x:v>
      </x:c>
      <x:c r="J179" s="38" t="str">
        <x:v>crispy | rich</x:v>
      </x:c>
      <x:c r="K179" s="38" t="str">
        <x:v>Rich — Richness is supported by a creamy, fatty, nutty, coconut, cheese, or similarly dense component in the current catalog description.</x:v>
      </x:c>
    </x:row>
    <x:row r="180" ht="48" customHeight="1">
      <x:c r="A180" s="38" t="str">
        <x:v>katsudon</x:v>
      </x:c>
      <x:c r="B180" s="38" t="str">
        <x:v>Katsudon</x:v>
      </x:c>
      <x:c r="C180" s="38" t="str">
        <x:v>comforting</x:v>
      </x:c>
      <x:c r="D180" s="38" t="str">
        <x:v>crispy</x:v>
      </x:c>
      <x:c r="E180" s="38"/>
      <x:c r="F180" s="38" t="str">
        <x:v>comforting | crispy</x:v>
      </x:c>
      <x:c r="G180" s="38" t="str">
        <x:v>NOT TAGGED</x:v>
      </x:c>
      <x:c r="H180" s="38" t="str">
        <x:v>KEEP</x:v>
      </x:c>
      <x:c r="I180" s="38" t="str">
        <x:v>KEEP CURRENT</x:v>
      </x:c>
      <x:c r="J180" s="38" t="str">
        <x:v>comforting | crispy</x:v>
      </x:c>
      <x:c r="K180" s="38" t="str">
        <x:v>Comforting — The warm, soft, starchy, brothy, braised, or slow-cooked format makes comforting a defining eating experience rather than a catch-all tag.</x:v>
      </x:c>
    </x:row>
    <x:row r="181" ht="48" customHeight="1">
      <x:c r="A181" s="38" t="str">
        <x:v>jjajangmyeon</x:v>
      </x:c>
      <x:c r="B181" s="38" t="str">
        <x:v>Jjajangmyeon</x:v>
      </x:c>
      <x:c r="C181" s="38" t="str">
        <x:v>rich</x:v>
      </x:c>
      <x:c r="D181" s="38" t="str">
        <x:v>comforting</x:v>
      </x:c>
      <x:c r="E181" s="38"/>
      <x:c r="F181" s="38" t="str">
        <x:v>rich | comforting</x:v>
      </x:c>
      <x:c r="G181" s="38" t="str">
        <x:v>KEEP</x:v>
      </x:c>
      <x:c r="H181" s="38" t="str">
        <x:v>KEEP</x:v>
      </x:c>
      <x:c r="I181" s="38" t="str">
        <x:v>KEEP CURRENT</x:v>
      </x:c>
      <x:c r="J181" s="38" t="str">
        <x:v>rich | comforting</x:v>
      </x:c>
      <x:c r="K181"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82" ht="48" customHeight="1">
      <x:c r="A182" s="38" t="str">
        <x:v>wonton-soup</x:v>
      </x:c>
      <x:c r="B182" s="38" t="str">
        <x:v>Wonton Soup</x:v>
      </x:c>
      <x:c r="C182" s="38" t="str">
        <x:v>comforting</x:v>
      </x:c>
      <x:c r="D182" s="38" t="str">
        <x:v>fresh</x:v>
      </x:c>
      <x:c r="E182" s="38"/>
      <x:c r="F182" s="38" t="str">
        <x:v>comforting | fresh</x:v>
      </x:c>
      <x:c r="G182" s="38" t="str">
        <x:v>NOT TAGGED</x:v>
      </x:c>
      <x:c r="H182" s="38" t="str">
        <x:v>KEEP</x:v>
      </x:c>
      <x:c r="I182" s="38" t="str">
        <x:v>KEEP CURRENT</x:v>
      </x:c>
      <x:c r="J182" s="38" t="str">
        <x:v>comforting | fresh</x:v>
      </x:c>
      <x:c r="K182" s="38" t="str">
        <x:v>Comforting — The warm, soft, starchy, brothy, braised, or slow-cooked format makes comforting a defining eating experience rather than a catch-all tag.</x:v>
      </x:c>
    </x:row>
    <x:row r="183" ht="48" customHeight="1">
      <x:c r="A183" s="38" t="str">
        <x:v>lemon-rice</x:v>
      </x:c>
      <x:c r="B183" s="38" t="str">
        <x:v>Lemon Rice</x:v>
      </x:c>
      <x:c r="C183" s="38" t="str">
        <x:v>fresh</x:v>
      </x:c>
      <x:c r="D183" s="38" t="str">
        <x:v>tangy</x:v>
      </x:c>
      <x:c r="E183" s="38"/>
      <x:c r="F183" s="38" t="str">
        <x:v>fresh | tangy</x:v>
      </x:c>
      <x:c r="G183" s="38" t="str">
        <x:v>NOT TAGGED</x:v>
      </x:c>
      <x:c r="H183" s="38" t="str">
        <x:v>NOT TAGGED</x:v>
      </x:c>
      <x:c r="I183" s="38" t="str">
        <x:v>KEEP CURRENT</x:v>
      </x:c>
      <x:c r="J183" s="38" t="str">
        <x:v>fresh | tangy</x:v>
      </x:c>
      <x:c r="K183" s="38" t="str">
        <x:v>Neither rich nor comforting is currently assigned; no keep/remove action is needed in this audit.</x:v>
      </x:c>
    </x:row>
    <x:row r="184" ht="48" customHeight="1">
      <x:c r="A184" s="38" t="str">
        <x:v>paya</x:v>
      </x:c>
      <x:c r="B184" s="38" t="str">
        <x:v>Paya</x:v>
      </x:c>
      <x:c r="C184" s="38" t="str">
        <x:v>rich</x:v>
      </x:c>
      <x:c r="D184" s="38" t="str">
        <x:v>comforting</x:v>
      </x:c>
      <x:c r="E184" s="38"/>
      <x:c r="F184" s="38" t="str">
        <x:v>rich | comforting</x:v>
      </x:c>
      <x:c r="G184" s="38" t="str">
        <x:v>KEEP</x:v>
      </x:c>
      <x:c r="H184" s="38" t="str">
        <x:v>KEEP</x:v>
      </x:c>
      <x:c r="I184" s="38" t="str">
        <x:v>KEEP CURRENT</x:v>
      </x:c>
      <x:c r="J184" s="38" t="str">
        <x:v>rich | comforting</x:v>
      </x:c>
      <x:c r="K184"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85" ht="48" customHeight="1">
      <x:c r="A185" s="38" t="str">
        <x:v>chicken-chettinad</x:v>
      </x:c>
      <x:c r="B185" s="38" t="str">
        <x:v>Chicken Chettinad</x:v>
      </x:c>
      <x:c r="C185" s="38" t="str">
        <x:v>spicy</x:v>
      </x:c>
      <x:c r="D185" s="38" t="str">
        <x:v>rich</x:v>
      </x:c>
      <x:c r="E185" s="38"/>
      <x:c r="F185" s="38" t="str">
        <x:v>spicy | rich</x:v>
      </x:c>
      <x:c r="G185" s="38" t="str">
        <x:v>REMOVE</x:v>
      </x:c>
      <x:c r="H185" s="38" t="str">
        <x:v>NOT TAGGED</x:v>
      </x:c>
      <x:c r="I185" s="38" t="str">
        <x:v>REMOVE RICH</x:v>
      </x:c>
      <x:c r="J185" s="38" t="str">
        <x:v>spicy</x:v>
      </x:c>
      <x:c r="K185" s="38" t="str">
        <x:v>Rich — Remove rich: the current description is more specifically defined by its other preference flavor(s), while 'rich' reads as a generic extra label.</x:v>
      </x:c>
    </x:row>
    <x:row r="186" ht="48" customHeight="1">
      <x:c r="A186" s="38" t="str">
        <x:v>mandi</x:v>
      </x:c>
      <x:c r="B186" s="38" t="str">
        <x:v>Mandi</x:v>
      </x:c>
      <x:c r="C186" s="38" t="str">
        <x:v>rich</x:v>
      </x:c>
      <x:c r="D186" s="38" t="str">
        <x:v>comforting</x:v>
      </x:c>
      <x:c r="E186" s="38"/>
      <x:c r="F186" s="38" t="str">
        <x:v>rich | comforting</x:v>
      </x:c>
      <x:c r="G186" s="38" t="str">
        <x:v>REMOVE</x:v>
      </x:c>
      <x:c r="H186" s="38" t="str">
        <x:v>KEEP</x:v>
      </x:c>
      <x:c r="I186" s="38" t="str">
        <x:v>REMOVE RICH</x:v>
      </x:c>
      <x:c r="J186" s="38" t="str">
        <x:v>comforting</x:v>
      </x:c>
      <x:c r="K186"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187" ht="48" customHeight="1">
      <x:c r="A187" s="38" t="str">
        <x:v>shish-barak</x:v>
      </x:c>
      <x:c r="B187" s="38" t="str">
        <x:v>Shish Barak</x:v>
      </x:c>
      <x:c r="C187" s="38" t="str">
        <x:v>rich</x:v>
      </x:c>
      <x:c r="D187" s="38" t="str">
        <x:v>tangy</x:v>
      </x:c>
      <x:c r="E187" s="38"/>
      <x:c r="F187" s="38" t="str">
        <x:v>rich | tangy</x:v>
      </x:c>
      <x:c r="G187" s="38" t="str">
        <x:v>KEEP</x:v>
      </x:c>
      <x:c r="H187" s="38" t="str">
        <x:v>NOT TAGGED</x:v>
      </x:c>
      <x:c r="I187" s="38" t="str">
        <x:v>KEEP CURRENT</x:v>
      </x:c>
      <x:c r="J187" s="38" t="str">
        <x:v>rich | tangy</x:v>
      </x:c>
      <x:c r="K187" s="38" t="str">
        <x:v>Rich — Richness is supported by a creamy, fatty, nutty, coconut, cheese, or similarly dense component in the current catalog description.</x:v>
      </x:c>
    </x:row>
    <x:row r="188" ht="48" customHeight="1">
      <x:c r="A188" s="38" t="str">
        <x:v>maftoul</x:v>
      </x:c>
      <x:c r="B188" s="38" t="str">
        <x:v>Maftoul</x:v>
      </x:c>
      <x:c r="C188" s="38" t="str">
        <x:v>comforting</x:v>
      </x:c>
      <x:c r="D188" s="38" t="str">
        <x:v>fresh</x:v>
      </x:c>
      <x:c r="E188" s="38"/>
      <x:c r="F188" s="38" t="str">
        <x:v>comforting | fresh</x:v>
      </x:c>
      <x:c r="G188" s="38" t="str">
        <x:v>NOT TAGGED</x:v>
      </x:c>
      <x:c r="H188" s="38" t="str">
        <x:v>KEEP</x:v>
      </x:c>
      <x:c r="I188" s="38" t="str">
        <x:v>KEEP CURRENT</x:v>
      </x:c>
      <x:c r="J188" s="38" t="str">
        <x:v>comforting | fresh</x:v>
      </x:c>
      <x:c r="K188" s="38" t="str">
        <x:v>Comforting — The warm, soft, starchy, brothy, braised, or slow-cooked format makes comforting a defining eating experience rather than a catch-all tag.</x:v>
      </x:c>
    </x:row>
    <x:row r="189" ht="48" customHeight="1">
      <x:c r="A189" s="38" t="str">
        <x:v>sambousek</x:v>
      </x:c>
      <x:c r="B189" s="38" t="str">
        <x:v>Sambousek</x:v>
      </x:c>
      <x:c r="C189" s="38" t="str">
        <x:v>crispy</x:v>
      </x:c>
      <x:c r="D189" s="38" t="str">
        <x:v>rich</x:v>
      </x:c>
      <x:c r="E189" s="38"/>
      <x:c r="F189" s="38" t="str">
        <x:v>crispy | rich</x:v>
      </x:c>
      <x:c r="G189" s="38" t="str">
        <x:v>KEEP</x:v>
      </x:c>
      <x:c r="H189" s="38" t="str">
        <x:v>NOT TAGGED</x:v>
      </x:c>
      <x:c r="I189" s="38" t="str">
        <x:v>KEEP CURRENT</x:v>
      </x:c>
      <x:c r="J189" s="38" t="str">
        <x:v>crispy | rich</x:v>
      </x:c>
      <x:c r="K189" s="38" t="str">
        <x:v>Rich — Richness is supported by a creamy, fatty, nutty, coconut, cheese, or similarly dense component in the current catalog description.</x:v>
      </x:c>
    </x:row>
    <x:row r="190" ht="48" customHeight="1">
      <x:c r="A190" s="38" t="str">
        <x:v>pepper-soup</x:v>
      </x:c>
      <x:c r="B190" s="38" t="str">
        <x:v>Pepper Soup</x:v>
      </x:c>
      <x:c r="C190" s="38" t="str">
        <x:v>spicy</x:v>
      </x:c>
      <x:c r="D190" s="38" t="str">
        <x:v>fresh</x:v>
      </x:c>
      <x:c r="E190" s="38"/>
      <x:c r="F190" s="38" t="str">
        <x:v>spicy | fresh</x:v>
      </x:c>
      <x:c r="G190" s="38" t="str">
        <x:v>NOT TAGGED</x:v>
      </x:c>
      <x:c r="H190" s="38" t="str">
        <x:v>NOT TAGGED</x:v>
      </x:c>
      <x:c r="I190" s="38" t="str">
        <x:v>KEEP CURRENT</x:v>
      </x:c>
      <x:c r="J190" s="38" t="str">
        <x:v>spicy | fresh</x:v>
      </x:c>
      <x:c r="K190" s="38" t="str">
        <x:v>Neither rich nor comforting is currently assigned; no keep/remove action is needed in this audit.</x:v>
      </x:c>
    </x:row>
    <x:row r="191" ht="48" customHeight="1">
      <x:c r="A191" s="38" t="str">
        <x:v>kitfo</x:v>
      </x:c>
      <x:c r="B191" s="38" t="str">
        <x:v>Kitfo</x:v>
      </x:c>
      <x:c r="C191" s="38" t="str">
        <x:v>rich</x:v>
      </x:c>
      <x:c r="D191" s="38" t="str">
        <x:v>spicy</x:v>
      </x:c>
      <x:c r="E191" s="38"/>
      <x:c r="F191" s="38" t="str">
        <x:v>rich | spicy</x:v>
      </x:c>
      <x:c r="G191" s="38" t="str">
        <x:v>KEEP</x:v>
      </x:c>
      <x:c r="H191" s="38" t="str">
        <x:v>NOT TAGGED</x:v>
      </x:c>
      <x:c r="I191" s="38" t="str">
        <x:v>KEEP CURRENT</x:v>
      </x:c>
      <x:c r="J191" s="38" t="str">
        <x:v>rich | spicy</x:v>
      </x:c>
      <x:c r="K191" s="38" t="str">
        <x:v>Rich — Richness is supported by a creamy, fatty, nutty, coconut, cheese, or similarly dense component in the current catalog description.</x:v>
      </x:c>
    </x:row>
    <x:row r="192" ht="48" customHeight="1">
      <x:c r="A192" s="38" t="str">
        <x:v>tagliatelle-al-ragu</x:v>
      </x:c>
      <x:c r="B192" s="38" t="str">
        <x:v>Tagliatelle al Ragù</x:v>
      </x:c>
      <x:c r="C192" s="38" t="str">
        <x:v>rich</x:v>
      </x:c>
      <x:c r="D192" s="38" t="str">
        <x:v>comforting</x:v>
      </x:c>
      <x:c r="E192" s="38"/>
      <x:c r="F192" s="38" t="str">
        <x:v>rich | comforting</x:v>
      </x:c>
      <x:c r="G192" s="38" t="str">
        <x:v>KEEP</x:v>
      </x:c>
      <x:c r="H192" s="38" t="str">
        <x:v>KEEP</x:v>
      </x:c>
      <x:c r="I192" s="38" t="str">
        <x:v>KEEP CURRENT</x:v>
      </x:c>
      <x:c r="J192" s="38" t="str">
        <x:v>rich | comforting</x:v>
      </x:c>
      <x:c r="K192"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193" ht="48" customHeight="1">
      <x:c r="A193" s="38" t="str">
        <x:v>minestrone</x:v>
      </x:c>
      <x:c r="B193" s="38" t="str">
        <x:v>Minestrone</x:v>
      </x:c>
      <x:c r="C193" s="38" t="str">
        <x:v>fresh</x:v>
      </x:c>
      <x:c r="D193" s="38" t="str">
        <x:v>comforting</x:v>
      </x:c>
      <x:c r="E193" s="38"/>
      <x:c r="F193" s="38" t="str">
        <x:v>fresh | comforting</x:v>
      </x:c>
      <x:c r="G193" s="38" t="str">
        <x:v>NOT TAGGED</x:v>
      </x:c>
      <x:c r="H193" s="38" t="str">
        <x:v>KEEP</x:v>
      </x:c>
      <x:c r="I193" s="38" t="str">
        <x:v>KEEP CURRENT</x:v>
      </x:c>
      <x:c r="J193" s="38" t="str">
        <x:v>fresh | comforting</x:v>
      </x:c>
      <x:c r="K193" s="38" t="str">
        <x:v>Comforting — The warm, soft, starchy, brothy, braised, or slow-cooked format makes comforting a defining eating experience rather than a catch-all tag.</x:v>
      </x:c>
    </x:row>
    <x:row r="194" ht="48" customHeight="1">
      <x:c r="A194" s="38" t="str">
        <x:v>shepherds-pie</x:v>
      </x:c>
      <x:c r="B194" s="38" t="str">
        <x:v>Shepherd's Pie</x:v>
      </x:c>
      <x:c r="C194" s="38" t="str">
        <x:v>rich</x:v>
      </x:c>
      <x:c r="D194" s="38" t="str">
        <x:v>comforting</x:v>
      </x:c>
      <x:c r="E194" s="38"/>
      <x:c r="F194" s="38" t="str">
        <x:v>rich | comforting</x:v>
      </x:c>
      <x:c r="G194" s="38" t="str">
        <x:v>KEEP</x:v>
      </x:c>
      <x:c r="H194" s="38" t="str">
        <x:v>KEEP</x:v>
      </x:c>
      <x:c r="I194" s="38" t="str">
        <x:v>KEEP CURRENT</x:v>
      </x:c>
      <x:c r="J194" s="38" t="str">
        <x:v>rich | comforting</x:v>
      </x:c>
      <x:c r="K194"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195" ht="48" customHeight="1">
      <x:c r="A195" s="38" t="str">
        <x:v>arroz-con-coco</x:v>
      </x:c>
      <x:c r="B195" s="38" t="str">
        <x:v>Arroz con Coco</x:v>
      </x:c>
      <x:c r="C195" s="38" t="str">
        <x:v>rich</x:v>
      </x:c>
      <x:c r="D195" s="38" t="str">
        <x:v>comforting</x:v>
      </x:c>
      <x:c r="E195" s="38"/>
      <x:c r="F195" s="38" t="str">
        <x:v>rich | comforting</x:v>
      </x:c>
      <x:c r="G195" s="38" t="str">
        <x:v>KEEP</x:v>
      </x:c>
      <x:c r="H195" s="38" t="str">
        <x:v>REMOVE</x:v>
      </x:c>
      <x:c r="I195" s="38" t="str">
        <x:v>REMOVE COMFORTING</x:v>
      </x:c>
      <x:c r="J195" s="38" t="str">
        <x:v>rich</x:v>
      </x:c>
      <x:c r="K195" s="38" t="str">
        <x:v>Rich — Richness is supported by a creamy, fatty, nutty, coconut, cheese, or similarly dense component in the current catalog description. Comforting — Remove comforting: the label feels subjective and broader than the current catalog description supports.</x:v>
      </x:c>
    </x:row>
    <x:row r="196" ht="48" customHeight="1">
      <x:c r="A196" s="38" t="str">
        <x:v>pozole</x:v>
      </x:c>
      <x:c r="B196" s="38" t="str">
        <x:v>Pozole</x:v>
      </x:c>
      <x:c r="C196" s="38" t="str">
        <x:v>fresh</x:v>
      </x:c>
      <x:c r="D196" s="38" t="str">
        <x:v>spicy</x:v>
      </x:c>
      <x:c r="E196" s="38"/>
      <x:c r="F196" s="38" t="str">
        <x:v>fresh | spicy</x:v>
      </x:c>
      <x:c r="G196" s="38" t="str">
        <x:v>NOT TAGGED</x:v>
      </x:c>
      <x:c r="H196" s="38" t="str">
        <x:v>NOT TAGGED</x:v>
      </x:c>
      <x:c r="I196" s="38" t="str">
        <x:v>KEEP CURRENT</x:v>
      </x:c>
      <x:c r="J196" s="38" t="str">
        <x:v>fresh | spicy</x:v>
      </x:c>
      <x:c r="K196" s="38" t="str">
        <x:v>Neither rich nor comforting is currently assigned; no keep/remove action is needed in this audit.</x:v>
      </x:c>
    </x:row>
    <x:row r="197" ht="48" customHeight="1">
      <x:c r="A197" s="38" t="str">
        <x:v>locro</x:v>
      </x:c>
      <x:c r="B197" s="38" t="str">
        <x:v>Locro</x:v>
      </x:c>
      <x:c r="C197" s="38" t="str">
        <x:v>rich</x:v>
      </x:c>
      <x:c r="D197" s="38" t="str">
        <x:v>comforting</x:v>
      </x:c>
      <x:c r="E197" s="38"/>
      <x:c r="F197" s="38" t="str">
        <x:v>rich | comforting</x:v>
      </x:c>
      <x:c r="G197" s="38" t="str">
        <x:v>KEEP</x:v>
      </x:c>
      <x:c r="H197" s="38" t="str">
        <x:v>KEEP</x:v>
      </x:c>
      <x:c r="I197" s="38" t="str">
        <x:v>KEEP CURRENT</x:v>
      </x:c>
      <x:c r="J197" s="38" t="str">
        <x:v>rich | comforting</x:v>
      </x:c>
      <x:c r="K197"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198" ht="48" customHeight="1">
      <x:c r="A198" s="38" t="str">
        <x:v>mofongo</x:v>
      </x:c>
      <x:c r="B198" s="38" t="str">
        <x:v>Mofongo</x:v>
      </x:c>
      <x:c r="C198" s="38" t="str">
        <x:v>rich</x:v>
      </x:c>
      <x:c r="D198" s="38" t="str">
        <x:v>comforting</x:v>
      </x:c>
      <x:c r="E198" s="38"/>
      <x:c r="F198" s="38" t="str">
        <x:v>rich | comforting</x:v>
      </x:c>
      <x:c r="G198" s="38" t="str">
        <x:v>KEEP</x:v>
      </x:c>
      <x:c r="H198" s="38" t="str">
        <x:v>KEEP</x:v>
      </x:c>
      <x:c r="I198" s="38" t="str">
        <x:v>KEEP CURRENT</x:v>
      </x:c>
      <x:c r="J198" s="38" t="str">
        <x:v>rich | comforting</x:v>
      </x:c>
      <x:c r="K198" s="38" t="str">
        <x:v>Rich — The dish is centered on a dense, concentrated, meat-forward, fried, or thick preparation, so rich is meaningfully descriptive. Comforting — Comforting is still defensible from the dish's warm, familiar, substantial format and adds useful mood-level signal.</x:v>
      </x:c>
    </x:row>
    <x:row r="199" ht="48" customHeight="1">
      <x:c r="A199" s="38" t="str">
        <x:v>red-beans-and-rice</x:v>
      </x:c>
      <x:c r="B199" s="38" t="str">
        <x:v>Red Beans and Rice</x:v>
      </x:c>
      <x:c r="C199" s="38" t="str">
        <x:v>comforting</x:v>
      </x:c>
      <x:c r="D199" s="38" t="str">
        <x:v>rich</x:v>
      </x:c>
      <x:c r="E199" s="38"/>
      <x:c r="F199" s="38" t="str">
        <x:v>comforting | rich</x:v>
      </x:c>
      <x:c r="G199" s="38" t="str">
        <x:v>KEEP</x:v>
      </x:c>
      <x:c r="H199" s="38" t="str">
        <x:v>KEEP</x:v>
      </x:c>
      <x:c r="I199" s="38" t="str">
        <x:v>KEEP CURRENT</x:v>
      </x:c>
      <x:c r="J199" s="38" t="str">
        <x:v>comforting | rich</x:v>
      </x:c>
      <x:c r="K199" s="38" t="str">
        <x:v>Rich — The dish is centered on a dense, concentrated, meat-forward, fried, or thick preparation, so rich is meaningfully descriptive. Comforting — The warm, soft, starchy, brothy, braised, or slow-cooked format makes comforting a defining eating experience rather than a catch-all tag.</x:v>
      </x:c>
    </x:row>
    <x:row r="200" ht="48" customHeight="1">
      <x:c r="A200" s="38" t="str">
        <x:v>crawfish-etouffee</x:v>
      </x:c>
      <x:c r="B200" s="38" t="str">
        <x:v>Crawfish Étouffée</x:v>
      </x:c>
      <x:c r="C200" s="38" t="str">
        <x:v>rich</x:v>
      </x:c>
      <x:c r="D200" s="38" t="str">
        <x:v>comforting</x:v>
      </x:c>
      <x:c r="E200" s="38"/>
      <x:c r="F200" s="38" t="str">
        <x:v>rich | comforting</x:v>
      </x:c>
      <x:c r="G200" s="38" t="str">
        <x:v>KEEP</x:v>
      </x:c>
      <x:c r="H200" s="38" t="str">
        <x:v>KEEP</x:v>
      </x:c>
      <x:c r="I200" s="38" t="str">
        <x:v>KEEP CURRENT</x:v>
      </x:c>
      <x:c r="J200" s="38" t="str">
        <x:v>rich | comforting</x:v>
      </x:c>
      <x:c r="K200" s="38" t="str">
        <x:v>Rich — Richness is supported by a creamy, fatty, nutty, coconut, cheese, or similarly dense component in the current catalog description. Comforting — The warm, soft, starchy, brothy, braised, or slow-cooked format makes comforting a defining eating experience rather than a catch-all tag.</x:v>
      </x:c>
    </x:row>
    <x:row r="201" ht="48" customHeight="1">
      <x:c r="A201" s="38" t="str">
        <x:v>saimin</x:v>
      </x:c>
      <x:c r="B201" s="38" t="str">
        <x:v>Saimin</x:v>
      </x:c>
      <x:c r="C201" s="38" t="str">
        <x:v>comforting</x:v>
      </x:c>
      <x:c r="D201" s="38" t="str">
        <x:v>fresh</x:v>
      </x:c>
      <x:c r="E201" s="38"/>
      <x:c r="F201" s="38" t="str">
        <x:v>comforting | fresh</x:v>
      </x:c>
      <x:c r="G201" s="38" t="str">
        <x:v>NOT TAGGED</x:v>
      </x:c>
      <x:c r="H201" s="38" t="str">
        <x:v>KEEP</x:v>
      </x:c>
      <x:c r="I201" s="38" t="str">
        <x:v>KEEP CURRENT</x:v>
      </x:c>
      <x:c r="J201" s="38" t="str">
        <x:v>comforting | fresh</x:v>
      </x:c>
      <x:c r="K201" s="38" t="str">
        <x:v>Comforting — The warm, soft, starchy, brothy, braised, or slow-cooked format makes comforting a defining eating experience rather than a catch-all tag.</x:v>
      </x:c>
    </x:row>
    <x:row r="202" ht="48" customHeight="1">
      <x:c r="A202" s="38" t="str">
        <x:v>cincinnati-chili</x:v>
      </x:c>
      <x:c r="B202" s="38" t="str">
        <x:v>Cincinnati Chili</x:v>
      </x:c>
      <x:c r="C202" s="38" t="str">
        <x:v>rich</x:v>
      </x:c>
      <x:c r="D202" s="38" t="str">
        <x:v>comforting</x:v>
      </x:c>
      <x:c r="E202" s="38"/>
      <x:c r="F202" s="38" t="str">
        <x:v>rich | comforting</x:v>
      </x:c>
      <x:c r="G202" s="38" t="str">
        <x:v>KEEP</x:v>
      </x:c>
      <x:c r="H202" s="38" t="str">
        <x:v>KEEP</x:v>
      </x:c>
      <x:c r="I202" s="38" t="str">
        <x:v>KEEP CURRENT</x:v>
      </x:c>
      <x:c r="J202" s="38" t="str">
        <x:v>rich | comforting</x:v>
      </x:c>
      <x:c r="K202" s="38" t="str">
        <x:v>Rich — Richness is supported by a creamy, fatty, nutty, coconut, cheese, or similarly dense component in the current catalog description. Comforting — The current description supports a hearty, familiar, filling profile where comforting is useful to the recommendation experience.</x:v>
      </x:c>
    </x:row>
    <x:row r="203" ht="48" customHeight="1">
      <x:c r="A203" s="38" t="str">
        <x:v>canadian-split-pea-soup</x:v>
      </x:c>
      <x:c r="B203" s="38" t="str">
        <x:v>Canadian Split Pea Soup</x:v>
      </x:c>
      <x:c r="C203" s="38" t="str">
        <x:v>comforting</x:v>
      </x:c>
      <x:c r="D203" s="38" t="str">
        <x:v>rich</x:v>
      </x:c>
      <x:c r="E203" s="38"/>
      <x:c r="F203" s="38" t="str">
        <x:v>comforting | rich</x:v>
      </x:c>
      <x:c r="G203" s="38" t="str">
        <x:v>REMOVE</x:v>
      </x:c>
      <x:c r="H203" s="38" t="str">
        <x:v>KEEP</x:v>
      </x:c>
      <x:c r="I203" s="38" t="str">
        <x:v>REMOVE RICH</x:v>
      </x:c>
      <x:c r="J203" s="38" t="str">
        <x:v>comforting</x:v>
      </x:c>
      <x:c r="K203" s="38" t="str">
        <x:v>Rich — Remove rich: the current description does not make richness a defining sensory trait; starch, meat, or savory flavor alone is not enough. Comforting — The warm, soft, starchy, brothy, braised, or slow-cooked format makes comforting a defining eating experience rather than a catch-all tag.</x:v>
      </x:c>
    </x:row>
    <x:row r="204" ht="48" customHeight="1">
      <x:c r="A204" s="38" t="str">
        <x:v>matzo-ball-soup</x:v>
      </x:c>
      <x:c r="B204" s="38" t="str">
        <x:v>Matzo Ball Soup</x:v>
      </x:c>
      <x:c r="C204" s="38" t="str">
        <x:v>comforting</x:v>
      </x:c>
      <x:c r="D204" s="38" t="str">
        <x:v>fresh</x:v>
      </x:c>
      <x:c r="E204" s="38"/>
      <x:c r="F204" s="38" t="str">
        <x:v>comforting | fresh</x:v>
      </x:c>
      <x:c r="G204" s="38" t="str">
        <x:v>NOT TAGGED</x:v>
      </x:c>
      <x:c r="H204" s="38" t="str">
        <x:v>KEEP</x:v>
      </x:c>
      <x:c r="I204" s="38" t="str">
        <x:v>KEEP CURRENT</x:v>
      </x:c>
      <x:c r="J204" s="38" t="str">
        <x:v>comforting | fresh</x:v>
      </x:c>
      <x:c r="K204" s="38" t="str">
        <x:v>Comforting — The warm, soft, starchy, brothy, braised, or slow-cooked format makes comforting a defining eating experience rather than a catch-all tag.</x:v>
      </x:c>
    </x:row>
  </x:sheetData>
  <x:mergeCells>
    <x:mergeCell ref="A1:K1"/>
    <x:mergeCell ref="A2:K2"/>
  </x:mergeCells>
  <x:conditionalFormatting sqref="G5:H204">
    <x:cfRule type="expression" dxfId="20" priority="1">
      <x:formula>G5="REMOVE"</x:formula>
    </x:cfRule>
    <x:cfRule type="expression" dxfId="21" priority="2">
      <x:formula>H5="REMOVE"</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5" hidden="0" customWidth="1"/>
    <x:col min="2" max="2" width="24" hidden="0" customWidth="1"/>
    <x:col min="3" max="3" width="25" hidden="0" customWidth="1"/>
    <x:col min="4" max="4" width="18" hidden="0" customWidth="1"/>
    <x:col min="5" max="5" width="20" hidden="0" customWidth="1"/>
    <x:col min="6" max="6" width="28" hidden="0" customWidth="1"/>
    <x:col min="7" max="7" width="15" hidden="0" customWidth="1"/>
    <x:col min="8" max="8" width="58" hidden="0" customWidth="1"/>
    <x:col min="9" max="9" width="15" hidden="0" customWidth="1"/>
    <x:col min="10" max="10" width="58" hidden="0" customWidth="1"/>
    <x:col min="11" max="11" width="15" hidden="0" customWidth="1"/>
    <x:col min="12" max="12" width="58" hidden="0" customWidth="1"/>
    <x:col min="13" max="13" width="15" hidden="0" customWidth="1"/>
    <x:col min="14" max="14" width="58" hidden="0" customWidth="1"/>
    <x:col min="15" max="15" width="30" hidden="0" customWidth="1"/>
    <x:col min="16" max="16" width="24" hidden="0" customWidth="1"/>
    <x:col min="17" max="17" width="48" hidden="0" customWidth="1"/>
  </x:cols>
  <x:sheetData>
    <x:row r="1" ht="28" customHeight="1">
      <x:c r="A1" s="116" t="str">
        <x:v>Nom — Spicy / Fresh / Crispy / Tangy Audit (200 Dishes)</x:v>
      </x:c>
      <x:c r="B1" s="116"/>
      <x:c r="C1" s="116"/>
      <x:c r="D1" s="116"/>
      <x:c r="E1" s="116"/>
      <x:c r="F1" s="116"/>
      <x:c r="G1" s="116"/>
      <x:c r="H1" s="116"/>
      <x:c r="I1" s="116"/>
      <x:c r="J1" s="116"/>
      <x:c r="K1" s="116"/>
      <x:c r="L1" s="116"/>
      <x:c r="M1" s="116"/>
      <x:c r="N1" s="116"/>
      <x:c r="O1" s="116"/>
      <x:c r="P1" s="116"/>
      <x:c r="Q1" s="116"/>
    </x:row>
    <x:row r="2" ht="52" customHeight="1">
      <x:c r="A2" s="120" t="str">
        <x:v>Recommendation-only audit grounded in the current Dishes short/long descriptions and existing preference tags. No external food facts were added. KEEP retains a current tag; REMOVE deletes a current tag; ADD proposes a missing tag; NO ADD leaves an absent tag absent. The Dishes sheet is not changed by this audit.</x:v>
      </x:c>
      <x:c r="B2" s="120"/>
      <x:c r="C2" s="120"/>
      <x:c r="D2" s="120"/>
      <x:c r="E2" s="120"/>
      <x:c r="F2" s="120"/>
      <x:c r="G2" s="120"/>
      <x:c r="H2" s="120"/>
      <x:c r="I2" s="120"/>
      <x:c r="J2" s="120"/>
      <x:c r="K2" s="120"/>
      <x:c r="L2" s="120"/>
      <x:c r="M2" s="120"/>
      <x:c r="N2" s="120"/>
      <x:c r="O2" s="120"/>
      <x:c r="P2" s="120"/>
      <x:c r="Q2" s="120"/>
    </x:row>
    <x:row r="4">
      <x:c r="A4" s="124" t="str">
        <x:v>Tag</x:v>
      </x:c>
      <x:c r="B4" s="124" t="str">
        <x:v>Current</x:v>
      </x:c>
      <x:c r="C4" s="124" t="str">
        <x:v>ADD</x:v>
      </x:c>
      <x:c r="D4" s="124" t="str">
        <x:v>REMOVE</x:v>
      </x:c>
      <x:c r="E4" s="124" t="str">
        <x:v>Proposed</x:v>
      </x:c>
      <x:c r="F4" s="124" t="str">
        <x:v>Audit principle</x:v>
      </x:c>
      <x:c r="H4" s="124" t="str">
        <x:v>Portfolio metric</x:v>
      </x:c>
      <x:c r="I4" s="124" t="str">
        <x:v>Value</x:v>
      </x:c>
      <x:c r="J4" s="124" t="str">
        <x:v>Meaning</x:v>
      </x:c>
      <x:c r="K4" s="124" t="str">
        <x:v>Status</x:v>
      </x:c>
      <x:c r="M4" s="124" t="str">
        <x:v>Tag</x:v>
      </x:c>
      <x:c r="N4" s="124" t="str">
        <x:v>Current</x:v>
      </x:c>
      <x:c r="O4" s="124" t="str">
        <x:v>Proposed</x:v>
      </x:c>
    </x:row>
    <x:row r="5">
      <x:c r="A5" t="str">
        <x:v>spicy</x:v>
      </x:c>
      <x:c r="B5" t="n">
        <x:f>COUNTIF(Dishes!$G$5:$I$204,A5)</x:f>
        <x:v>27</x:v>
      </x:c>
      <x:c r="C5" t="n">
        <x:f>COUNTIF($G$13:$G$212,"ADD")</x:f>
        <x:v>2</x:v>
      </x:c>
      <x:c r="D5" t="n">
        <x:f>COUNTIF($G$13:$G$212,"REMOVE")</x:f>
        <x:v>19</x:v>
      </x:c>
      <x:c r="E5" t="n">
        <x:f>B5+C5-D5</x:f>
        <x:v>10</x:v>
      </x:c>
      <x:c r="F5" t="str">
        <x:v>Require explicit heat/chile cues; 'spiced' alone is not enough.</x:v>
      </x:c>
      <x:c r="H5" t="str">
        <x:v>Dishes with any recommended change</x:v>
      </x:c>
      <x:c r="I5" t="n">
        <x:f>COUNTIF($P$13:$P$212,"CHANGES RECOMMENDED")+COUNTIF($P$13:$P$212,"RETAG NEEDED")+COUNTIF($P$13:$P$212,"VARIANT SPLIT / RETAG")</x:f>
        <x:v>62</x:v>
      </x:c>
      <x:c r="J5" t="str">
        <x:v>At least one ADD/REMOVE across the four audited tags</x:v>
      </x:c>
      <x:c r="K5" t="str">
        <x:v>REVIEW</x:v>
      </x:c>
      <x:c r="M5" t="str">
        <x:v>Spicy</x:v>
      </x:c>
      <x:c r="N5" t="n">
        <x:f>B5</x:f>
        <x:v>27</x:v>
      </x:c>
      <x:c r="O5" t="n">
        <x:f>E5</x:f>
        <x:v>10</x:v>
      </x:c>
    </x:row>
    <x:row r="6">
      <x:c r="A6" t="str">
        <x:v>fresh</x:v>
      </x:c>
      <x:c r="B6" t="n">
        <x:f>COUNTIF(Dishes!$G$5:$I$204,A6)</x:f>
        <x:v>36</x:v>
      </x:c>
      <x:c r="C6" t="n">
        <x:f>COUNTIF($I$13:$I$212,"ADD")</x:f>
        <x:v>1</x:v>
      </x:c>
      <x:c r="D6" t="n">
        <x:f>COUNTIF($I$13:$I$212,"REMOVE")</x:f>
        <x:v>28</x:v>
      </x:c>
      <x:c r="E6" t="n">
        <x:f>B6+C6-D6</x:f>
        <x:v>9</x:v>
      </x:c>
      <x:c r="F6" t="str">
        <x:v>Require a meaningful bright/raw/herb/vegetable/light component, not a minor garnish.</x:v>
      </x:c>
      <x:c r="H6" t="str">
        <x:v>Dishes needing retag</x:v>
      </x:c>
      <x:c r="I6" t="n">
        <x:f>COUNTIF($P$13:$P$212,"RETAG NEEDED")+COUNTIF($P$13:$P$212,"VARIANT SPLIT / RETAG")</x:f>
        <x:v>19</x:v>
      </x:c>
      <x:c r="J6" t="str">
        <x:v>Would have no preference flavor after these recommendations</x:v>
      </x:c>
      <x:c r="K6" t="str">
        <x:v>ACTION</x:v>
      </x:c>
      <x:c r="M6" t="str">
        <x:v>Fresh</x:v>
      </x:c>
      <x:c r="N6" t="n">
        <x:f>B6</x:f>
        <x:v>36</x:v>
      </x:c>
      <x:c r="O6" t="n">
        <x:f>E6</x:f>
        <x:v>9</x:v>
      </x:c>
    </x:row>
    <x:row r="7">
      <x:c r="A7" t="str">
        <x:v>crispy</x:v>
      </x:c>
      <x:c r="B7" t="n">
        <x:f>COUNTIF(Dishes!$G$5:$I$204,A7)</x:f>
        <x:v>27</x:v>
      </x:c>
      <x:c r="C7" t="n">
        <x:f>COUNTIF($K$13:$K$212,"ADD")</x:f>
        <x:v>4</x:v>
      </x:c>
      <x:c r="D7" t="n">
        <x:f>COUNTIF($K$13:$K$212,"REMOVE")</x:f>
        <x:v>6</x:v>
      </x:c>
      <x:c r="E7" t="n">
        <x:f>B7+C7-D7</x:f>
        <x:v>25</x:v>
      </x:c>
      <x:c r="F7" t="str">
        <x:v>Require consistent crisp/crunch/fried/breaded texture, not an optional variant.</x:v>
      </x:c>
      <x:c r="H7" t="str">
        <x:v>Variant split warning</x:v>
      </x:c>
      <x:c r="I7" t="n">
        <x:f>COUNTIF($P$13:$P$212,"VARIANT SPLIT / RETAG")</x:f>
        <x:v>1</x:v>
      </x:c>
      <x:c r="J7" t="str">
        <x:v>Mixed variants make one tag unreliable</x:v>
      </x:c>
      <x:c r="K7" t="str">
        <x:v>ACTION</x:v>
      </x:c>
      <x:c r="M7" t="str">
        <x:v>Crispy</x:v>
      </x:c>
      <x:c r="N7" t="n">
        <x:f>B7</x:f>
        <x:v>27</x:v>
      </x:c>
      <x:c r="O7" t="n">
        <x:f>E7</x:f>
        <x:v>25</x:v>
      </x:c>
    </x:row>
    <x:row r="8">
      <x:c r="A8" t="str">
        <x:v>tangy</x:v>
      </x:c>
      <x:c r="B8" t="n">
        <x:f>COUNTIF(Dishes!$G$5:$I$204,A8)</x:f>
        <x:v>25</x:v>
      </x:c>
      <x:c r="C8" t="n">
        <x:f>COUNTIF($M$13:$M$212,"ADD")</x:f>
        <x:v>1</x:v>
      </x:c>
      <x:c r="D8" t="n">
        <x:f>COUNTIF($M$13:$M$212,"REMOVE")</x:f>
        <x:v>7</x:v>
      </x:c>
      <x:c r="E8" t="n">
        <x:f>B8+C8-D8</x:f>
        <x:v>19</x:v>
      </x:c>
      <x:c r="F8" t="str">
        <x:v>Require meaningful sour/citrus/vinegar/pickled/yogurt-acidic character.</x:v>
      </x:c>
      <x:c r="H8" t="str">
        <x:v>Catalog rows audited</x:v>
      </x:c>
      <x:c r="I8" t="n">
        <x:f>COUNTA($B$13:$B$212)</x:f>
        <x:v>200</x:v>
      </x:c>
      <x:c r="J8" t="str">
        <x:v>All candidate dishes reviewed</x:v>
      </x:c>
      <x:c r="K8" t="str">
        <x:v>GOOD</x:v>
      </x:c>
      <x:c r="M8" t="str">
        <x:v>Tangy</x:v>
      </x:c>
      <x:c r="N8" t="n">
        <x:f>B8</x:f>
        <x:v>25</x:v>
      </x:c>
      <x:c r="O8" t="n">
        <x:f>E8</x:f>
        <x:v>19</x:v>
      </x:c>
    </x:row>
    <x:row r="12" ht="34" customHeight="1">
      <x:c r="A12" s="124" t="str">
        <x:v>#</x:v>
      </x:c>
      <x:c r="B12" s="124" t="str">
        <x:v>dishId</x:v>
      </x:c>
      <x:c r="C12" s="124" t="str">
        <x:v>Dish</x:v>
      </x:c>
      <x:c r="D12" s="124" t="str">
        <x:v>Region</x:v>
      </x:c>
      <x:c r="E12" s="124" t="str">
        <x:v>Food Type</x:v>
      </x:c>
      <x:c r="F12" s="124" t="str">
        <x:v>Current Preference Tags</x:v>
      </x:c>
      <x:c r="G12" s="124" t="str">
        <x:v>Spicy Decision</x:v>
      </x:c>
      <x:c r="H12" s="124" t="str">
        <x:v>Spicy Rationale</x:v>
      </x:c>
      <x:c r="I12" s="124" t="str">
        <x:v>Fresh Decision</x:v>
      </x:c>
      <x:c r="J12" s="124" t="str">
        <x:v>Fresh Rationale</x:v>
      </x:c>
      <x:c r="K12" s="124" t="str">
        <x:v>Crispy Decision</x:v>
      </x:c>
      <x:c r="L12" s="124" t="str">
        <x:v>Crispy Rationale</x:v>
      </x:c>
      <x:c r="M12" s="124" t="str">
        <x:v>Tangy Decision</x:v>
      </x:c>
      <x:c r="N12" s="124" t="str">
        <x:v>Tangy Rationale</x:v>
      </x:c>
      <x:c r="O12" s="124" t="str">
        <x:v>Proposed Preference Tags</x:v>
      </x:c>
      <x:c r="P12" s="124" t="str">
        <x:v>Audit Flag</x:v>
      </x:c>
      <x:c r="Q12" s="124" t="str">
        <x:v>Current Short Description</x:v>
      </x:c>
    </x:row>
    <x:row r="13" ht="62" customHeight="1">
      <x:c r="A13" s="38" t="n">
        <x:v>1</x:v>
      </x:c>
      <x:c r="B13" s="38" t="str">
        <x:v>lort-cha</x:v>
      </x:c>
      <x:c r="C13" s="38" t="str">
        <x:v>Lort Cha</x:v>
      </x:c>
      <x:c r="D13" s="38" t="str">
        <x:v>southeast-asia</x:v>
      </x:c>
      <x:c r="E13" s="38" t="str">
        <x:v>noodle</x:v>
      </x:c>
      <x:c r="F13" s="38" t="str">
        <x:v>comforting</x:v>
      </x:c>
      <x:c r="G13" s="38" t="str">
        <x:v>NO ADD</x:v>
      </x:c>
      <x:c r="H13" s="38" t="str">
        <x:v>No add — the current catalog does not make chile heat or hot-spice intensity a defining trait.</x:v>
      </x:c>
      <x:c r="I13" s="38" t="str">
        <x:v>NO ADD</x:v>
      </x:c>
      <x:c r="J13" s="38" t="str">
        <x:v>No add — the current catalog does not center a bright, raw, herb-forward, vegetable-forward, or light fresh profile.</x:v>
      </x:c>
      <x:c r="K13" s="38" t="str">
        <x:v>NO ADD</x:v>
      </x:c>
      <x:c r="L13" s="38" t="str">
        <x:v>No add — the current catalog does not make crisp, crunchy, breaded, or fried texture a defining part of the dish.</x:v>
      </x:c>
      <x:c r="M13" s="38" t="str">
        <x:v>NO ADD</x:v>
      </x:c>
      <x:c r="N13" s="38" t="str">
        <x:v>No add — the current catalog does not make sour, citrus, vinegar, pickled, yogurt-acidic, or other tangy notes a defining trait.</x:v>
      </x:c>
      <x:c r="O13" s="38" t="str">
        <x:v>comforting</x:v>
      </x:c>
      <x:c r="P13" s="38" t="str">
        <x:v>NO CHANGE</x:v>
      </x:c>
      <x:c r="Q13" s="38" t="str">
        <x:v>Cambodian stir-fried rice noodles with beef, egg, and chives.</x:v>
      </x:c>
    </x:row>
    <x:row r="14" ht="62" customHeight="1">
      <x:c r="A14" s="38" t="n">
        <x:v>2</x:v>
      </x:c>
      <x:c r="B14" s="38" t="str">
        <x:v>mie-goreng</x:v>
      </x:c>
      <x:c r="C14" s="38" t="str">
        <x:v>Mie Goreng</x:v>
      </x:c>
      <x:c r="D14" s="38" t="str">
        <x:v>southeast-asia</x:v>
      </x:c>
      <x:c r="E14" s="38" t="str">
        <x:v>noodle</x:v>
      </x:c>
      <x:c r="F14" s="38" t="str">
        <x:v>NONE</x:v>
      </x:c>
      <x:c r="G14" s="38" t="str">
        <x:v>ADD</x:v>
      </x:c>
      <x:c r="H14" s="38" t="str">
        <x:v>Add — the catalog says mie goreng is often seasoned with sambal, giving it a clear spicy signal and resolving its current no-flavor gap.</x:v>
      </x:c>
      <x:c r="I14" s="38" t="str">
        <x:v>NO ADD</x:v>
      </x:c>
      <x:c r="J14" s="38" t="str">
        <x:v>No add — the current catalog does not center a bright, raw, herb-forward, vegetable-forward, or light fresh profile.</x:v>
      </x:c>
      <x:c r="K14" s="38" t="str">
        <x:v>NO ADD</x:v>
      </x:c>
      <x:c r="L14" s="38" t="str">
        <x:v>No add — the current catalog does not make crisp, crunchy, breaded, or fried texture a defining part of the dish.</x:v>
      </x:c>
      <x:c r="M14" s="38" t="str">
        <x:v>NO ADD</x:v>
      </x:c>
      <x:c r="N14" s="38" t="str">
        <x:v>No add — the current catalog does not make sour, citrus, vinegar, pickled, yogurt-acidic, or other tangy notes a defining trait.</x:v>
      </x:c>
      <x:c r="O14" s="38" t="str">
        <x:v>spicy</x:v>
      </x:c>
      <x:c r="P14" s="38" t="str">
        <x:v>CHANGES RECOMMENDED</x:v>
      </x:c>
      <x:c r="Q14" s="38" t="str">
        <x:v>Indonesian stir-fried noodles with a sweet-savory flavor.</x:v>
      </x:c>
    </x:row>
    <x:row r="15" ht="62" customHeight="1">
      <x:c r="A15" s="38" t="n">
        <x:v>3</x:v>
      </x:c>
      <x:c r="B15" s="38" t="str">
        <x:v>pancit-canton</x:v>
      </x:c>
      <x:c r="C15" s="38" t="str">
        <x:v>Pancit Canton</x:v>
      </x:c>
      <x:c r="D15" s="38" t="str">
        <x:v>southeast-asia</x:v>
      </x:c>
      <x:c r="E15" s="38" t="str">
        <x:v>noodle</x:v>
      </x:c>
      <x:c r="F15" s="38" t="str">
        <x:v>comforting</x:v>
      </x:c>
      <x:c r="G15" s="38" t="str">
        <x:v>NO ADD</x:v>
      </x:c>
      <x:c r="H15" s="38" t="str">
        <x:v>No add — the current catalog does not make chile heat or hot-spice intensity a defining trait.</x:v>
      </x:c>
      <x:c r="I15" s="38" t="str">
        <x:v>NO ADD</x:v>
      </x:c>
      <x:c r="J15" s="38" t="str">
        <x:v>No add — the current catalog does not center a bright, raw, herb-forward, vegetable-forward, or light fresh profile.</x:v>
      </x:c>
      <x:c r="K15" s="38" t="str">
        <x:v>NO ADD</x:v>
      </x:c>
      <x:c r="L15" s="38" t="str">
        <x:v>No add — the current catalog does not make crisp, crunchy, breaded, or fried texture a defining part of the dish.</x:v>
      </x:c>
      <x:c r="M15" s="38" t="str">
        <x:v>NO ADD</x:v>
      </x:c>
      <x:c r="N15" s="38" t="str">
        <x:v>No add — the current catalog does not make sour, citrus, vinegar, pickled, yogurt-acidic, or other tangy notes a defining trait.</x:v>
      </x:c>
      <x:c r="O15" s="38" t="str">
        <x:v>comforting</x:v>
      </x:c>
      <x:c r="P15" s="38" t="str">
        <x:v>NO CHANGE</x:v>
      </x:c>
      <x:c r="Q15" s="38" t="str">
        <x:v>Filipino stir-fried noodles with vegetables and meat or seafood.</x:v>
      </x:c>
    </x:row>
    <x:row r="16" ht="62" customHeight="1">
      <x:c r="A16" s="38" t="n">
        <x:v>4</x:v>
      </x:c>
      <x:c r="B16" s="38" t="str">
        <x:v>char-kway-teow</x:v>
      </x:c>
      <x:c r="C16" s="38" t="str">
        <x:v>Char Kway Teow</x:v>
      </x:c>
      <x:c r="D16" s="38" t="str">
        <x:v>southeast-asia</x:v>
      </x:c>
      <x:c r="E16" s="38" t="str">
        <x:v>noodle</x:v>
      </x:c>
      <x:c r="F16" s="38" t="str">
        <x:v>rich</x:v>
      </x:c>
      <x:c r="G16" s="38" t="str">
        <x:v>NO ADD</x:v>
      </x:c>
      <x:c r="H16" s="38" t="str">
        <x:v>No add — the current catalog does not make chile heat or hot-spice intensity a defining trait.</x:v>
      </x:c>
      <x:c r="I16" s="38" t="str">
        <x:v>NO ADD</x:v>
      </x:c>
      <x:c r="J16" s="38" t="str">
        <x:v>No add — the current catalog does not center a bright, raw, herb-forward, vegetable-forward, or light fresh profile.</x:v>
      </x:c>
      <x:c r="K16" s="38" t="str">
        <x:v>NO ADD</x:v>
      </x:c>
      <x:c r="L16" s="38" t="str">
        <x:v>No add — the current catalog does not make crisp, crunchy, breaded, or fried texture a defining part of the dish.</x:v>
      </x:c>
      <x:c r="M16" s="38" t="str">
        <x:v>NO ADD</x:v>
      </x:c>
      <x:c r="N16" s="38" t="str">
        <x:v>No add — the current catalog does not make sour, citrus, vinegar, pickled, yogurt-acidic, or other tangy notes a defining trait.</x:v>
      </x:c>
      <x:c r="O16" s="38" t="str">
        <x:v>rich</x:v>
      </x:c>
      <x:c r="P16" s="38" t="str">
        <x:v>NO CHANGE</x:v>
      </x:c>
      <x:c r="Q16" s="38" t="str">
        <x:v>Malaysian stir-fried flat rice noodles with a smoky, savory flavor.</x:v>
      </x:c>
    </x:row>
    <x:row r="17" ht="62" customHeight="1">
      <x:c r="A17" s="38" t="n">
        <x:v>5</x:v>
      </x:c>
      <x:c r="B17" s="38" t="str">
        <x:v>mi-quang</x:v>
      </x:c>
      <x:c r="C17" s="38" t="str">
        <x:v>Mì Quảng</x:v>
      </x:c>
      <x:c r="D17" s="38" t="str">
        <x:v>southeast-asia</x:v>
      </x:c>
      <x:c r="E17" s="38" t="str">
        <x:v>noodle</x:v>
      </x:c>
      <x:c r="F17" s="38" t="str">
        <x:v>fresh</x:v>
      </x:c>
      <x:c r="G17" s="38" t="str">
        <x:v>NO ADD</x:v>
      </x:c>
      <x:c r="H17" s="38" t="str">
        <x:v>No add — the current catalog does not make chile heat or hot-spice intensity a defining trait.</x:v>
      </x:c>
      <x:c r="I17" s="38" t="str">
        <x:v>KEEP</x:v>
      </x:c>
      <x:c r="J17" s="38" t="str">
        <x:v>Keep — the current catalog supports fresh through herbs; it is specific enough to remain a recommendation signal.</x:v>
      </x:c>
      <x:c r="K17" s="38" t="str">
        <x:v>NO ADD</x:v>
      </x:c>
      <x:c r="L17" s="38" t="str">
        <x:v>No add — the current catalog does not make crisp, crunchy, breaded, or fried texture a defining part of the dish.</x:v>
      </x:c>
      <x:c r="M17" s="38" t="str">
        <x:v>NO ADD</x:v>
      </x:c>
      <x:c r="N17" s="38" t="str">
        <x:v>No add — the current catalog does not make sour, citrus, vinegar, pickled, yogurt-acidic, or other tangy notes a defining trait.</x:v>
      </x:c>
      <x:c r="O17" s="38" t="str">
        <x:v>fresh</x:v>
      </x:c>
      <x:c r="P17" s="38" t="str">
        <x:v>NO CHANGE</x:v>
      </x:c>
      <x:c r="Q17" s="38" t="str">
        <x:v>Vietnamese turmeric noodles with herbs, peanuts, and a little rich broth.</x:v>
      </x:c>
    </x:row>
    <x:row r="18" ht="62" customHeight="1">
      <x:c r="A18" s="38" t="n">
        <x:v>6</x:v>
      </x:c>
      <x:c r="B18" s="38" t="str">
        <x:v>hokkien-mee</x:v>
      </x:c>
      <x:c r="C18" s="38" t="str">
        <x:v>Hokkien Mee</x:v>
      </x:c>
      <x:c r="D18" s="38" t="str">
        <x:v>southeast-asia</x:v>
      </x:c>
      <x:c r="E18" s="38" t="str">
        <x:v>noodle</x:v>
      </x:c>
      <x:c r="F18" s="38" t="str">
        <x:v>rich</x:v>
      </x:c>
      <x:c r="G18" s="38" t="str">
        <x:v>NO ADD</x:v>
      </x:c>
      <x:c r="H18" s="38" t="str">
        <x:v>No add — the current catalog does not make chile heat or hot-spice intensity a defining trait.</x:v>
      </x:c>
      <x:c r="I18" s="38" t="str">
        <x:v>NO ADD</x:v>
      </x:c>
      <x:c r="J18" s="38" t="str">
        <x:v>No add — the current catalog does not center a bright, raw, herb-forward, vegetable-forward, or light fresh profile.</x:v>
      </x:c>
      <x:c r="K18" s="38" t="str">
        <x:v>NO ADD</x:v>
      </x:c>
      <x:c r="L18" s="38" t="str">
        <x:v>No add — the current catalog does not make crisp, crunchy, breaded, or fried texture a defining part of the dish.</x:v>
      </x:c>
      <x:c r="M18" s="38" t="str">
        <x:v>NO ADD</x:v>
      </x:c>
      <x:c r="N18" s="38" t="str">
        <x:v>No add — the current catalog does not make sour, citrus, vinegar, pickled, yogurt-acidic, or other tangy notes a defining trait.</x:v>
      </x:c>
      <x:c r="O18" s="38" t="str">
        <x:v>rich</x:v>
      </x:c>
      <x:c r="P18" s="38" t="str">
        <x:v>NO CHANGE</x:v>
      </x:c>
      <x:c r="Q18" s="38" t="str">
        <x:v>Singaporean noodles tossed in a rich, savory seafood sauce.</x:v>
      </x:c>
    </x:row>
    <x:row r="19" ht="62" customHeight="1">
      <x:c r="A19" s="38" t="n">
        <x:v>7</x:v>
      </x:c>
      <x:c r="B19" s="38" t="str">
        <x:v>kolo-mee</x:v>
      </x:c>
      <x:c r="C19" s="38" t="str">
        <x:v>Kolo Mee</x:v>
      </x:c>
      <x:c r="D19" s="38" t="str">
        <x:v>southeast-asia</x:v>
      </x:c>
      <x:c r="E19" s="38" t="str">
        <x:v>noodle</x:v>
      </x:c>
      <x:c r="F19" s="38" t="str">
        <x:v>comforting</x:v>
      </x:c>
      <x:c r="G19" s="38" t="str">
        <x:v>NO ADD</x:v>
      </x:c>
      <x:c r="H19" s="38" t="str">
        <x:v>No add — the current catalog does not make chile heat or hot-spice intensity a defining trait.</x:v>
      </x:c>
      <x:c r="I19" s="38" t="str">
        <x:v>NO ADD</x:v>
      </x:c>
      <x:c r="J19" s="38" t="str">
        <x:v>No add — the current catalog does not center a bright, raw, herb-forward, vegetable-forward, or light fresh profile.</x:v>
      </x:c>
      <x:c r="K19" s="38" t="str">
        <x:v>NO ADD</x:v>
      </x:c>
      <x:c r="L19" s="38" t="str">
        <x:v>No add — the current catalog does not make crisp, crunchy, breaded, or fried texture a defining part of the dish.</x:v>
      </x:c>
      <x:c r="M19" s="38" t="str">
        <x:v>NO ADD</x:v>
      </x:c>
      <x:c r="N19" s="38" t="str">
        <x:v>No add — the current catalog does not make sour, citrus, vinegar, pickled, yogurt-acidic, or other tangy notes a defining trait.</x:v>
      </x:c>
      <x:c r="O19" s="38" t="str">
        <x:v>comforting</x:v>
      </x:c>
      <x:c r="P19" s="38" t="str">
        <x:v>NO CHANGE</x:v>
      </x:c>
      <x:c r="Q19" s="38" t="str">
        <x:v>Springy Malaysian dry noodles with savory sauce and flavorful toppings.</x:v>
      </x:c>
    </x:row>
    <x:row r="20" ht="62" customHeight="1">
      <x:c r="A20" s="38" t="n">
        <x:v>8</x:v>
      </x:c>
      <x:c r="B20" s="38" t="str">
        <x:v>pancit-bihon</x:v>
      </x:c>
      <x:c r="C20" s="38" t="str">
        <x:v>Pancit Bihon</x:v>
      </x:c>
      <x:c r="D20" s="38" t="str">
        <x:v>southeast-asia</x:v>
      </x:c>
      <x:c r="E20" s="38" t="str">
        <x:v>noodle</x:v>
      </x:c>
      <x:c r="F20" s="38" t="str">
        <x:v>comforting</x:v>
      </x:c>
      <x:c r="G20" s="38" t="str">
        <x:v>NO ADD</x:v>
      </x:c>
      <x:c r="H20" s="38" t="str">
        <x:v>No add — the current catalog does not make chile heat or hot-spice intensity a defining trait.</x:v>
      </x:c>
      <x:c r="I20" s="38" t="str">
        <x:v>NO ADD</x:v>
      </x:c>
      <x:c r="J20" s="38" t="str">
        <x:v>No add — the current catalog does not center a bright, raw, herb-forward, vegetable-forward, or light fresh profile.</x:v>
      </x:c>
      <x:c r="K20" s="38" t="str">
        <x:v>NO ADD</x:v>
      </x:c>
      <x:c r="L20" s="38" t="str">
        <x:v>No add — the current catalog does not make crisp, crunchy, breaded, or fried texture a defining part of the dish.</x:v>
      </x:c>
      <x:c r="M20" s="38" t="str">
        <x:v>NO ADD</x:v>
      </x:c>
      <x:c r="N20" s="38" t="str">
        <x:v>No add — the current catalog does not make sour, citrus, vinegar, pickled, yogurt-acidic, or other tangy notes a defining trait.</x:v>
      </x:c>
      <x:c r="O20" s="38" t="str">
        <x:v>comforting</x:v>
      </x:c>
      <x:c r="P20" s="38" t="str">
        <x:v>NO CHANGE</x:v>
      </x:c>
      <x:c r="Q20" s="38" t="str">
        <x:v>Filipino rice noodles stir-fried with vegetables and your choice of protein.</x:v>
      </x:c>
    </x:row>
    <x:row r="21" ht="62" customHeight="1">
      <x:c r="A21" s="38" t="n">
        <x:v>9</x:v>
      </x:c>
      <x:c r="B21" s="38" t="str">
        <x:v>cao-lau</x:v>
      </x:c>
      <x:c r="C21" s="38" t="str">
        <x:v>Cao Lầu</x:v>
      </x:c>
      <x:c r="D21" s="38" t="str">
        <x:v>southeast-asia</x:v>
      </x:c>
      <x:c r="E21" s="38" t="str">
        <x:v>noodle</x:v>
      </x:c>
      <x:c r="F21" s="38" t="str">
        <x:v>fresh | crispy</x:v>
      </x:c>
      <x:c r="G21" s="38" t="str">
        <x:v>NO ADD</x:v>
      </x:c>
      <x:c r="H21" s="38" t="str">
        <x:v>No add — the current catalog does not make chile heat or hot-spice intensity a defining trait.</x:v>
      </x:c>
      <x:c r="I21" s="38" t="str">
        <x:v>KEEP</x:v>
      </x:c>
      <x:c r="J21" s="38" t="str">
        <x:v>Keep — the current catalog supports fresh through fresh greens; it is specific enough to remain a recommendation signal.</x:v>
      </x:c>
      <x:c r="K21" s="38" t="str">
        <x:v>KEEP</x:v>
      </x:c>
      <x:c r="L21" s="38" t="str">
        <x:v>Keep — the current catalog supports crispy through explicit crispiness; it is specific enough to remain a recommendation signal.</x:v>
      </x:c>
      <x:c r="M21" s="38" t="str">
        <x:v>NO ADD</x:v>
      </x:c>
      <x:c r="N21" s="38" t="str">
        <x:v>No add — the current catalog does not make sour, citrus, vinegar, pickled, yogurt-acidic, or other tangy notes a defining trait.</x:v>
      </x:c>
      <x:c r="O21" s="38" t="str">
        <x:v>fresh | crispy</x:v>
      </x:c>
      <x:c r="P21" s="38" t="str">
        <x:v>NO CHANGE</x:v>
      </x:c>
      <x:c r="Q21" s="38" t="str">
        <x:v>Chewy Vietnamese noodles with pork, herbs, greens, and crispy toppings.</x:v>
      </x:c>
    </x:row>
    <x:row r="22" ht="62" customHeight="1">
      <x:c r="A22" s="38" t="n">
        <x:v>10</x:v>
      </x:c>
      <x:c r="B22" s="38" t="str">
        <x:v>num-banh-chok</x:v>
      </x:c>
      <x:c r="C22" s="38" t="str">
        <x:v>Num Banh Chok</x:v>
      </x:c>
      <x:c r="D22" s="38" t="str">
        <x:v>southeast-asia</x:v>
      </x:c>
      <x:c r="E22" s="38" t="str">
        <x:v>noodle</x:v>
      </x:c>
      <x:c r="F22" s="38" t="str">
        <x:v>fresh | comforting</x:v>
      </x:c>
      <x:c r="G22" s="38" t="str">
        <x:v>NO ADD</x:v>
      </x:c>
      <x:c r="H22" s="38" t="str">
        <x:v>No add — the current catalog does not make chile heat or hot-spice intensity a defining trait.</x:v>
      </x:c>
      <x:c r="I22" s="38" t="str">
        <x:v>KEEP</x:v>
      </x:c>
      <x:c r="J22" s="38" t="str">
        <x:v>Keep — the current catalog supports fresh through fresh vegetables; it is specific enough to remain a recommendation signal.</x:v>
      </x:c>
      <x:c r="K22" s="38" t="str">
        <x:v>NO ADD</x:v>
      </x:c>
      <x:c r="L22" s="38" t="str">
        <x:v>No add — the current catalog does not make crisp, crunchy, breaded, or fried texture a defining part of the dish.</x:v>
      </x:c>
      <x:c r="M22" s="38" t="str">
        <x:v>NO ADD</x:v>
      </x:c>
      <x:c r="N22" s="38" t="str">
        <x:v>No add — the current catalog does not make sour, citrus, vinegar, pickled, yogurt-acidic, or other tangy notes a defining trait.</x:v>
      </x:c>
      <x:c r="O22" s="38" t="str">
        <x:v>fresh | comforting</x:v>
      </x:c>
      <x:c r="P22" s="38" t="str">
        <x:v>NO CHANGE</x:v>
      </x:c>
      <x:c r="Q22" s="38" t="str">
        <x:v>Cambodian rice noodles with fragrant curry gravy, herbs, and fresh vegetables.</x:v>
      </x:c>
    </x:row>
    <x:row r="23" ht="62" customHeight="1">
      <x:c r="A23" s="38" t="n">
        <x:v>11</x:v>
      </x:c>
      <x:c r="B23" s="38" t="str">
        <x:v>ramen</x:v>
      </x:c>
      <x:c r="C23" s="38" t="str">
        <x:v>Ramen</x:v>
      </x:c>
      <x:c r="D23" s="38" t="str">
        <x:v>east-asia</x:v>
      </x:c>
      <x:c r="E23" s="38" t="str">
        <x:v>noodle</x:v>
      </x:c>
      <x:c r="F23" s="38" t="str">
        <x:v>comforting</x:v>
      </x:c>
      <x:c r="G23" s="38" t="str">
        <x:v>NO ADD</x:v>
      </x:c>
      <x:c r="H23" s="38" t="str">
        <x:v>No add — the current catalog does not make chile heat or hot-spice intensity a defining trait.</x:v>
      </x:c>
      <x:c r="I23" s="38" t="str">
        <x:v>NO ADD</x:v>
      </x:c>
      <x:c r="J23" s="38" t="str">
        <x:v>No add — the current catalog does not center a bright, raw, herb-forward, vegetable-forward, or light fresh profile.</x:v>
      </x:c>
      <x:c r="K23" s="38" t="str">
        <x:v>NO ADD</x:v>
      </x:c>
      <x:c r="L23" s="38" t="str">
        <x:v>No add — the current catalog does not make crisp, crunchy, breaded, or fried texture a defining part of the dish.</x:v>
      </x:c>
      <x:c r="M23" s="38" t="str">
        <x:v>NO ADD</x:v>
      </x:c>
      <x:c r="N23" s="38" t="str">
        <x:v>No add — the current catalog does not make sour, citrus, vinegar, pickled, yogurt-acidic, or other tangy notes a defining trait.</x:v>
      </x:c>
      <x:c r="O23" s="38" t="str">
        <x:v>comforting</x:v>
      </x:c>
      <x:c r="P23" s="38" t="str">
        <x:v>NO CHANGE</x:v>
      </x:c>
      <x:c r="Q23" s="38" t="str">
        <x:v>Japanese wheat noodles served in a savory broth with varied regional toppings.</x:v>
      </x:c>
    </x:row>
    <x:row r="24" ht="62" customHeight="1">
      <x:c r="A24" s="38" t="n">
        <x:v>12</x:v>
      </x:c>
      <x:c r="B24" s="38" t="str">
        <x:v>bibimbap</x:v>
      </x:c>
      <x:c r="C24" s="38" t="str">
        <x:v>Bibimbap</x:v>
      </x:c>
      <x:c r="D24" s="38" t="str">
        <x:v>east-asia</x:v>
      </x:c>
      <x:c r="E24" s="38" t="str">
        <x:v>rice</x:v>
      </x:c>
      <x:c r="F24" s="38" t="str">
        <x:v>fresh | spicy</x:v>
      </x:c>
      <x:c r="G24" s="38" t="str">
        <x:v>KEEP</x:v>
      </x:c>
      <x:c r="H24" s="38" t="str">
        <x:v>Keep — the catalog centers gochujang as a standard component; retain the spicy signal, while recognizing heat intensity varies by serving.</x:v>
      </x:c>
      <x:c r="I24" s="38" t="str">
        <x:v>KEEP</x:v>
      </x:c>
      <x:c r="J24" s="38" t="str">
        <x:v>Keep — the current catalog framing supports fresh as a meaningful part of the dish, and there is no stronger reason to remove the existing tag.</x:v>
      </x:c>
      <x:c r="K24" s="38" t="str">
        <x:v>NO ADD</x:v>
      </x:c>
      <x:c r="L24" s="38" t="str">
        <x:v>No add — the current catalog does not make crisp, crunchy, breaded, or fried texture a defining part of the dish.</x:v>
      </x:c>
      <x:c r="M24" s="38" t="str">
        <x:v>NO ADD</x:v>
      </x:c>
      <x:c r="N24" s="38" t="str">
        <x:v>No add — the current catalog does not make sour, citrus, vinegar, pickled, yogurt-acidic, or other tangy notes a defining trait.</x:v>
      </x:c>
      <x:c r="O24" s="38" t="str">
        <x:v>fresh | spicy</x:v>
      </x:c>
      <x:c r="P24" s="38" t="str">
        <x:v>NO CHANGE</x:v>
      </x:c>
      <x:c r="Q24" s="38" t="str">
        <x:v>Korean rice topped with seasoned vegetables, gochujang, and often egg or beef.</x:v>
      </x:c>
    </x:row>
    <x:row r="25" ht="62" customHeight="1">
      <x:c r="A25" s="38" t="n">
        <x:v>13</x:v>
      </x:c>
      <x:c r="B25" s="38" t="str">
        <x:v>yakitori</x:v>
      </x:c>
      <x:c r="C25" s="38" t="str">
        <x:v>Yakitori</x:v>
      </x:c>
      <x:c r="D25" s="38" t="str">
        <x:v>east-asia</x:v>
      </x:c>
      <x:c r="E25" s="38" t="str">
        <x:v>grilled-protein</x:v>
      </x:c>
      <x:c r="F25" s="38" t="str">
        <x:v>comforting</x:v>
      </x:c>
      <x:c r="G25" s="38" t="str">
        <x:v>NO ADD</x:v>
      </x:c>
      <x:c r="H25" s="38" t="str">
        <x:v>No add — the current catalog does not make chile heat or hot-spice intensity a defining trait.</x:v>
      </x:c>
      <x:c r="I25" s="38" t="str">
        <x:v>NO ADD</x:v>
      </x:c>
      <x:c r="J25" s="38" t="str">
        <x:v>No add — the current catalog does not center a bright, raw, herb-forward, vegetable-forward, or light fresh profile.</x:v>
      </x:c>
      <x:c r="K25" s="38" t="str">
        <x:v>NO ADD</x:v>
      </x:c>
      <x:c r="L25" s="38" t="str">
        <x:v>No add — the current catalog does not make crisp, crunchy, breaded, or fried texture a defining part of the dish.</x:v>
      </x:c>
      <x:c r="M25" s="38" t="str">
        <x:v>NO ADD</x:v>
      </x:c>
      <x:c r="N25" s="38" t="str">
        <x:v>No add — the current catalog does not make sour, citrus, vinegar, pickled, yogurt-acidic, or other tangy notes a defining trait.</x:v>
      </x:c>
      <x:c r="O25" s="38" t="str">
        <x:v>comforting</x:v>
      </x:c>
      <x:c r="P25" s="38" t="str">
        <x:v>NO CHANGE</x:v>
      </x:c>
      <x:c r="Q25" s="38" t="str">
        <x:v>Japanese skewered chicken grilled over charcoal and seasoned with salt or tare.</x:v>
      </x:c>
    </x:row>
    <x:row r="26" ht="62" customHeight="1">
      <x:c r="A26" s="38" t="n">
        <x:v>14</x:v>
      </x:c>
      <x:c r="B26" s="38" t="str">
        <x:v>biryani</x:v>
      </x:c>
      <x:c r="C26" s="38" t="str">
        <x:v>Biryani</x:v>
      </x:c>
      <x:c r="D26" s="38" t="str">
        <x:v>south-asia</x:v>
      </x:c>
      <x:c r="E26" s="38" t="str">
        <x:v>rice</x:v>
      </x:c>
      <x:c r="F26" s="38" t="str">
        <x:v>rich | spicy</x:v>
      </x:c>
      <x:c r="G26" s="38" t="str">
        <x:v>REMOVE</x:v>
      </x:c>
      <x:c r="H26" s="38" t="str">
        <x:v>Remove — the catalog describes spices, seasoning, curry, or accompaniments without making chile heat a defining trait; the current spicy tag is broader than the text supports.</x:v>
      </x:c>
      <x:c r="I26" s="38" t="str">
        <x:v>NO ADD</x:v>
      </x:c>
      <x:c r="J26" s="38" t="str">
        <x:v>No add — the current catalog does not center a bright, raw, herb-forward, vegetable-forward, or light fresh profile.</x:v>
      </x:c>
      <x:c r="K26" s="38" t="str">
        <x:v>NO ADD</x:v>
      </x:c>
      <x:c r="L26" s="38" t="str">
        <x:v>No add — the current catalog does not make crisp, crunchy, breaded, or fried texture a defining part of the dish.</x:v>
      </x:c>
      <x:c r="M26" s="38" t="str">
        <x:v>NO ADD</x:v>
      </x:c>
      <x:c r="N26" s="38" t="str">
        <x:v>No add — the current catalog does not make sour, citrus, vinegar, pickled, yogurt-acidic, or other tangy notes a defining trait.</x:v>
      </x:c>
      <x:c r="O26" s="38" t="str">
        <x:v>rich</x:v>
      </x:c>
      <x:c r="P26" s="38" t="str">
        <x:v>CHANGES RECOMMENDED</x:v>
      </x:c>
      <x:c r="Q26" s="38" t="str">
        <x:v>Layered South Asian rice with spices, aromatics, and meat or vegetables.</x:v>
      </x:c>
    </x:row>
    <x:row r="27" ht="62" customHeight="1">
      <x:c r="A27" s="38" t="n">
        <x:v>15</x:v>
      </x:c>
      <x:c r="B27" s="38" t="str">
        <x:v>masala-dosa</x:v>
      </x:c>
      <x:c r="C27" s="38" t="str">
        <x:v>Masala Dosa</x:v>
      </x:c>
      <x:c r="D27" s="38" t="str">
        <x:v>south-asia</x:v>
      </x:c>
      <x:c r="E27" s="38" t="str">
        <x:v>handheld</x:v>
      </x:c>
      <x:c r="F27" s="38" t="str">
        <x:v>crispy | tangy</x:v>
      </x:c>
      <x:c r="G27" s="38" t="str">
        <x:v>NO ADD</x:v>
      </x:c>
      <x:c r="H27" s="38" t="str">
        <x:v>No add — the current catalog does not make chile heat or hot-spice intensity a defining trait.</x:v>
      </x:c>
      <x:c r="I27" s="38" t="str">
        <x:v>NO ADD</x:v>
      </x:c>
      <x:c r="J27" s="38" t="str">
        <x:v>No add — the current catalog does not center a bright, raw, herb-forward, vegetable-forward, or light fresh profile.</x:v>
      </x:c>
      <x:c r="K27" s="38" t="str">
        <x:v>KEEP</x:v>
      </x:c>
      <x:c r="L27" s="38" t="str">
        <x:v>Keep — the current catalog supports crispy through explicit crisp texture; it is specific enough to remain a recommendation signal.</x:v>
      </x:c>
      <x:c r="M27" s="38" t="str">
        <x:v>REMOVE</x:v>
      </x:c>
      <x:c r="N27" s="38" t="str">
        <x:v>Remove — acidity is absent, optional, or limited to an accompaniment in the catalog description; tangy is too broad for this row.</x:v>
      </x:c>
      <x:c r="O27" s="38" t="str">
        <x:v>crispy</x:v>
      </x:c>
      <x:c r="P27" s="38" t="str">
        <x:v>CHANGES RECOMMENDED</x:v>
      </x:c>
      <x:c r="Q27" s="38" t="str">
        <x:v>Crisp South Indian dosa filled with spiced potato and served with chutney and sambar.</x:v>
      </x:c>
    </x:row>
    <x:row r="28" ht="62" customHeight="1">
      <x:c r="A28" s="38" t="n">
        <x:v>16</x:v>
      </x:c>
      <x:c r="B28" s="38" t="str">
        <x:v>mansaf</x:v>
      </x:c>
      <x:c r="C28" s="38" t="str">
        <x:v>Mansaf</x:v>
      </x:c>
      <x:c r="D28" s="38" t="str">
        <x:v>middle-east</x:v>
      </x:c>
      <x:c r="E28" s="38" t="str">
        <x:v>rice</x:v>
      </x:c>
      <x:c r="F28" s="38" t="str">
        <x:v>rich | tangy</x:v>
      </x:c>
      <x:c r="G28" s="38" t="str">
        <x:v>NO ADD</x:v>
      </x:c>
      <x:c r="H28" s="38" t="str">
        <x:v>No add — the current catalog does not make chile heat or hot-spice intensity a defining trait.</x:v>
      </x:c>
      <x:c r="I28" s="38" t="str">
        <x:v>NO ADD</x:v>
      </x:c>
      <x:c r="J28" s="38" t="str">
        <x:v>No add — the current catalog does not center a bright, raw, herb-forward, vegetable-forward, or light fresh profile.</x:v>
      </x:c>
      <x:c r="K28" s="38" t="str">
        <x:v>NO ADD</x:v>
      </x:c>
      <x:c r="L28" s="38" t="str">
        <x:v>No add — the current catalog does not make crisp, crunchy, breaded, or fried texture a defining part of the dish.</x:v>
      </x:c>
      <x:c r="M28" s="38" t="str">
        <x:v>KEEP</x:v>
      </x:c>
      <x:c r="N28" s="38" t="str">
        <x:v>Keep — the current catalog supports tangy through yogurt-based acidity; it is specific enough to remain a recommendation signal.</x:v>
      </x:c>
      <x:c r="O28" s="38" t="str">
        <x:v>rich | tangy</x:v>
      </x:c>
      <x:c r="P28" s="38" t="str">
        <x:v>NO CHANGE</x:v>
      </x:c>
      <x:c r="Q28" s="38" t="str">
        <x:v>Jordanian lamb with jameed yogurt sauce, rice or bulgur, and flatbread.</x:v>
      </x:c>
    </x:row>
    <x:row r="29" ht="62" customHeight="1">
      <x:c r="A29" s="38" t="n">
        <x:v>17</x:v>
      </x:c>
      <x:c r="B29" s="38" t="str">
        <x:v>shish-taouk</x:v>
      </x:c>
      <x:c r="C29" s="38" t="str">
        <x:v>Shish Taouk</x:v>
      </x:c>
      <x:c r="D29" s="38" t="str">
        <x:v>middle-east</x:v>
      </x:c>
      <x:c r="E29" s="38" t="str">
        <x:v>grilled-protein</x:v>
      </x:c>
      <x:c r="F29" s="38" t="str">
        <x:v>fresh | tangy</x:v>
      </x:c>
      <x:c r="G29" s="38" t="str">
        <x:v>NO ADD</x:v>
      </x:c>
      <x:c r="H29" s="38" t="str">
        <x:v>No add — the current catalog does not make chile heat or hot-spice intensity a defining trait.</x:v>
      </x:c>
      <x:c r="I29" s="38" t="str">
        <x:v>REMOVE</x:v>
      </x:c>
      <x:c r="J29" s="38" t="str">
        <x:v>Remove — the catalog describes a cooked, grilled, baked, or hearty preparation; any vegetables, herbs, or garnishes are not central enough to make fresh a defining recommendation trait.</x:v>
      </x:c>
      <x:c r="K29" s="38" t="str">
        <x:v>NO ADD</x:v>
      </x:c>
      <x:c r="L29" s="38" t="str">
        <x:v>No add — the current catalog does not make crisp, crunchy, breaded, or fried texture a defining part of the dish.</x:v>
      </x:c>
      <x:c r="M29" s="38" t="str">
        <x:v>KEEP</x:v>
      </x:c>
      <x:c r="N29" s="38" t="str">
        <x:v>Keep — the catalog says the marinade commonly includes citrus and yogurt, directly supporting a tangy profile.</x:v>
      </x:c>
      <x:c r="O29" s="38" t="str">
        <x:v>tangy</x:v>
      </x:c>
      <x:c r="P29" s="38" t="str">
        <x:v>CHANGES RECOMMENDED</x:v>
      </x:c>
      <x:c r="Q29" s="38" t="str">
        <x:v>Marinated chicken skewers grilled until charred, common across Middle Eastern cuisines.</x:v>
      </x:c>
    </x:row>
    <x:row r="30" ht="62" customHeight="1">
      <x:c r="A30" s="38" t="n">
        <x:v>18</x:v>
      </x:c>
      <x:c r="B30" s="38" t="str">
        <x:v>harira</x:v>
      </x:c>
      <x:c r="C30" s="38" t="str">
        <x:v>Harira</x:v>
      </x:c>
      <x:c r="D30" s="38" t="str">
        <x:v>africa</x:v>
      </x:c>
      <x:c r="E30" s="38" t="str">
        <x:v>soup-broth</x:v>
      </x:c>
      <x:c r="F30" s="38" t="str">
        <x:v>comforting</x:v>
      </x:c>
      <x:c r="G30" s="38" t="str">
        <x:v>NO ADD</x:v>
      </x:c>
      <x:c r="H30" s="38" t="str">
        <x:v>No add — the current catalog does not make chile heat or hot-spice intensity a defining trait.</x:v>
      </x:c>
      <x:c r="I30" s="38" t="str">
        <x:v>NO ADD</x:v>
      </x:c>
      <x:c r="J30" s="38" t="str">
        <x:v>No add — the current catalog does not center a bright, raw, herb-forward, vegetable-forward, or light fresh profile.</x:v>
      </x:c>
      <x:c r="K30" s="38" t="str">
        <x:v>NO ADD</x:v>
      </x:c>
      <x:c r="L30" s="38" t="str">
        <x:v>No add — the current catalog does not make crisp, crunchy, breaded, or fried texture a defining part of the dish.</x:v>
      </x:c>
      <x:c r="M30" s="38" t="str">
        <x:v>NO ADD</x:v>
      </x:c>
      <x:c r="N30" s="38" t="str">
        <x:v>No add — the current catalog does not make sour, citrus, vinegar, pickled, yogurt-acidic, or other tangy notes a defining trait.</x:v>
      </x:c>
      <x:c r="O30" s="38" t="str">
        <x:v>comforting</x:v>
      </x:c>
      <x:c r="P30" s="38" t="str">
        <x:v>NO CHANGE</x:v>
      </x:c>
      <x:c r="Q30" s="38" t="str">
        <x:v>Moroccan tomato, lentil, and chickpea soup often enriched with meat and vermicelli.</x:v>
      </x:c>
    </x:row>
    <x:row r="31" ht="62" customHeight="1">
      <x:c r="A31" s="38" t="n">
        <x:v>19</x:v>
      </x:c>
      <x:c r="B31" s="38" t="str">
        <x:v>suya</x:v>
      </x:c>
      <x:c r="C31" s="38" t="str">
        <x:v>Suya</x:v>
      </x:c>
      <x:c r="D31" s="38" t="str">
        <x:v>africa</x:v>
      </x:c>
      <x:c r="E31" s="38" t="str">
        <x:v>grilled-protein</x:v>
      </x:c>
      <x:c r="F31" s="38" t="str">
        <x:v>spicy</x:v>
      </x:c>
      <x:c r="G31" s="38" t="str">
        <x:v>KEEP</x:v>
      </x:c>
      <x:c r="H31" s="38" t="str">
        <x:v>Keep — the current catalog supports spicy through explicitly described as spicy; it is specific enough to remain a recommendation signal.</x:v>
      </x:c>
      <x:c r="I31" s="38" t="str">
        <x:v>NO ADD</x:v>
      </x:c>
      <x:c r="J31" s="38" t="str">
        <x:v>No add — the current catalog does not center a bright, raw, herb-forward, vegetable-forward, or light fresh profile.</x:v>
      </x:c>
      <x:c r="K31" s="38" t="str">
        <x:v>NO ADD</x:v>
      </x:c>
      <x:c r="L31" s="38" t="str">
        <x:v>No add — the current catalog does not make crisp, crunchy, breaded, or fried texture a defining part of the dish.</x:v>
      </x:c>
      <x:c r="M31" s="38" t="str">
        <x:v>NO ADD</x:v>
      </x:c>
      <x:c r="N31" s="38" t="str">
        <x:v>No add — the current catalog does not make sour, citrus, vinegar, pickled, yogurt-acidic, or other tangy notes a defining trait.</x:v>
      </x:c>
      <x:c r="O31" s="38" t="str">
        <x:v>spicy</x:v>
      </x:c>
      <x:c r="P31" s="38" t="str">
        <x:v>NO CHANGE</x:v>
      </x:c>
      <x:c r="Q31" s="38" t="str">
        <x:v>Nigerian grilled meat skewers coated in a spicy, nutty yaji seasoning.</x:v>
      </x:c>
    </x:row>
    <x:row r="32" ht="62" customHeight="1">
      <x:c r="A32" s="38" t="n">
        <x:v>20</x:v>
      </x:c>
      <x:c r="B32" s="38" t="str">
        <x:v>carbonara</x:v>
      </x:c>
      <x:c r="C32" s="38" t="str">
        <x:v>Spaghetti Carbonara</x:v>
      </x:c>
      <x:c r="D32" s="38" t="str">
        <x:v>europe</x:v>
      </x:c>
      <x:c r="E32" s="38" t="str">
        <x:v>noodle</x:v>
      </x:c>
      <x:c r="F32" s="38" t="str">
        <x:v>rich | comforting</x:v>
      </x:c>
      <x:c r="G32" s="38" t="str">
        <x:v>NO ADD</x:v>
      </x:c>
      <x:c r="H32" s="38" t="str">
        <x:v>No add — the current catalog does not make chile heat or hot-spice intensity a defining trait.</x:v>
      </x:c>
      <x:c r="I32" s="38" t="str">
        <x:v>NO ADD</x:v>
      </x:c>
      <x:c r="J32" s="38" t="str">
        <x:v>No add — the current catalog does not center a bright, raw, herb-forward, vegetable-forward, or light fresh profile.</x:v>
      </x:c>
      <x:c r="K32" s="38" t="str">
        <x:v>NO ADD</x:v>
      </x:c>
      <x:c r="L32" s="38" t="str">
        <x:v>No add — the current catalog does not make crisp, crunchy, breaded, or fried texture a defining part of the dish.</x:v>
      </x:c>
      <x:c r="M32" s="38" t="str">
        <x:v>NO ADD</x:v>
      </x:c>
      <x:c r="N32" s="38" t="str">
        <x:v>No add — the current catalog does not make sour, citrus, vinegar, pickled, yogurt-acidic, or other tangy notes a defining trait.</x:v>
      </x:c>
      <x:c r="O32" s="38" t="str">
        <x:v>rich | comforting</x:v>
      </x:c>
      <x:c r="P32" s="38" t="str">
        <x:v>NO CHANGE</x:v>
      </x:c>
      <x:c r="Q32" s="38" t="str">
        <x:v>Roman pasta with egg, cured pork, hard cheese, and black pepper.</x:v>
      </x:c>
    </x:row>
    <x:row r="33" ht="62" customHeight="1">
      <x:c r="A33" s="38" t="n">
        <x:v>21</x:v>
      </x:c>
      <x:c r="B33" s="38" t="str">
        <x:v>french-onion-soup</x:v>
      </x:c>
      <x:c r="C33" s="38" t="str">
        <x:v>French Onion Soup</x:v>
      </x:c>
      <x:c r="D33" s="38" t="str">
        <x:v>europe</x:v>
      </x:c>
      <x:c r="E33" s="38" t="str">
        <x:v>soup-broth</x:v>
      </x:c>
      <x:c r="F33" s="38" t="str">
        <x:v>rich | comforting</x:v>
      </x:c>
      <x:c r="G33" s="38" t="str">
        <x:v>NO ADD</x:v>
      </x:c>
      <x:c r="H33" s="38" t="str">
        <x:v>No add — the current catalog does not make chile heat or hot-spice intensity a defining trait.</x:v>
      </x:c>
      <x:c r="I33" s="38" t="str">
        <x:v>NO ADD</x:v>
      </x:c>
      <x:c r="J33" s="38" t="str">
        <x:v>No add — the current catalog does not center a bright, raw, herb-forward, vegetable-forward, or light fresh profile.</x:v>
      </x:c>
      <x:c r="K33" s="38" t="str">
        <x:v>NO ADD</x:v>
      </x:c>
      <x:c r="L33" s="38" t="str">
        <x:v>No add — the current catalog does not make crisp, crunchy, breaded, or fried texture a defining part of the dish.</x:v>
      </x:c>
      <x:c r="M33" s="38" t="str">
        <x:v>NO ADD</x:v>
      </x:c>
      <x:c r="N33" s="38" t="str">
        <x:v>No add — the current catalog does not make sour, citrus, vinegar, pickled, yogurt-acidic, or other tangy notes a defining trait.</x:v>
      </x:c>
      <x:c r="O33" s="38" t="str">
        <x:v>rich | comforting</x:v>
      </x:c>
      <x:c r="P33" s="38" t="str">
        <x:v>NO CHANGE</x:v>
      </x:c>
      <x:c r="Q33" s="38" t="str">
        <x:v>French onion soup with deeply cooked onions, broth, bread, and melted cheese.</x:v>
      </x:c>
    </x:row>
    <x:row r="34" ht="62" customHeight="1">
      <x:c r="A34" s="38" t="n">
        <x:v>22</x:v>
      </x:c>
      <x:c r="B34" s="38" t="str">
        <x:v>tacos-al-pastor</x:v>
      </x:c>
      <x:c r="C34" s="38" t="str">
        <x:v>Tacos al Pastor</x:v>
      </x:c>
      <x:c r="D34" s="38" t="str">
        <x:v>latin-america</x:v>
      </x:c>
      <x:c r="E34" s="38" t="str">
        <x:v>handheld</x:v>
      </x:c>
      <x:c r="F34" s="38" t="str">
        <x:v>spicy | tangy</x:v>
      </x:c>
      <x:c r="G34" s="38" t="str">
        <x:v>REMOVE</x:v>
      </x:c>
      <x:c r="H34" s="38" t="str">
        <x:v>Remove — the catalog describes spices, seasoning, curry, or accompaniments without making chile heat a defining trait; the current spicy tag is broader than the text supports.</x:v>
      </x:c>
      <x:c r="I34" s="38" t="str">
        <x:v>ADD</x:v>
      </x:c>
      <x:c r="J34" s="38" t="str">
        <x:v>Add — the catalog consistently serves the tacos with onion, cilantro, and pineapple, giving the dish a meaningful fresh component.</x:v>
      </x:c>
      <x:c r="K34" s="38" t="str">
        <x:v>NO ADD</x:v>
      </x:c>
      <x:c r="L34" s="38" t="str">
        <x:v>No add — the current catalog does not make crisp, crunchy, breaded, or fried texture a defining part of the dish.</x:v>
      </x:c>
      <x:c r="M34" s="38" t="str">
        <x:v>REMOVE</x:v>
      </x:c>
      <x:c r="N34" s="38" t="str">
        <x:v>Remove — acidity is absent, optional, or limited to an accompaniment in the catalog description; tangy is too broad for this row.</x:v>
      </x:c>
      <x:c r="O34" s="38" t="str">
        <x:v>fresh</x:v>
      </x:c>
      <x:c r="P34" s="38" t="str">
        <x:v>CHANGES RECOMMENDED</x:v>
      </x:c>
      <x:c r="Q34" s="38" t="str">
        <x:v>Mexican tacos with spit-grilled marinated pork, onion, cilantro, and pineapple.</x:v>
      </x:c>
    </x:row>
    <x:row r="35" ht="62" customHeight="1">
      <x:c r="A35" s="38" t="n">
        <x:v>23</x:v>
      </x:c>
      <x:c r="B35" s="38" t="str">
        <x:v>sopa-de-lima</x:v>
      </x:c>
      <x:c r="C35" s="38" t="str">
        <x:v>Sopa de Lima</x:v>
      </x:c>
      <x:c r="D35" s="38" t="str">
        <x:v>latin-america</x:v>
      </x:c>
      <x:c r="E35" s="38" t="str">
        <x:v>soup-broth</x:v>
      </x:c>
      <x:c r="F35" s="38" t="str">
        <x:v>fresh | tangy</x:v>
      </x:c>
      <x:c r="G35" s="38" t="str">
        <x:v>NO ADD</x:v>
      </x:c>
      <x:c r="H35" s="38" t="str">
        <x:v>No add — the current catalog does not make chile heat or hot-spice intensity a defining trait.</x:v>
      </x:c>
      <x:c r="I35" s="38" t="str">
        <x:v>KEEP</x:v>
      </x:c>
      <x:c r="J35" s="38" t="str">
        <x:v>Keep — the current catalog supports fresh through a light citrus-forward broth; it is specific enough to remain a recommendation signal.</x:v>
      </x:c>
      <x:c r="K35" s="38" t="str">
        <x:v>ADD</x:v>
      </x:c>
      <x:c r="L35" s="38" t="str">
        <x:v>Add — crisp tortilla strips are explicitly part of the catalog description and provide a defining contrasting texture.</x:v>
      </x:c>
      <x:c r="M35" s="38" t="str">
        <x:v>KEEP</x:v>
      </x:c>
      <x:c r="N35" s="38" t="str">
        <x:v>Keep — the current catalog supports tangy through citrus; it is specific enough to remain a recommendation signal.</x:v>
      </x:c>
      <x:c r="O35" s="38" t="str">
        <x:v>fresh | tangy | crispy</x:v>
      </x:c>
      <x:c r="P35" s="38" t="str">
        <x:v>CHANGES RECOMMENDED</x:v>
      </x:c>
      <x:c r="Q35" s="38" t="str">
        <x:v>Yucatecan chicken soup brightened with lime and topped with crisp tortilla strips.</x:v>
      </x:c>
    </x:row>
    <x:row r="36" ht="62" customHeight="1">
      <x:c r="A36" s="38" t="n">
        <x:v>24</x:v>
      </x:c>
      <x:c r="B36" s="38" t="str">
        <x:v>jambalaya</x:v>
      </x:c>
      <x:c r="C36" s="38" t="str">
        <x:v>Jambalaya</x:v>
      </x:c>
      <x:c r="D36" s="38" t="str">
        <x:v>north-america</x:v>
      </x:c>
      <x:c r="E36" s="38" t="str">
        <x:v>rice</x:v>
      </x:c>
      <x:c r="F36" s="38" t="str">
        <x:v>spicy</x:v>
      </x:c>
      <x:c r="G36" s="38" t="str">
        <x:v>REMOVE</x:v>
      </x:c>
      <x:c r="H36" s="38" t="str">
        <x:v>Remove — the catalog describes spices, seasoning, curry, or accompaniments without making chile heat a defining trait; the current spicy tag is broader than the text supports.</x:v>
      </x:c>
      <x:c r="I36" s="38" t="str">
        <x:v>NO ADD</x:v>
      </x:c>
      <x:c r="J36" s="38" t="str">
        <x:v>No add — the current catalog does not center a bright, raw, herb-forward, vegetable-forward, or light fresh profile.</x:v>
      </x:c>
      <x:c r="K36" s="38" t="str">
        <x:v>NO ADD</x:v>
      </x:c>
      <x:c r="L36" s="38" t="str">
        <x:v>No add — the current catalog does not make crisp, crunchy, breaded, or fried texture a defining part of the dish.</x:v>
      </x:c>
      <x:c r="M36" s="38" t="str">
        <x:v>NO ADD</x:v>
      </x:c>
      <x:c r="N36" s="38" t="str">
        <x:v>No add — the current catalog does not make sour, citrus, vinegar, pickled, yogurt-acidic, or other tangy notes a defining trait.</x:v>
      </x:c>
      <x:c r="O36" s="38" t="str">
        <x:v>NEEDS RETAG</x:v>
      </x:c>
      <x:c r="P36" s="38" t="str">
        <x:v>RETAG NEEDED</x:v>
      </x:c>
      <x:c r="Q36" s="38" t="str">
        <x:v>Louisiana rice cooked with meat or seafood, vegetables, stock, and spices.</x:v>
      </x:c>
    </x:row>
    <x:row r="37" ht="62" customHeight="1">
      <x:c r="A37" s="38" t="n">
        <x:v>25</x:v>
      </x:c>
      <x:c r="B37" s="38" t="str">
        <x:v>lobster-roll</x:v>
      </x:c>
      <x:c r="C37" s="38" t="str">
        <x:v>Lobster Roll</x:v>
      </x:c>
      <x:c r="D37" s="38" t="str">
        <x:v>north-america</x:v>
      </x:c>
      <x:c r="E37" s="38" t="str">
        <x:v>handheld</x:v>
      </x:c>
      <x:c r="F37" s="38" t="str">
        <x:v>rich | fresh</x:v>
      </x:c>
      <x:c r="G37" s="38" t="str">
        <x:v>NO ADD</x:v>
      </x:c>
      <x:c r="H37" s="38" t="str">
        <x:v>No add — the current catalog does not make chile heat or hot-spice intensity a defining trait.</x:v>
      </x:c>
      <x:c r="I37" s="38" t="str">
        <x:v>REMOVE</x:v>
      </x:c>
      <x:c r="J37" s="38" t="str">
        <x:v>Remove — the catalog describes a cooked, grilled, baked, or hearty preparation; any vegetables, herbs, or garnishes are not central enough to make fresh a defining recommendation trait.</x:v>
      </x:c>
      <x:c r="K37" s="38" t="str">
        <x:v>NO ADD</x:v>
      </x:c>
      <x:c r="L37" s="38" t="str">
        <x:v>No add — the current catalog does not make crisp, crunchy, breaded, or fried texture a defining part of the dish.</x:v>
      </x:c>
      <x:c r="M37" s="38" t="str">
        <x:v>NO ADD</x:v>
      </x:c>
      <x:c r="N37" s="38" t="str">
        <x:v>No add — the current catalog does not make sour, citrus, vinegar, pickled, yogurt-acidic, or other tangy notes a defining trait.</x:v>
      </x:c>
      <x:c r="O37" s="38" t="str">
        <x:v>rich</x:v>
      </x:c>
      <x:c r="P37" s="38" t="str">
        <x:v>CHANGES RECOMMENDED</x:v>
      </x:c>
      <x:c r="Q37" s="38" t="str">
        <x:v>New England lobster served in a grilled split-top roll with butter or mayonnaise.</x:v>
      </x:c>
    </x:row>
    <x:row r="38" ht="62" customHeight="1">
      <x:c r="A38" s="38" t="n">
        <x:v>26</x:v>
      </x:c>
      <x:c r="B38" s="38" t="str">
        <x:v>udon</x:v>
      </x:c>
      <x:c r="C38" s="38" t="str">
        <x:v>Udon</x:v>
      </x:c>
      <x:c r="D38" s="38" t="str">
        <x:v>east-asia</x:v>
      </x:c>
      <x:c r="E38" s="38" t="str">
        <x:v>noodle</x:v>
      </x:c>
      <x:c r="F38" s="38" t="str">
        <x:v>comforting</x:v>
      </x:c>
      <x:c r="G38" s="38" t="str">
        <x:v>NO ADD</x:v>
      </x:c>
      <x:c r="H38" s="38" t="str">
        <x:v>No add — the current catalog does not make chile heat or hot-spice intensity a defining trait.</x:v>
      </x:c>
      <x:c r="I38" s="38" t="str">
        <x:v>NO ADD</x:v>
      </x:c>
      <x:c r="J38" s="38" t="str">
        <x:v>No add — the current catalog does not center a bright, raw, herb-forward, vegetable-forward, or light fresh profile.</x:v>
      </x:c>
      <x:c r="K38" s="38" t="str">
        <x:v>NO ADD</x:v>
      </x:c>
      <x:c r="L38" s="38" t="str">
        <x:v>No add — the current catalog does not make crisp, crunchy, breaded, or fried texture a defining part of the dish.</x:v>
      </x:c>
      <x:c r="M38" s="38" t="str">
        <x:v>NO ADD</x:v>
      </x:c>
      <x:c r="N38" s="38" t="str">
        <x:v>No add — the current catalog does not make sour, citrus, vinegar, pickled, yogurt-acidic, or other tangy notes a defining trait.</x:v>
      </x:c>
      <x:c r="O38" s="38" t="str">
        <x:v>comforting</x:v>
      </x:c>
      <x:c r="P38" s="38" t="str">
        <x:v>NO CHANGE</x:v>
      </x:c>
      <x:c r="Q38" s="38" t="str">
        <x:v>Thick Japanese wheat noodles served hot in broth or chilled with dipping sauce.</x:v>
      </x:c>
    </x:row>
    <x:row r="39" ht="62" customHeight="1">
      <x:c r="A39" s="38" t="n">
        <x:v>27</x:v>
      </x:c>
      <x:c r="B39" s="38" t="str">
        <x:v>kimchi-jjigae</x:v>
      </x:c>
      <x:c r="C39" s="38" t="str">
        <x:v>Kimchi-jjigae</x:v>
      </x:c>
      <x:c r="D39" s="38" t="str">
        <x:v>east-asia</x:v>
      </x:c>
      <x:c r="E39" s="38" t="str">
        <x:v>soup-broth</x:v>
      </x:c>
      <x:c r="F39" s="38" t="str">
        <x:v>spicy</x:v>
      </x:c>
      <x:c r="G39" s="38" t="str">
        <x:v>KEEP</x:v>
      </x:c>
      <x:c r="H39" s="38" t="str">
        <x:v>Keep — the current catalog supports spicy through explicitly described as spicy; it is specific enough to remain a recommendation signal.</x:v>
      </x:c>
      <x:c r="I39" s="38" t="str">
        <x:v>NO ADD</x:v>
      </x:c>
      <x:c r="J39" s="38" t="str">
        <x:v>No add — the current catalog does not center a bright, raw, herb-forward, vegetable-forward, or light fresh profile.</x:v>
      </x:c>
      <x:c r="K39" s="38" t="str">
        <x:v>NO ADD</x:v>
      </x:c>
      <x:c r="L39" s="38" t="str">
        <x:v>No add — the current catalog does not make crisp, crunchy, breaded, or fried texture a defining part of the dish.</x:v>
      </x:c>
      <x:c r="M39" s="38" t="str">
        <x:v>NO ADD</x:v>
      </x:c>
      <x:c r="N39" s="38" t="str">
        <x:v>No add — the current catalog does not make sour, citrus, vinegar, pickled, yogurt-acidic, or other tangy notes a defining trait.</x:v>
      </x:c>
      <x:c r="O39" s="38" t="str">
        <x:v>spicy</x:v>
      </x:c>
      <x:c r="P39" s="38" t="str">
        <x:v>NO CHANGE</x:v>
      </x:c>
      <x:c r="Q39" s="38" t="str">
        <x:v>Korean kimchi stew simmered with tofu, pork, scallions, and a deeply savory broth.</x:v>
      </x:c>
    </x:row>
    <x:row r="40" ht="62" customHeight="1">
      <x:c r="A40" s="38" t="n">
        <x:v>28</x:v>
      </x:c>
      <x:c r="B40" s="38" t="str">
        <x:v>bulgogi</x:v>
      </x:c>
      <x:c r="C40" s="38" t="str">
        <x:v>Bulgogi</x:v>
      </x:c>
      <x:c r="D40" s="38" t="str">
        <x:v>east-asia</x:v>
      </x:c>
      <x:c r="E40" s="38" t="str">
        <x:v>grilled-protein</x:v>
      </x:c>
      <x:c r="F40" s="38" t="str">
        <x:v>comforting | rich</x:v>
      </x:c>
      <x:c r="G40" s="38" t="str">
        <x:v>NO ADD</x:v>
      </x:c>
      <x:c r="H40" s="38" t="str">
        <x:v>No add — the current catalog does not make chile heat or hot-spice intensity a defining trait.</x:v>
      </x:c>
      <x:c r="I40" s="38" t="str">
        <x:v>NO ADD</x:v>
      </x:c>
      <x:c r="J40" s="38" t="str">
        <x:v>No add — the current catalog does not center a bright, raw, herb-forward, vegetable-forward, or light fresh profile.</x:v>
      </x:c>
      <x:c r="K40" s="38" t="str">
        <x:v>NO ADD</x:v>
      </x:c>
      <x:c r="L40" s="38" t="str">
        <x:v>No add — the current catalog does not make crisp, crunchy, breaded, or fried texture a defining part of the dish.</x:v>
      </x:c>
      <x:c r="M40" s="38" t="str">
        <x:v>NO ADD</x:v>
      </x:c>
      <x:c r="N40" s="38" t="str">
        <x:v>No add — the current catalog does not make sour, citrus, vinegar, pickled, yogurt-acidic, or other tangy notes a defining trait.</x:v>
      </x:c>
      <x:c r="O40" s="38" t="str">
        <x:v>comforting | rich</x:v>
      </x:c>
      <x:c r="P40" s="38" t="str">
        <x:v>NO CHANGE</x:v>
      </x:c>
      <x:c r="Q40" s="38" t="str">
        <x:v>Korean marinated beef grilled or pan-cooked with a sweet-savory soy-based seasoning.</x:v>
      </x:c>
    </x:row>
    <x:row r="41" ht="62" customHeight="1">
      <x:c r="A41" s="38" t="n">
        <x:v>29</x:v>
      </x:c>
      <x:c r="B41" s="38" t="str">
        <x:v>jianbing</x:v>
      </x:c>
      <x:c r="C41" s="38" t="str">
        <x:v>Jianbing</x:v>
      </x:c>
      <x:c r="D41" s="38" t="str">
        <x:v>east-asia</x:v>
      </x:c>
      <x:c r="E41" s="38" t="str">
        <x:v>handheld</x:v>
      </x:c>
      <x:c r="F41" s="38" t="str">
        <x:v>crispy</x:v>
      </x:c>
      <x:c r="G41" s="38" t="str">
        <x:v>NO ADD</x:v>
      </x:c>
      <x:c r="H41" s="38" t="str">
        <x:v>No add — the current catalog does not make chile heat or hot-spice intensity a defining trait.</x:v>
      </x:c>
      <x:c r="I41" s="38" t="str">
        <x:v>NO ADD</x:v>
      </x:c>
      <x:c r="J41" s="38" t="str">
        <x:v>No add — the current catalog does not center a bright, raw, herb-forward, vegetable-forward, or light fresh profile.</x:v>
      </x:c>
      <x:c r="K41" s="38" t="str">
        <x:v>KEEP</x:v>
      </x:c>
      <x:c r="L41" s="38" t="str">
        <x:v>Keep — the current catalog supports crispy through explicit crisp texture; it is specific enough to remain a recommendation signal.</x:v>
      </x:c>
      <x:c r="M41" s="38" t="str">
        <x:v>NO ADD</x:v>
      </x:c>
      <x:c r="N41" s="38" t="str">
        <x:v>No add — the current catalog does not make sour, citrus, vinegar, pickled, yogurt-acidic, or other tangy notes a defining trait.</x:v>
      </x:c>
      <x:c r="O41" s="38" t="str">
        <x:v>crispy</x:v>
      </x:c>
      <x:c r="P41" s="38" t="str">
        <x:v>NO CHANGE</x:v>
      </x:c>
      <x:c r="Q41" s="38" t="str">
        <x:v>Chinese breakfast crepe layered with egg, sauces, herbs, and a crisp cracker.</x:v>
      </x:c>
    </x:row>
    <x:row r="42" ht="62" customHeight="1">
      <x:c r="A42" s="38" t="n">
        <x:v>30</x:v>
      </x:c>
      <x:c r="B42" s="38" t="str">
        <x:v>chole-bhature</x:v>
      </x:c>
      <x:c r="C42" s="38" t="str">
        <x:v>Chole Bhature</x:v>
      </x:c>
      <x:c r="D42" s="38" t="str">
        <x:v>south-asia</x:v>
      </x:c>
      <x:c r="E42" s="38" t="str">
        <x:v>handheld</x:v>
      </x:c>
      <x:c r="F42" s="38" t="str">
        <x:v>rich | spicy</x:v>
      </x:c>
      <x:c r="G42" s="38" t="str">
        <x:v>REMOVE</x:v>
      </x:c>
      <x:c r="H42" s="38" t="str">
        <x:v>Remove — the catalog describes spices, seasoning, curry, or accompaniments without making chile heat a defining trait; the current spicy tag is broader than the text supports.</x:v>
      </x:c>
      <x:c r="I42" s="38" t="str">
        <x:v>NO ADD</x:v>
      </x:c>
      <x:c r="J42" s="38" t="str">
        <x:v>No add — the current catalog does not center a bright, raw, herb-forward, vegetable-forward, or light fresh profile.</x:v>
      </x:c>
      <x:c r="K42" s="38" t="str">
        <x:v>ADD</x:v>
      </x:c>
      <x:c r="L42" s="38" t="str">
        <x:v>Add — the bhatura is explicitly deep-fried until puffed and golden, giving the dish a meaningful crisp-fried texture.</x:v>
      </x:c>
      <x:c r="M42" s="38" t="str">
        <x:v>NO ADD</x:v>
      </x:c>
      <x:c r="N42" s="38" t="str">
        <x:v>No add — the current catalog does not make sour, citrus, vinegar, pickled, yogurt-acidic, or other tangy notes a defining trait.</x:v>
      </x:c>
      <x:c r="O42" s="38" t="str">
        <x:v>rich | crispy</x:v>
      </x:c>
      <x:c r="P42" s="38" t="str">
        <x:v>CHANGES RECOMMENDED</x:v>
      </x:c>
      <x:c r="Q42" s="38" t="str">
        <x:v>North Indian chickpea curry served with a large puffed, deep-fried bhatura bread.</x:v>
      </x:c>
    </x:row>
    <x:row r="43" ht="62" customHeight="1">
      <x:c r="A43" s="38" t="n">
        <x:v>31</x:v>
      </x:c>
      <x:c r="B43" s="38" t="str">
        <x:v>chicken-tikka</x:v>
      </x:c>
      <x:c r="C43" s="38" t="str">
        <x:v>Chicken Tikka</x:v>
      </x:c>
      <x:c r="D43" s="38" t="str">
        <x:v>south-asia</x:v>
      </x:c>
      <x:c r="E43" s="38" t="str">
        <x:v>grilled-protein</x:v>
      </x:c>
      <x:c r="F43" s="38" t="str">
        <x:v>spicy</x:v>
      </x:c>
      <x:c r="G43" s="38" t="str">
        <x:v>REMOVE</x:v>
      </x:c>
      <x:c r="H43" s="38" t="str">
        <x:v>Remove — the catalog describes spices, seasoning, curry, or accompaniments without making chile heat a defining trait; the current spicy tag is broader than the text supports.</x:v>
      </x:c>
      <x:c r="I43" s="38" t="str">
        <x:v>NO ADD</x:v>
      </x:c>
      <x:c r="J43" s="38" t="str">
        <x:v>No add — the current catalog does not center a bright, raw, herb-forward, vegetable-forward, or light fresh profile.</x:v>
      </x:c>
      <x:c r="K43" s="38" t="str">
        <x:v>NO ADD</x:v>
      </x:c>
      <x:c r="L43" s="38" t="str">
        <x:v>No add — the current catalog does not make crisp, crunchy, breaded, or fried texture a defining part of the dish.</x:v>
      </x:c>
      <x:c r="M43" s="38" t="str">
        <x:v>NO ADD</x:v>
      </x:c>
      <x:c r="N43" s="38" t="str">
        <x:v>No add — the current catalog does not make sour, citrus, vinegar, pickled, yogurt-acidic, or other tangy notes a defining trait.</x:v>
      </x:c>
      <x:c r="O43" s="38" t="str">
        <x:v>NEEDS RETAG</x:v>
      </x:c>
      <x:c r="P43" s="38" t="str">
        <x:v>RETAG NEEDED</x:v>
      </x:c>
      <x:c r="Q43" s="38" t="str">
        <x:v>Yogurt-and-spice marinated chicken pieces cooked over high heat, often in a tandoor.</x:v>
      </x:c>
    </x:row>
    <x:row r="44" ht="62" customHeight="1">
      <x:c r="A44" s="38" t="n">
        <x:v>32</x:v>
      </x:c>
      <x:c r="B44" s="38" t="str">
        <x:v>haleem</x:v>
      </x:c>
      <x:c r="C44" s="38" t="str">
        <x:v>Haleem</x:v>
      </x:c>
      <x:c r="D44" s="38" t="str">
        <x:v>south-asia</x:v>
      </x:c>
      <x:c r="E44" s="38" t="str">
        <x:v>soup-broth</x:v>
      </x:c>
      <x:c r="F44" s="38" t="str">
        <x:v>rich | comforting</x:v>
      </x:c>
      <x:c r="G44" s="38" t="str">
        <x:v>NO ADD</x:v>
      </x:c>
      <x:c r="H44" s="38" t="str">
        <x:v>No add — the current catalog does not make chile heat or hot-spice intensity a defining trait.</x:v>
      </x:c>
      <x:c r="I44" s="38" t="str">
        <x:v>NO ADD</x:v>
      </x:c>
      <x:c r="J44" s="38" t="str">
        <x:v>No add — the current catalog does not center a bright, raw, herb-forward, vegetable-forward, or light fresh profile.</x:v>
      </x:c>
      <x:c r="K44" s="38" t="str">
        <x:v>NO ADD</x:v>
      </x:c>
      <x:c r="L44" s="38" t="str">
        <x:v>No add — the current catalog does not make crisp, crunchy, breaded, or fried texture a defining part of the dish.</x:v>
      </x:c>
      <x:c r="M44" s="38" t="str">
        <x:v>NO ADD</x:v>
      </x:c>
      <x:c r="N44" s="38" t="str">
        <x:v>No add — the current catalog does not make sour, citrus, vinegar, pickled, yogurt-acidic, or other tangy notes a defining trait.</x:v>
      </x:c>
      <x:c r="O44" s="38" t="str">
        <x:v>rich | comforting</x:v>
      </x:c>
      <x:c r="P44" s="38" t="str">
        <x:v>NO CHANGE</x:v>
      </x:c>
      <x:c r="Q44" s="38" t="str">
        <x:v>Slow-cooked South Asian stew of meat, grains, lentils, and warming spices.</x:v>
      </x:c>
    </x:row>
    <x:row r="45" ht="62" customHeight="1">
      <x:c r="A45" s="38" t="n">
        <x:v>33</x:v>
      </x:c>
      <x:c r="B45" s="38" t="str">
        <x:v>kabsa</x:v>
      </x:c>
      <x:c r="C45" s="38" t="str">
        <x:v>Kabsa</x:v>
      </x:c>
      <x:c r="D45" s="38" t="str">
        <x:v>middle-east</x:v>
      </x:c>
      <x:c r="E45" s="38" t="str">
        <x:v>rice</x:v>
      </x:c>
      <x:c r="F45" s="38" t="str">
        <x:v>comforting</x:v>
      </x:c>
      <x:c r="G45" s="38" t="str">
        <x:v>NO ADD</x:v>
      </x:c>
      <x:c r="H45" s="38" t="str">
        <x:v>No add — the current catalog does not make chile heat or hot-spice intensity a defining trait.</x:v>
      </x:c>
      <x:c r="I45" s="38" t="str">
        <x:v>NO ADD</x:v>
      </x:c>
      <x:c r="J45" s="38" t="str">
        <x:v>No add — the current catalog does not center a bright, raw, herb-forward, vegetable-forward, or light fresh profile.</x:v>
      </x:c>
      <x:c r="K45" s="38" t="str">
        <x:v>NO ADD</x:v>
      </x:c>
      <x:c r="L45" s="38" t="str">
        <x:v>No add — the current catalog does not make crisp, crunchy, breaded, or fried texture a defining part of the dish.</x:v>
      </x:c>
      <x:c r="M45" s="38" t="str">
        <x:v>NO ADD</x:v>
      </x:c>
      <x:c r="N45" s="38" t="str">
        <x:v>No add — the current catalog does not make sour, citrus, vinegar, pickled, yogurt-acidic, or other tangy notes a defining trait.</x:v>
      </x:c>
      <x:c r="O45" s="38" t="str">
        <x:v>comforting</x:v>
      </x:c>
      <x:c r="P45" s="38" t="str">
        <x:v>NO CHANGE</x:v>
      </x:c>
      <x:c r="Q45" s="38" t="str">
        <x:v>Arabian spiced rice cooked with meat, tomatoes, and fragrant whole spices.</x:v>
      </x:c>
    </x:row>
    <x:row r="46" ht="62" customHeight="1">
      <x:c r="A46" s="38" t="n">
        <x:v>34</x:v>
      </x:c>
      <x:c r="B46" s="38" t="str">
        <x:v>shawarma</x:v>
      </x:c>
      <x:c r="C46" s="38" t="str">
        <x:v>Shawarma</x:v>
      </x:c>
      <x:c r="D46" s="38" t="str">
        <x:v>middle-east</x:v>
      </x:c>
      <x:c r="E46" s="38" t="str">
        <x:v>handheld</x:v>
      </x:c>
      <x:c r="F46" s="38" t="str">
        <x:v>rich | tangy</x:v>
      </x:c>
      <x:c r="G46" s="38" t="str">
        <x:v>NO ADD</x:v>
      </x:c>
      <x:c r="H46" s="38" t="str">
        <x:v>No add — the current catalog does not make chile heat or hot-spice intensity a defining trait.</x:v>
      </x:c>
      <x:c r="I46" s="38" t="str">
        <x:v>NO ADD</x:v>
      </x:c>
      <x:c r="J46" s="38" t="str">
        <x:v>No add — the current catalog does not center a bright, raw, herb-forward, vegetable-forward, or light fresh profile.</x:v>
      </x:c>
      <x:c r="K46" s="38" t="str">
        <x:v>NO ADD</x:v>
      </x:c>
      <x:c r="L46" s="38" t="str">
        <x:v>No add — the current catalog does not make crisp, crunchy, breaded, or fried texture a defining part of the dish.</x:v>
      </x:c>
      <x:c r="M46" s="38" t="str">
        <x:v>REMOVE</x:v>
      </x:c>
      <x:c r="N46" s="38" t="str">
        <x:v>Remove — acidity is absent, optional, or limited to an accompaniment in the catalog description; tangy is too broad for this row.</x:v>
      </x:c>
      <x:c r="O46" s="38" t="str">
        <x:v>rich</x:v>
      </x:c>
      <x:c r="P46" s="38" t="str">
        <x:v>CHANGES RECOMMENDED</x:v>
      </x:c>
      <x:c r="Q46" s="38" t="str">
        <x:v>Thin slices of seasoned meat roasted on a vertical spit and wrapped with sauces and vegetables.</x:v>
      </x:c>
    </x:row>
    <x:row r="47" ht="62" customHeight="1">
      <x:c r="A47" s="38" t="n">
        <x:v>35</x:v>
      </x:c>
      <x:c r="B47" s="38" t="str">
        <x:v>ash-reshteh</x:v>
      </x:c>
      <x:c r="C47" s="38" t="str">
        <x:v>Ash Reshteh</x:v>
      </x:c>
      <x:c r="D47" s="38" t="str">
        <x:v>middle-east</x:v>
      </x:c>
      <x:c r="E47" s="38" t="str">
        <x:v>soup-broth</x:v>
      </x:c>
      <x:c r="F47" s="38" t="str">
        <x:v>comforting | rich</x:v>
      </x:c>
      <x:c r="G47" s="38" t="str">
        <x:v>NO ADD</x:v>
      </x:c>
      <x:c r="H47" s="38" t="str">
        <x:v>No add — the current catalog does not make chile heat or hot-spice intensity a defining trait.</x:v>
      </x:c>
      <x:c r="I47" s="38" t="str">
        <x:v>NO ADD</x:v>
      </x:c>
      <x:c r="J47" s="38" t="str">
        <x:v>No add — the current catalog does not center a bright, raw, herb-forward, vegetable-forward, or light fresh profile.</x:v>
      </x:c>
      <x:c r="K47" s="38" t="str">
        <x:v>NO ADD</x:v>
      </x:c>
      <x:c r="L47" s="38" t="str">
        <x:v>No add — the current catalog does not make crisp, crunchy, breaded, or fried texture a defining part of the dish.</x:v>
      </x:c>
      <x:c r="M47" s="38" t="str">
        <x:v>NO ADD</x:v>
      </x:c>
      <x:c r="N47" s="38" t="str">
        <x:v>No add — the current catalog does not make sour, citrus, vinegar, pickled, yogurt-acidic, or other tangy notes a defining trait.</x:v>
      </x:c>
      <x:c r="O47" s="38" t="str">
        <x:v>comforting | rich</x:v>
      </x:c>
      <x:c r="P47" s="38" t="str">
        <x:v>NO CHANGE</x:v>
      </x:c>
      <x:c r="Q47" s="38" t="str">
        <x:v>Iranian thick herb-and-legume soup with noodles, beans, lentils, and tangy kashk.</x:v>
      </x:c>
    </x:row>
    <x:row r="48" ht="62" customHeight="1">
      <x:c r="A48" s="38" t="n">
        <x:v>36</x:v>
      </x:c>
      <x:c r="B48" s="38" t="str">
        <x:v>jollof-rice</x:v>
      </x:c>
      <x:c r="C48" s="38" t="str">
        <x:v>Jollof Rice</x:v>
      </x:c>
      <x:c r="D48" s="38" t="str">
        <x:v>africa</x:v>
      </x:c>
      <x:c r="E48" s="38" t="str">
        <x:v>rice</x:v>
      </x:c>
      <x:c r="F48" s="38" t="str">
        <x:v>spicy</x:v>
      </x:c>
      <x:c r="G48" s="38" t="str">
        <x:v>REMOVE</x:v>
      </x:c>
      <x:c r="H48" s="38" t="str">
        <x:v>Remove — the catalog mentions peppers and spices but does not explicitly establish heat as a defining trait across its regional variations.</x:v>
      </x:c>
      <x:c r="I48" s="38" t="str">
        <x:v>NO ADD</x:v>
      </x:c>
      <x:c r="J48" s="38" t="str">
        <x:v>No add — the current catalog does not center a bright, raw, herb-forward, vegetable-forward, or light fresh profile.</x:v>
      </x:c>
      <x:c r="K48" s="38" t="str">
        <x:v>NO ADD</x:v>
      </x:c>
      <x:c r="L48" s="38" t="str">
        <x:v>No add — the current catalog does not make crisp, crunchy, breaded, or fried texture a defining part of the dish.</x:v>
      </x:c>
      <x:c r="M48" s="38" t="str">
        <x:v>NO ADD</x:v>
      </x:c>
      <x:c r="N48" s="38" t="str">
        <x:v>No add — the current catalog does not make sour, citrus, vinegar, pickled, yogurt-acidic, or other tangy notes a defining trait.</x:v>
      </x:c>
      <x:c r="O48" s="38" t="str">
        <x:v>NEEDS RETAG</x:v>
      </x:c>
      <x:c r="P48" s="38" t="str">
        <x:v>RETAG NEEDED</x:v>
      </x:c>
      <x:c r="Q48" s="38" t="str">
        <x:v>West African tomato-and-pepper rice cooked with aromatics, spices, and optional meat or vegetables.</x:v>
      </x:c>
    </x:row>
    <x:row r="49" ht="62" customHeight="1">
      <x:c r="A49" s="38" t="n">
        <x:v>37</x:v>
      </x:c>
      <x:c r="B49" s="38" t="str">
        <x:v>doro-wat</x:v>
      </x:c>
      <x:c r="C49" s="38" t="str">
        <x:v>Doro Wat</x:v>
      </x:c>
      <x:c r="D49" s="38" t="str">
        <x:v>africa</x:v>
      </x:c>
      <x:c r="E49" s="38" t="str">
        <x:v>grilled-protein</x:v>
      </x:c>
      <x:c r="F49" s="38" t="str">
        <x:v>spicy | rich</x:v>
      </x:c>
      <x:c r="G49" s="38" t="str">
        <x:v>KEEP</x:v>
      </x:c>
      <x:c r="H49" s="38" t="str">
        <x:v>Keep — the current catalog supports spicy through explicitly described as spicy; it is specific enough to remain a recommendation signal.</x:v>
      </x:c>
      <x:c r="I49" s="38" t="str">
        <x:v>NO ADD</x:v>
      </x:c>
      <x:c r="J49" s="38" t="str">
        <x:v>No add — the current catalog does not center a bright, raw, herb-forward, vegetable-forward, or light fresh profile.</x:v>
      </x:c>
      <x:c r="K49" s="38" t="str">
        <x:v>NO ADD</x:v>
      </x:c>
      <x:c r="L49" s="38" t="str">
        <x:v>No add — the current catalog does not make crisp, crunchy, breaded, or fried texture a defining part of the dish.</x:v>
      </x:c>
      <x:c r="M49" s="38" t="str">
        <x:v>NO ADD</x:v>
      </x:c>
      <x:c r="N49" s="38" t="str">
        <x:v>No add — the current catalog does not make sour, citrus, vinegar, pickled, yogurt-acidic, or other tangy notes a defining trait.</x:v>
      </x:c>
      <x:c r="O49" s="38" t="str">
        <x:v>spicy | rich</x:v>
      </x:c>
      <x:c r="P49" s="38" t="str">
        <x:v>NO CHANGE</x:v>
      </x:c>
      <x:c r="Q49" s="38" t="str">
        <x:v>Ethiopian chicken stew simmered with berbere spices, onions, and often hard-boiled eggs.</x:v>
      </x:c>
    </x:row>
    <x:row r="50" ht="62" customHeight="1">
      <x:c r="A50" s="38" t="n">
        <x:v>38</x:v>
      </x:c>
      <x:c r="B50" s="38" t="str">
        <x:v>koshari</x:v>
      </x:c>
      <x:c r="C50" s="38" t="str">
        <x:v>Koshari</x:v>
      </x:c>
      <x:c r="D50" s="38" t="str">
        <x:v>africa</x:v>
      </x:c>
      <x:c r="E50" s="38" t="str">
        <x:v>rice</x:v>
      </x:c>
      <x:c r="F50" s="38" t="str">
        <x:v>comforting | tangy</x:v>
      </x:c>
      <x:c r="G50" s="38" t="str">
        <x:v>NO ADD</x:v>
      </x:c>
      <x:c r="H50" s="38" t="str">
        <x:v>No add — the current catalog does not make chile heat or hot-spice intensity a defining trait.</x:v>
      </x:c>
      <x:c r="I50" s="38" t="str">
        <x:v>NO ADD</x:v>
      </x:c>
      <x:c r="J50" s="38" t="str">
        <x:v>No add — the current catalog does not center a bright, raw, herb-forward, vegetable-forward, or light fresh profile.</x:v>
      </x:c>
      <x:c r="K50" s="38" t="str">
        <x:v>ADD</x:v>
      </x:c>
      <x:c r="L50" s="38" t="str">
        <x:v>Add — crisp fried onions are a signature component in the catalog description and add a meaningful crunchy texture.</x:v>
      </x:c>
      <x:c r="M50" s="38" t="str">
        <x:v>KEEP</x:v>
      </x:c>
      <x:c r="N50" s="38" t="str">
        <x:v>Keep — the current catalog supports tangy through explicitly described as tangy; it is specific enough to remain a recommendation signal.</x:v>
      </x:c>
      <x:c r="O50" s="38" t="str">
        <x:v>comforting | tangy | crispy</x:v>
      </x:c>
      <x:c r="P50" s="38" t="str">
        <x:v>CHANGES RECOMMENDED</x:v>
      </x:c>
      <x:c r="Q50" s="38" t="str">
        <x:v>Egyptian rice, lentils, pasta, chickpeas, tomato sauce, and crisp fried onions.</x:v>
      </x:c>
    </x:row>
    <x:row r="51" ht="62" customHeight="1">
      <x:c r="A51" s="38" t="n">
        <x:v>39</x:v>
      </x:c>
      <x:c r="B51" s="38" t="str">
        <x:v>thieboudienne</x:v>
      </x:c>
      <x:c r="C51" s="38" t="str">
        <x:v>Thieboudienne</x:v>
      </x:c>
      <x:c r="D51" s="38" t="str">
        <x:v>africa</x:v>
      </x:c>
      <x:c r="E51" s="38" t="str">
        <x:v>rice</x:v>
      </x:c>
      <x:c r="F51" s="38" t="str">
        <x:v>fresh</x:v>
      </x:c>
      <x:c r="G51" s="38" t="str">
        <x:v>NO ADD</x:v>
      </x:c>
      <x:c r="H51" s="38" t="str">
        <x:v>No add — the current catalog does not make chile heat or hot-spice intensity a defining trait.</x:v>
      </x:c>
      <x:c r="I51" s="38" t="str">
        <x:v>REMOVE</x:v>
      </x:c>
      <x:c r="J51" s="38" t="str">
        <x:v>Remove — the catalog describes a cooked, grilled, baked, or hearty preparation; any vegetables, herbs, or garnishes are not central enough to make fresh a defining recommendation trait.</x:v>
      </x:c>
      <x:c r="K51" s="38" t="str">
        <x:v>NO ADD</x:v>
      </x:c>
      <x:c r="L51" s="38" t="str">
        <x:v>No add — the current catalog does not make crisp, crunchy, breaded, or fried texture a defining part of the dish.</x:v>
      </x:c>
      <x:c r="M51" s="38" t="str">
        <x:v>NO ADD</x:v>
      </x:c>
      <x:c r="N51" s="38" t="str">
        <x:v>No add — the current catalog does not make sour, citrus, vinegar, pickled, yogurt-acidic, or other tangy notes a defining trait.</x:v>
      </x:c>
      <x:c r="O51" s="38" t="str">
        <x:v>NEEDS RETAG</x:v>
      </x:c>
      <x:c r="P51" s="38" t="str">
        <x:v>RETAG NEEDED</x:v>
      </x:c>
      <x:c r="Q51" s="38" t="str">
        <x:v>Senegalese fish and rice cooked with tomato, vegetables, herbs, and peppers in one pot.</x:v>
      </x:c>
    </x:row>
    <x:row r="52" ht="62" customHeight="1">
      <x:c r="A52" s="38" t="n">
        <x:v>40</x:v>
      </x:c>
      <x:c r="B52" s="38" t="str">
        <x:v>paella</x:v>
      </x:c>
      <x:c r="C52" s="38" t="str">
        <x:v>Paella</x:v>
      </x:c>
      <x:c r="D52" s="38" t="str">
        <x:v>europe</x:v>
      </x:c>
      <x:c r="E52" s="38" t="str">
        <x:v>rice</x:v>
      </x:c>
      <x:c r="F52" s="38" t="str">
        <x:v>fresh</x:v>
      </x:c>
      <x:c r="G52" s="38" t="str">
        <x:v>NO ADD</x:v>
      </x:c>
      <x:c r="H52" s="38" t="str">
        <x:v>No add — the current catalog does not make chile heat or hot-spice intensity a defining trait.</x:v>
      </x:c>
      <x:c r="I52" s="38" t="str">
        <x:v>REMOVE</x:v>
      </x:c>
      <x:c r="J52" s="38" t="str">
        <x:v>Remove — the catalog describes a cooked, grilled, baked, or hearty preparation; any vegetables, herbs, or garnishes are not central enough to make fresh a defining recommendation trait.</x:v>
      </x:c>
      <x:c r="K52" s="38" t="str">
        <x:v>NO ADD</x:v>
      </x:c>
      <x:c r="L52" s="38" t="str">
        <x:v>No add — the current catalog does not make crisp, crunchy, breaded, or fried texture a defining part of the dish.</x:v>
      </x:c>
      <x:c r="M52" s="38" t="str">
        <x:v>NO ADD</x:v>
      </x:c>
      <x:c r="N52" s="38" t="str">
        <x:v>No add — the current catalog does not make sour, citrus, vinegar, pickled, yogurt-acidic, or other tangy notes a defining trait.</x:v>
      </x:c>
      <x:c r="O52" s="38" t="str">
        <x:v>NEEDS RETAG</x:v>
      </x:c>
      <x:c r="P52" s="38" t="str">
        <x:v>RETAG NEEDED</x:v>
      </x:c>
      <x:c r="Q52" s="38" t="str">
        <x:v>Spanish rice cooked in a wide pan with saffron, vegetables, and seafood or meat.</x:v>
      </x:c>
    </x:row>
    <x:row r="53" ht="62" customHeight="1">
      <x:c r="A53" s="38" t="n">
        <x:v>41</x:v>
      </x:c>
      <x:c r="B53" s="38" t="str">
        <x:v>goulash</x:v>
      </x:c>
      <x:c r="C53" s="38" t="str">
        <x:v>Goulash</x:v>
      </x:c>
      <x:c r="D53" s="38" t="str">
        <x:v>europe</x:v>
      </x:c>
      <x:c r="E53" s="38" t="str">
        <x:v>soup-broth</x:v>
      </x:c>
      <x:c r="F53" s="38" t="str">
        <x:v>rich | comforting</x:v>
      </x:c>
      <x:c r="G53" s="38" t="str">
        <x:v>NO ADD</x:v>
      </x:c>
      <x:c r="H53" s="38" t="str">
        <x:v>No add — the current catalog does not make chile heat or hot-spice intensity a defining trait.</x:v>
      </x:c>
      <x:c r="I53" s="38" t="str">
        <x:v>NO ADD</x:v>
      </x:c>
      <x:c r="J53" s="38" t="str">
        <x:v>No add — the current catalog does not center a bright, raw, herb-forward, vegetable-forward, or light fresh profile.</x:v>
      </x:c>
      <x:c r="K53" s="38" t="str">
        <x:v>NO ADD</x:v>
      </x:c>
      <x:c r="L53" s="38" t="str">
        <x:v>No add — the current catalog does not make crisp, crunchy, breaded, or fried texture a defining part of the dish.</x:v>
      </x:c>
      <x:c r="M53" s="38" t="str">
        <x:v>NO ADD</x:v>
      </x:c>
      <x:c r="N53" s="38" t="str">
        <x:v>No add — the current catalog does not make sour, citrus, vinegar, pickled, yogurt-acidic, or other tangy notes a defining trait.</x:v>
      </x:c>
      <x:c r="O53" s="38" t="str">
        <x:v>rich | comforting</x:v>
      </x:c>
      <x:c r="P53" s="38" t="str">
        <x:v>NO CHANGE</x:v>
      </x:c>
      <x:c r="Q53" s="38" t="str">
        <x:v>Hungarian paprika-seasoned beef and vegetable soup or stew with a deep savory broth.</x:v>
      </x:c>
    </x:row>
    <x:row r="54" ht="62" customHeight="1">
      <x:c r="A54" s="38" t="n">
        <x:v>42</x:v>
      </x:c>
      <x:c r="B54" s="38" t="str">
        <x:v>souvlaki</x:v>
      </x:c>
      <x:c r="C54" s="38" t="str">
        <x:v>Souvlaki</x:v>
      </x:c>
      <x:c r="D54" s="38" t="str">
        <x:v>europe</x:v>
      </x:c>
      <x:c r="E54" s="38" t="str">
        <x:v>grilled-protein</x:v>
      </x:c>
      <x:c r="F54" s="38" t="str">
        <x:v>fresh | tangy</x:v>
      </x:c>
      <x:c r="G54" s="38" t="str">
        <x:v>NO ADD</x:v>
      </x:c>
      <x:c r="H54" s="38" t="str">
        <x:v>No add — the current catalog does not make chile heat or hot-spice intensity a defining trait.</x:v>
      </x:c>
      <x:c r="I54" s="38" t="str">
        <x:v>KEEP</x:v>
      </x:c>
      <x:c r="J54" s="38" t="str">
        <x:v>Keep — the current catalog supports fresh through fresh sides; it is specific enough to remain a recommendation signal.</x:v>
      </x:c>
      <x:c r="K54" s="38" t="str">
        <x:v>NO ADD</x:v>
      </x:c>
      <x:c r="L54" s="38" t="str">
        <x:v>No add — the current catalog does not make crisp, crunchy, breaded, or fried texture a defining part of the dish.</x:v>
      </x:c>
      <x:c r="M54" s="38" t="str">
        <x:v>REMOVE</x:v>
      </x:c>
      <x:c r="N54" s="38" t="str">
        <x:v>Remove — acidity is absent, optional, or limited to an accompaniment in the catalog description; tangy is too broad for this row.</x:v>
      </x:c>
      <x:c r="O54" s="38" t="str">
        <x:v>fresh</x:v>
      </x:c>
      <x:c r="P54" s="38" t="str">
        <x:v>CHANGES RECOMMENDED</x:v>
      </x:c>
      <x:c r="Q54" s="38" t="str">
        <x:v>Greek skewered meat grilled over high heat and served with lemon, pita, or fresh sides.</x:v>
      </x:c>
    </x:row>
    <x:row r="55" ht="62" customHeight="1">
      <x:c r="A55" s="38" t="n">
        <x:v>43</x:v>
      </x:c>
      <x:c r="B55" s="38" t="str">
        <x:v>pierogi</x:v>
      </x:c>
      <x:c r="C55" s="38" t="str">
        <x:v>Pierogi</x:v>
      </x:c>
      <x:c r="D55" s="38" t="str">
        <x:v>europe</x:v>
      </x:c>
      <x:c r="E55" s="38" t="str">
        <x:v>handheld</x:v>
      </x:c>
      <x:c r="F55" s="38" t="str">
        <x:v>comforting | rich</x:v>
      </x:c>
      <x:c r="G55" s="38" t="str">
        <x:v>NO ADD</x:v>
      </x:c>
      <x:c r="H55" s="38" t="str">
        <x:v>No add — the current catalog does not make chile heat or hot-spice intensity a defining trait.</x:v>
      </x:c>
      <x:c r="I55" s="38" t="str">
        <x:v>NO ADD</x:v>
      </x:c>
      <x:c r="J55" s="38" t="str">
        <x:v>No add — the current catalog does not center a bright, raw, herb-forward, vegetable-forward, or light fresh profile.</x:v>
      </x:c>
      <x:c r="K55" s="38" t="str">
        <x:v>NO ADD</x:v>
      </x:c>
      <x:c r="L55" s="38" t="str">
        <x:v>No add — the current catalog does not make crisp, crunchy, breaded, or fried texture a defining part of the dish.</x:v>
      </x:c>
      <x:c r="M55" s="38" t="str">
        <x:v>NO ADD</x:v>
      </x:c>
      <x:c r="N55" s="38" t="str">
        <x:v>No add — the current catalog does not make sour, citrus, vinegar, pickled, yogurt-acidic, or other tangy notes a defining trait.</x:v>
      </x:c>
      <x:c r="O55" s="38" t="str">
        <x:v>comforting | rich</x:v>
      </x:c>
      <x:c r="P55" s="38" t="str">
        <x:v>NO CHANGE</x:v>
      </x:c>
      <x:c r="Q55" s="38" t="str">
        <x:v>Polish filled dumplings boiled or pan-fried with savory or sweet fillings.</x:v>
      </x:c>
    </x:row>
    <x:row r="56" ht="62" customHeight="1">
      <x:c r="A56" s="38" t="n">
        <x:v>44</x:v>
      </x:c>
      <x:c r="B56" s="38" t="str">
        <x:v>arepa</x:v>
      </x:c>
      <x:c r="C56" s="38" t="str">
        <x:v>Arepa</x:v>
      </x:c>
      <x:c r="D56" s="38" t="str">
        <x:v>latin-america</x:v>
      </x:c>
      <x:c r="E56" s="38" t="str">
        <x:v>handheld</x:v>
      </x:c>
      <x:c r="F56" s="38" t="str">
        <x:v>comforting</x:v>
      </x:c>
      <x:c r="G56" s="38" t="str">
        <x:v>NO ADD</x:v>
      </x:c>
      <x:c r="H56" s="38" t="str">
        <x:v>No add — the current catalog does not make chile heat or hot-spice intensity a defining trait.</x:v>
      </x:c>
      <x:c r="I56" s="38" t="str">
        <x:v>NO ADD</x:v>
      </x:c>
      <x:c r="J56" s="38" t="str">
        <x:v>No add — the current catalog does not center a bright, raw, herb-forward, vegetable-forward, or light fresh profile.</x:v>
      </x:c>
      <x:c r="K56" s="38" t="str">
        <x:v>NO ADD</x:v>
      </x:c>
      <x:c r="L56" s="38" t="str">
        <x:v>No add — the current catalog does not make crisp, crunchy, breaded, or fried texture a defining part of the dish.</x:v>
      </x:c>
      <x:c r="M56" s="38" t="str">
        <x:v>NO ADD</x:v>
      </x:c>
      <x:c r="N56" s="38" t="str">
        <x:v>No add — the current catalog does not make sour, citrus, vinegar, pickled, yogurt-acidic, or other tangy notes a defining trait.</x:v>
      </x:c>
      <x:c r="O56" s="38" t="str">
        <x:v>comforting</x:v>
      </x:c>
      <x:c r="P56" s="38" t="str">
        <x:v>NO CHANGE</x:v>
      </x:c>
      <x:c r="Q56" s="38" t="str">
        <x:v>Cornmeal cake split and filled with cheese, meats, beans, or other savory fillings.</x:v>
      </x:c>
    </x:row>
    <x:row r="57" ht="62" customHeight="1">
      <x:c r="A57" s="38" t="n">
        <x:v>45</x:v>
      </x:c>
      <x:c r="B57" s="38" t="str">
        <x:v>ceviche</x:v>
      </x:c>
      <x:c r="C57" s="38" t="str">
        <x:v>Ceviche</x:v>
      </x:c>
      <x:c r="D57" s="38" t="str">
        <x:v>latin-america</x:v>
      </x:c>
      <x:c r="E57" s="38" t="str">
        <x:v>grilled-protein</x:v>
      </x:c>
      <x:c r="F57" s="38" t="str">
        <x:v>fresh | tangy</x:v>
      </x:c>
      <x:c r="G57" s="38" t="str">
        <x:v>NO ADD</x:v>
      </x:c>
      <x:c r="H57" s="38" t="str">
        <x:v>No add — the current catalog does not make chile heat or hot-spice intensity a defining trait.</x:v>
      </x:c>
      <x:c r="I57" s="38" t="str">
        <x:v>KEEP</x:v>
      </x:c>
      <x:c r="J57" s="38" t="str">
        <x:v>Keep — the current catalog supports fresh through fresh herbs; it is specific enough to remain a recommendation signal.</x:v>
      </x:c>
      <x:c r="K57" s="38" t="str">
        <x:v>NO ADD</x:v>
      </x:c>
      <x:c r="L57" s="38" t="str">
        <x:v>No add — the current catalog does not make crisp, crunchy, breaded, or fried texture a defining part of the dish.</x:v>
      </x:c>
      <x:c r="M57" s="38" t="str">
        <x:v>KEEP</x:v>
      </x:c>
      <x:c r="N57" s="38" t="str">
        <x:v>Keep — the current catalog supports tangy through explicitly described as tangy; it is specific enough to remain a recommendation signal.</x:v>
      </x:c>
      <x:c r="O57" s="38" t="str">
        <x:v>fresh | tangy</x:v>
      </x:c>
      <x:c r="P57" s="38" t="str">
        <x:v>NO CHANGE</x:v>
      </x:c>
      <x:c r="Q57" s="38" t="str">
        <x:v>Peruvian raw fish cured in citrus with onion, chile, and fresh herbs.</x:v>
      </x:c>
    </x:row>
    <x:row r="58" ht="62" customHeight="1">
      <x:c r="A58" s="38" t="n">
        <x:v>46</x:v>
      </x:c>
      <x:c r="B58" s="38" t="str">
        <x:v>arroz-con-pollo</x:v>
      </x:c>
      <x:c r="C58" s="38" t="str">
        <x:v>Arroz con Pollo</x:v>
      </x:c>
      <x:c r="D58" s="38" t="str">
        <x:v>latin-america</x:v>
      </x:c>
      <x:c r="E58" s="38" t="str">
        <x:v>rice</x:v>
      </x:c>
      <x:c r="F58" s="38" t="str">
        <x:v>comforting</x:v>
      </x:c>
      <x:c r="G58" s="38" t="str">
        <x:v>NO ADD</x:v>
      </x:c>
      <x:c r="H58" s="38" t="str">
        <x:v>No add — the current catalog does not make chile heat or hot-spice intensity a defining trait.</x:v>
      </x:c>
      <x:c r="I58" s="38" t="str">
        <x:v>NO ADD</x:v>
      </x:c>
      <x:c r="J58" s="38" t="str">
        <x:v>No add — the current catalog does not center a bright, raw, herb-forward, vegetable-forward, or light fresh profile.</x:v>
      </x:c>
      <x:c r="K58" s="38" t="str">
        <x:v>NO ADD</x:v>
      </x:c>
      <x:c r="L58" s="38" t="str">
        <x:v>No add — the current catalog does not make crisp, crunchy, breaded, or fried texture a defining part of the dish.</x:v>
      </x:c>
      <x:c r="M58" s="38" t="str">
        <x:v>NO ADD</x:v>
      </x:c>
      <x:c r="N58" s="38" t="str">
        <x:v>No add — the current catalog does not make sour, citrus, vinegar, pickled, yogurt-acidic, or other tangy notes a defining trait.</x:v>
      </x:c>
      <x:c r="O58" s="38" t="str">
        <x:v>comforting</x:v>
      </x:c>
      <x:c r="P58" s="38" t="str">
        <x:v>NO CHANGE</x:v>
      </x:c>
      <x:c r="Q58" s="38" t="str">
        <x:v>Latin American chicken and rice cooked together with vegetables, seasonings, and broth.</x:v>
      </x:c>
    </x:row>
    <x:row r="59" ht="62" customHeight="1">
      <x:c r="A59" s="38" t="n">
        <x:v>47</x:v>
      </x:c>
      <x:c r="B59" s="38" t="str">
        <x:v>sancocho</x:v>
      </x:c>
      <x:c r="C59" s="38" t="str">
        <x:v>Sancocho</x:v>
      </x:c>
      <x:c r="D59" s="38" t="str">
        <x:v>latin-america</x:v>
      </x:c>
      <x:c r="E59" s="38" t="str">
        <x:v>soup-broth</x:v>
      </x:c>
      <x:c r="F59" s="38" t="str">
        <x:v>comforting</x:v>
      </x:c>
      <x:c r="G59" s="38" t="str">
        <x:v>NO ADD</x:v>
      </x:c>
      <x:c r="H59" s="38" t="str">
        <x:v>No add — the current catalog does not make chile heat or hot-spice intensity a defining trait.</x:v>
      </x:c>
      <x:c r="I59" s="38" t="str">
        <x:v>NO ADD</x:v>
      </x:c>
      <x:c r="J59" s="38" t="str">
        <x:v>No add — the current catalog does not center a bright, raw, herb-forward, vegetable-forward, or light fresh profile.</x:v>
      </x:c>
      <x:c r="K59" s="38" t="str">
        <x:v>NO ADD</x:v>
      </x:c>
      <x:c r="L59" s="38" t="str">
        <x:v>No add — the current catalog does not make crisp, crunchy, breaded, or fried texture a defining part of the dish.</x:v>
      </x:c>
      <x:c r="M59" s="38" t="str">
        <x:v>NO ADD</x:v>
      </x:c>
      <x:c r="N59" s="38" t="str">
        <x:v>No add — the current catalog does not make sour, citrus, vinegar, pickled, yogurt-acidic, or other tangy notes a defining trait.</x:v>
      </x:c>
      <x:c r="O59" s="38" t="str">
        <x:v>comforting</x:v>
      </x:c>
      <x:c r="P59" s="38" t="str">
        <x:v>NO CHANGE</x:v>
      </x:c>
      <x:c r="Q59" s="38" t="str">
        <x:v>Hearty Latin American stew with meat, root vegetables, plantain, corn, and broth.</x:v>
      </x:c>
    </x:row>
    <x:row r="60" ht="62" customHeight="1">
      <x:c r="A60" s="38" t="n">
        <x:v>48</x:v>
      </x:c>
      <x:c r="B60" s="38" t="str">
        <x:v>gumbo</x:v>
      </x:c>
      <x:c r="C60" s="38" t="str">
        <x:v>Gumbo</x:v>
      </x:c>
      <x:c r="D60" s="38" t="str">
        <x:v>north-america</x:v>
      </x:c>
      <x:c r="E60" s="38" t="str">
        <x:v>soup-broth</x:v>
      </x:c>
      <x:c r="F60" s="38" t="str">
        <x:v>rich | spicy</x:v>
      </x:c>
      <x:c r="G60" s="38" t="str">
        <x:v>REMOVE</x:v>
      </x:c>
      <x:c r="H60" s="38" t="str">
        <x:v>Remove — the catalog describes spices, seasoning, curry, or accompaniments without making chile heat a defining trait; the current spicy tag is broader than the text supports.</x:v>
      </x:c>
      <x:c r="I60" s="38" t="str">
        <x:v>NO ADD</x:v>
      </x:c>
      <x:c r="J60" s="38" t="str">
        <x:v>No add — the current catalog does not center a bright, raw, herb-forward, vegetable-forward, or light fresh profile.</x:v>
      </x:c>
      <x:c r="K60" s="38" t="str">
        <x:v>NO ADD</x:v>
      </x:c>
      <x:c r="L60" s="38" t="str">
        <x:v>No add — the current catalog does not make crisp, crunchy, breaded, or fried texture a defining part of the dish.</x:v>
      </x:c>
      <x:c r="M60" s="38" t="str">
        <x:v>NO ADD</x:v>
      </x:c>
      <x:c r="N60" s="38" t="str">
        <x:v>No add — the current catalog does not make sour, citrus, vinegar, pickled, yogurt-acidic, or other tangy notes a defining trait.</x:v>
      </x:c>
      <x:c r="O60" s="38" t="str">
        <x:v>rich</x:v>
      </x:c>
      <x:c r="P60" s="38" t="str">
        <x:v>CHANGES RECOMMENDED</x:v>
      </x:c>
      <x:c r="Q60" s="38" t="str">
        <x:v>Louisiana stew thickened with roux, okra, or filé and filled with meat or seafood.</x:v>
      </x:c>
    </x:row>
    <x:row r="61" ht="62" customHeight="1">
      <x:c r="A61" s="38" t="n">
        <x:v>49</x:v>
      </x:c>
      <x:c r="B61" s="38" t="str">
        <x:v>smoked-brisket</x:v>
      </x:c>
      <x:c r="C61" s="38" t="str">
        <x:v>Smoked Brisket</x:v>
      </x:c>
      <x:c r="D61" s="38" t="str">
        <x:v>north-america</x:v>
      </x:c>
      <x:c r="E61" s="38" t="str">
        <x:v>grilled-protein</x:v>
      </x:c>
      <x:c r="F61" s="38" t="str">
        <x:v>rich</x:v>
      </x:c>
      <x:c r="G61" s="38" t="str">
        <x:v>NO ADD</x:v>
      </x:c>
      <x:c r="H61" s="38" t="str">
        <x:v>No add — the current catalog does not make chile heat or hot-spice intensity a defining trait.</x:v>
      </x:c>
      <x:c r="I61" s="38" t="str">
        <x:v>NO ADD</x:v>
      </x:c>
      <x:c r="J61" s="38" t="str">
        <x:v>No add — the current catalog does not center a bright, raw, herb-forward, vegetable-forward, or light fresh profile.</x:v>
      </x:c>
      <x:c r="K61" s="38" t="str">
        <x:v>NO ADD</x:v>
      </x:c>
      <x:c r="L61" s="38" t="str">
        <x:v>No add — the current catalog does not make crisp, crunchy, breaded, or fried texture a defining part of the dish.</x:v>
      </x:c>
      <x:c r="M61" s="38" t="str">
        <x:v>NO ADD</x:v>
      </x:c>
      <x:c r="N61" s="38" t="str">
        <x:v>No add — the current catalog does not make sour, citrus, vinegar, pickled, yogurt-acidic, or other tangy notes a defining trait.</x:v>
      </x:c>
      <x:c r="O61" s="38" t="str">
        <x:v>rich</x:v>
      </x:c>
      <x:c r="P61" s="38" t="str">
        <x:v>NO CHANGE</x:v>
      </x:c>
      <x:c r="Q61" s="38" t="str">
        <x:v>Slow-smoked beef brisket with a dark bark, tender interior, and deep wood-smoke flavor.</x:v>
      </x:c>
    </x:row>
    <x:row r="62" ht="62" customHeight="1">
      <x:c r="A62" s="38" t="n">
        <x:v>50</x:v>
      </x:c>
      <x:c r="B62" s="38" t="str">
        <x:v>poke-bowl</x:v>
      </x:c>
      <x:c r="C62" s="38" t="str">
        <x:v>Poke Bowl</x:v>
      </x:c>
      <x:c r="D62" s="38" t="str">
        <x:v>north-america</x:v>
      </x:c>
      <x:c r="E62" s="38" t="str">
        <x:v>rice</x:v>
      </x:c>
      <x:c r="F62" s="38" t="str">
        <x:v>fresh | tangy</x:v>
      </x:c>
      <x:c r="G62" s="38" t="str">
        <x:v>NO ADD</x:v>
      </x:c>
      <x:c r="H62" s="38" t="str">
        <x:v>No add — the current catalog does not make chile heat or hot-spice intensity a defining trait.</x:v>
      </x:c>
      <x:c r="I62" s="38" t="str">
        <x:v>KEEP</x:v>
      </x:c>
      <x:c r="J62" s="38" t="str">
        <x:v>Keep — the current catalog supports fresh through fresh garnishes; it is specific enough to remain a recommendation signal.</x:v>
      </x:c>
      <x:c r="K62" s="38" t="str">
        <x:v>NO ADD</x:v>
      </x:c>
      <x:c r="L62" s="38" t="str">
        <x:v>No add — the current catalog does not make crisp, crunchy, breaded, or fried texture a defining part of the dish.</x:v>
      </x:c>
      <x:c r="M62" s="38" t="str">
        <x:v>REMOVE</x:v>
      </x:c>
      <x:c r="N62" s="38" t="str">
        <x:v>Remove — acidity is absent, optional, or limited to an accompaniment in the catalog description; tangy is too broad for this row.</x:v>
      </x:c>
      <x:c r="O62" s="38" t="str">
        <x:v>fresh</x:v>
      </x:c>
      <x:c r="P62" s="38" t="str">
        <x:v>CHANGES RECOMMENDED</x:v>
      </x:c>
      <x:c r="Q62" s="38" t="str">
        <x:v>Hawaiian-style rice bowl topped with seasoned raw fish, vegetables, and fresh garnishes.</x:v>
      </x:c>
    </x:row>
    <x:row r="63" ht="62" customHeight="1">
      <x:c r="A63" s="38" t="n">
        <x:v>51</x:v>
      </x:c>
      <x:c r="B63" s="38" t="str">
        <x:v>nasi-goreng</x:v>
      </x:c>
      <x:c r="C63" s="38" t="str">
        <x:v>Nasi Goreng</x:v>
      </x:c>
      <x:c r="D63" s="38" t="str">
        <x:v>southeast-asia</x:v>
      </x:c>
      <x:c r="E63" s="38" t="str">
        <x:v>rice</x:v>
      </x:c>
      <x:c r="F63" s="38" t="str">
        <x:v>comforting</x:v>
      </x:c>
      <x:c r="G63" s="38" t="str">
        <x:v>ADD</x:v>
      </x:c>
      <x:c r="H63" s="38" t="str">
        <x:v>Add — the catalog says chile is a common seasoning in nasi goreng, so spicy is a meaningful recommendation signal.</x:v>
      </x:c>
      <x:c r="I63" s="38" t="str">
        <x:v>NO ADD</x:v>
      </x:c>
      <x:c r="J63" s="38" t="str">
        <x:v>No add — the current catalog does not center a bright, raw, herb-forward, vegetable-forward, or light fresh profile.</x:v>
      </x:c>
      <x:c r="K63" s="38" t="str">
        <x:v>NO ADD</x:v>
      </x:c>
      <x:c r="L63" s="38" t="str">
        <x:v>No add — the current catalog does not make crisp, crunchy, breaded, or fried texture a defining part of the dish.</x:v>
      </x:c>
      <x:c r="M63" s="38" t="str">
        <x:v>NO ADD</x:v>
      </x:c>
      <x:c r="N63" s="38" t="str">
        <x:v>No add — the current catalog does not make sour, citrus, vinegar, pickled, yogurt-acidic, or other tangy notes a defining trait.</x:v>
      </x:c>
      <x:c r="O63" s="38" t="str">
        <x:v>comforting | spicy</x:v>
      </x:c>
      <x:c r="P63" s="38" t="str">
        <x:v>CHANGES RECOMMENDED</x:v>
      </x:c>
      <x:c r="Q63" s="38" t="str">
        <x:v>Indonesian fried rice seasoned with sweet soy, aromatics, and savory toppings.</x:v>
      </x:c>
    </x:row>
    <x:row r="64" ht="62" customHeight="1">
      <x:c r="A64" s="38" t="n">
        <x:v>52</x:v>
      </x:c>
      <x:c r="B64" s="38" t="str">
        <x:v>chicken-adobo</x:v>
      </x:c>
      <x:c r="C64" s="38" t="str">
        <x:v>Chicken Adobo</x:v>
      </x:c>
      <x:c r="D64" s="38" t="str">
        <x:v>southeast-asia</x:v>
      </x:c>
      <x:c r="E64" s="38" t="str">
        <x:v>grilled-protein</x:v>
      </x:c>
      <x:c r="F64" s="38" t="str">
        <x:v>comforting | tangy</x:v>
      </x:c>
      <x:c r="G64" s="38" t="str">
        <x:v>NO ADD</x:v>
      </x:c>
      <x:c r="H64" s="38" t="str">
        <x:v>No add — the current catalog does not make chile heat or hot-spice intensity a defining trait.</x:v>
      </x:c>
      <x:c r="I64" s="38" t="str">
        <x:v>NO ADD</x:v>
      </x:c>
      <x:c r="J64" s="38" t="str">
        <x:v>No add — the current catalog does not center a bright, raw, herb-forward, vegetable-forward, or light fresh profile.</x:v>
      </x:c>
      <x:c r="K64" s="38" t="str">
        <x:v>NO ADD</x:v>
      </x:c>
      <x:c r="L64" s="38" t="str">
        <x:v>No add — the current catalog does not make crisp, crunchy, breaded, or fried texture a defining part of the dish.</x:v>
      </x:c>
      <x:c r="M64" s="38" t="str">
        <x:v>KEEP</x:v>
      </x:c>
      <x:c r="N64" s="38" t="str">
        <x:v>Keep — the current catalog supports tangy through explicitly described as tangy; it is specific enough to remain a recommendation signal.</x:v>
      </x:c>
      <x:c r="O64" s="38" t="str">
        <x:v>comforting | tangy</x:v>
      </x:c>
      <x:c r="P64" s="38" t="str">
        <x:v>NO CHANGE</x:v>
      </x:c>
      <x:c r="Q64" s="38" t="str">
        <x:v>Filipino chicken braised with vinegar, soy sauce, garlic, peppercorns, and bay leaves.</x:v>
      </x:c>
    </x:row>
    <x:row r="65" ht="62" customHeight="1">
      <x:c r="A65" s="38" t="n">
        <x:v>53</x:v>
      </x:c>
      <x:c r="B65" s="38" t="str">
        <x:v>satay</x:v>
      </x:c>
      <x:c r="C65" s="38" t="str">
        <x:v>Satay</x:v>
      </x:c>
      <x:c r="D65" s="38" t="str">
        <x:v>southeast-asia</x:v>
      </x:c>
      <x:c r="E65" s="38" t="str">
        <x:v>grilled-protein</x:v>
      </x:c>
      <x:c r="F65" s="38" t="str">
        <x:v>rich | spicy</x:v>
      </x:c>
      <x:c r="G65" s="38" t="str">
        <x:v>REMOVE</x:v>
      </x:c>
      <x:c r="H65" s="38" t="str">
        <x:v>Remove — the catalog describes spices, seasoning, curry, or accompaniments without making chile heat a defining trait; the current spicy tag is broader than the text supports.</x:v>
      </x:c>
      <x:c r="I65" s="38" t="str">
        <x:v>NO ADD</x:v>
      </x:c>
      <x:c r="J65" s="38" t="str">
        <x:v>No add — the current catalog does not center a bright, raw, herb-forward, vegetable-forward, or light fresh profile.</x:v>
      </x:c>
      <x:c r="K65" s="38" t="str">
        <x:v>NO ADD</x:v>
      </x:c>
      <x:c r="L65" s="38" t="str">
        <x:v>No add — the current catalog does not make crisp, crunchy, breaded, or fried texture a defining part of the dish.</x:v>
      </x:c>
      <x:c r="M65" s="38" t="str">
        <x:v>NO ADD</x:v>
      </x:c>
      <x:c r="N65" s="38" t="str">
        <x:v>No add — the current catalog does not make sour, citrus, vinegar, pickled, yogurt-acidic, or other tangy notes a defining trait.</x:v>
      </x:c>
      <x:c r="O65" s="38" t="str">
        <x:v>rich</x:v>
      </x:c>
      <x:c r="P65" s="38" t="str">
        <x:v>CHANGES RECOMMENDED</x:v>
      </x:c>
      <x:c r="Q65" s="38" t="str">
        <x:v>Southeast Asian skewered meat grilled over high heat and often served with peanut sauce.</x:v>
      </x:c>
    </x:row>
    <x:row r="66" ht="62" customHeight="1">
      <x:c r="A66" s="38" t="n">
        <x:v>54</x:v>
      </x:c>
      <x:c r="B66" s="38" t="str">
        <x:v>laksa</x:v>
      </x:c>
      <x:c r="C66" s="38" t="str">
        <x:v>Laksa</x:v>
      </x:c>
      <x:c r="D66" s="38" t="str">
        <x:v>southeast-asia</x:v>
      </x:c>
      <x:c r="E66" s="38" t="str">
        <x:v>soup-broth</x:v>
      </x:c>
      <x:c r="F66" s="38" t="str">
        <x:v>spicy</x:v>
      </x:c>
      <x:c r="G66" s="38" t="str">
        <x:v>KEEP</x:v>
      </x:c>
      <x:c r="H66" s="38" t="str">
        <x:v>Keep — the current catalog supports spicy through explicitly described as spicy; it is specific enough to remain a recommendation signal.</x:v>
      </x:c>
      <x:c r="I66" s="38" t="str">
        <x:v>NO ADD</x:v>
      </x:c>
      <x:c r="J66" s="38" t="str">
        <x:v>No add — the current catalog does not center a bright, raw, herb-forward, vegetable-forward, or light fresh profile.</x:v>
      </x:c>
      <x:c r="K66" s="38" t="str">
        <x:v>NO ADD</x:v>
      </x:c>
      <x:c r="L66" s="38" t="str">
        <x:v>No add — the current catalog does not make crisp, crunchy, breaded, or fried texture a defining part of the dish.</x:v>
      </x:c>
      <x:c r="M66" s="38" t="str">
        <x:v>NO ADD</x:v>
      </x:c>
      <x:c r="N66" s="38" t="str">
        <x:v>No add — the current catalog does not make sour, citrus, vinegar, pickled, yogurt-acidic, or other tangy notes a defining trait.</x:v>
      </x:c>
      <x:c r="O66" s="38" t="str">
        <x:v>spicy</x:v>
      </x:c>
      <x:c r="P66" s="38" t="str">
        <x:v>NO CHANGE</x:v>
      </x:c>
      <x:c r="Q66" s="38" t="str">
        <x:v>Southeast Asian noodle soup with a spicy, aromatic broth and varied regional toppings.</x:v>
      </x:c>
    </x:row>
    <x:row r="67" ht="62" customHeight="1">
      <x:c r="A67" s="38" t="n">
        <x:v>55</x:v>
      </x:c>
      <x:c r="B67" s="38" t="str">
        <x:v>banh-mi</x:v>
      </x:c>
      <x:c r="C67" s="38" t="str">
        <x:v>Bánh Mì</x:v>
      </x:c>
      <x:c r="D67" s="38" t="str">
        <x:v>southeast-asia</x:v>
      </x:c>
      <x:c r="E67" s="38" t="str">
        <x:v>handheld</x:v>
      </x:c>
      <x:c r="F67" s="38" t="str">
        <x:v>fresh | crispy | tangy</x:v>
      </x:c>
      <x:c r="G67" s="38" t="str">
        <x:v>NO ADD</x:v>
      </x:c>
      <x:c r="H67" s="38" t="str">
        <x:v>No add — the current catalog does not make chile heat or hot-spice intensity a defining trait.</x:v>
      </x:c>
      <x:c r="I67" s="38" t="str">
        <x:v>KEEP</x:v>
      </x:c>
      <x:c r="J67" s="38" t="str">
        <x:v>Keep — the current catalog supports fresh through cucumber; it is specific enough to remain a recommendation signal.</x:v>
      </x:c>
      <x:c r="K67" s="38" t="str">
        <x:v>KEEP</x:v>
      </x:c>
      <x:c r="L67" s="38" t="str">
        <x:v>Keep — the current catalog supports crispy through explicit crisp texture; it is specific enough to remain a recommendation signal.</x:v>
      </x:c>
      <x:c r="M67" s="38" t="str">
        <x:v>KEEP</x:v>
      </x:c>
      <x:c r="N67" s="38" t="str">
        <x:v>Keep — the current catalog supports tangy through pickled components; it is specific enough to remain a recommendation signal.</x:v>
      </x:c>
      <x:c r="O67" s="38" t="str">
        <x:v>fresh | crispy | tangy</x:v>
      </x:c>
      <x:c r="P67" s="38" t="str">
        <x:v>NO CHANGE</x:v>
      </x:c>
      <x:c r="Q67" s="38" t="str">
        <x:v>Vietnamese baguette sandwich layered with savory fillings, pickles, herbs, and chile.</x:v>
      </x:c>
    </x:row>
    <x:row r="68" ht="62" customHeight="1">
      <x:c r="A68" s="38" t="n">
        <x:v>56</x:v>
      </x:c>
      <x:c r="B68" s="38" t="str">
        <x:v>sinigang</x:v>
      </x:c>
      <x:c r="C68" s="38" t="str">
        <x:v>Sinigang</x:v>
      </x:c>
      <x:c r="D68" s="38" t="str">
        <x:v>southeast-asia</x:v>
      </x:c>
      <x:c r="E68" s="38" t="str">
        <x:v>soup-broth</x:v>
      </x:c>
      <x:c r="F68" s="38" t="str">
        <x:v>tangy | comforting</x:v>
      </x:c>
      <x:c r="G68" s="38" t="str">
        <x:v>NO ADD</x:v>
      </x:c>
      <x:c r="H68" s="38" t="str">
        <x:v>No add — the current catalog does not make chile heat or hot-spice intensity a defining trait.</x:v>
      </x:c>
      <x:c r="I68" s="38" t="str">
        <x:v>NO ADD</x:v>
      </x:c>
      <x:c r="J68" s="38" t="str">
        <x:v>No add — the current catalog does not center a bright, raw, herb-forward, vegetable-forward, or light fresh profile.</x:v>
      </x:c>
      <x:c r="K68" s="38" t="str">
        <x:v>NO ADD</x:v>
      </x:c>
      <x:c r="L68" s="38" t="str">
        <x:v>No add — the current catalog does not make crisp, crunchy, breaded, or fried texture a defining part of the dish.</x:v>
      </x:c>
      <x:c r="M68" s="38" t="str">
        <x:v>KEEP</x:v>
      </x:c>
      <x:c r="N68" s="38" t="str">
        <x:v>Keep — the current catalog supports tangy through explicitly described as tangy; it is specific enough to remain a recommendation signal.</x:v>
      </x:c>
      <x:c r="O68" s="38" t="str">
        <x:v>tangy | comforting</x:v>
      </x:c>
      <x:c r="P68" s="38" t="str">
        <x:v>NO CHANGE</x:v>
      </x:c>
      <x:c r="Q68" s="38" t="str">
        <x:v>Filipino sour soup with meat or seafood, vegetables, and a bright tamarind-forward broth.</x:v>
      </x:c>
    </x:row>
    <x:row r="69" ht="62" customHeight="1">
      <x:c r="A69" s="38" t="n">
        <x:v>57</x:v>
      </x:c>
      <x:c r="B69" s="38" t="str">
        <x:v>gyoza</x:v>
      </x:c>
      <x:c r="C69" s="38" t="str">
        <x:v>Gyoza</x:v>
      </x:c>
      <x:c r="D69" s="38" t="str">
        <x:v>east-asia</x:v>
      </x:c>
      <x:c r="E69" s="38" t="str">
        <x:v>handheld</x:v>
      </x:c>
      <x:c r="F69" s="38" t="str">
        <x:v>crispy</x:v>
      </x:c>
      <x:c r="G69" s="38" t="str">
        <x:v>NO ADD</x:v>
      </x:c>
      <x:c r="H69" s="38" t="str">
        <x:v>No add — the current catalog does not make chile heat or hot-spice intensity a defining trait.</x:v>
      </x:c>
      <x:c r="I69" s="38" t="str">
        <x:v>NO ADD</x:v>
      </x:c>
      <x:c r="J69" s="38" t="str">
        <x:v>No add — the current catalog does not center a bright, raw, herb-forward, vegetable-forward, or light fresh profile.</x:v>
      </x:c>
      <x:c r="K69" s="38" t="str">
        <x:v>KEEP</x:v>
      </x:c>
      <x:c r="L69" s="38" t="str">
        <x:v>Keep — the current catalog supports crispy through explicit crisp texture; it is specific enough to remain a recommendation signal.</x:v>
      </x:c>
      <x:c r="M69" s="38" t="str">
        <x:v>NO ADD</x:v>
      </x:c>
      <x:c r="N69" s="38" t="str">
        <x:v>No add — the current catalog does not make sour, citrus, vinegar, pickled, yogurt-acidic, or other tangy notes a defining trait.</x:v>
      </x:c>
      <x:c r="O69" s="38" t="str">
        <x:v>crispy</x:v>
      </x:c>
      <x:c r="P69" s="38" t="str">
        <x:v>NO CHANGE</x:v>
      </x:c>
      <x:c r="Q69" s="38" t="str">
        <x:v>Japanese dumplings filled with meat and vegetables, often pan-fried for a crisp base.</x:v>
      </x:c>
    </x:row>
    <x:row r="70" ht="62" customHeight="1">
      <x:c r="A70" s="38" t="n">
        <x:v>58</x:v>
      </x:c>
      <x:c r="B70" s="38" t="str">
        <x:v>tonkatsu</x:v>
      </x:c>
      <x:c r="C70" s="38" t="str">
        <x:v>Tonkatsu</x:v>
      </x:c>
      <x:c r="D70" s="38" t="str">
        <x:v>east-asia</x:v>
      </x:c>
      <x:c r="E70" s="38" t="str">
        <x:v>grilled-protein</x:v>
      </x:c>
      <x:c r="F70" s="38" t="str">
        <x:v>crispy | comforting</x:v>
      </x:c>
      <x:c r="G70" s="38" t="str">
        <x:v>NO ADD</x:v>
      </x:c>
      <x:c r="H70" s="38" t="str">
        <x:v>No add — the current catalog does not make chile heat or hot-spice intensity a defining trait.</x:v>
      </x:c>
      <x:c r="I70" s="38" t="str">
        <x:v>NO ADD</x:v>
      </x:c>
      <x:c r="J70" s="38" t="str">
        <x:v>No add — the current catalog does not center a bright, raw, herb-forward, vegetable-forward, or light fresh profile.</x:v>
      </x:c>
      <x:c r="K70" s="38" t="str">
        <x:v>KEEP</x:v>
      </x:c>
      <x:c r="L70" s="38" t="str">
        <x:v>Keep — the current catalog supports crispy through explicit crisp texture; it is specific enough to remain a recommendation signal.</x:v>
      </x:c>
      <x:c r="M70" s="38" t="str">
        <x:v>NO ADD</x:v>
      </x:c>
      <x:c r="N70" s="38" t="str">
        <x:v>No add — the current catalog does not make sour, citrus, vinegar, pickled, yogurt-acidic, or other tangy notes a defining trait.</x:v>
      </x:c>
      <x:c r="O70" s="38" t="str">
        <x:v>crispy | comforting</x:v>
      </x:c>
      <x:c r="P70" s="38" t="str">
        <x:v>NO CHANGE</x:v>
      </x:c>
      <x:c r="Q70" s="38" t="str">
        <x:v>Japanese breaded pork cutlet fried until crisp and served with shredded cabbage and sauce.</x:v>
      </x:c>
    </x:row>
    <x:row r="71" ht="62" customHeight="1">
      <x:c r="A71" s="38" t="n">
        <x:v>59</x:v>
      </x:c>
      <x:c r="B71" s="38" t="str">
        <x:v>congee</x:v>
      </x:c>
      <x:c r="C71" s="38" t="str">
        <x:v>Congee</x:v>
      </x:c>
      <x:c r="D71" s="38" t="str">
        <x:v>east-asia</x:v>
      </x:c>
      <x:c r="E71" s="38" t="str">
        <x:v>rice</x:v>
      </x:c>
      <x:c r="F71" s="38" t="str">
        <x:v>comforting | fresh</x:v>
      </x:c>
      <x:c r="G71" s="38" t="str">
        <x:v>NO ADD</x:v>
      </x:c>
      <x:c r="H71" s="38" t="str">
        <x:v>No add — the current catalog does not make chile heat or hot-spice intensity a defining trait.</x:v>
      </x:c>
      <x:c r="I71" s="38" t="str">
        <x:v>REMOVE</x:v>
      </x:c>
      <x:c r="J71" s="38" t="str">
        <x:v>Remove — the catalog describes a cooked, grilled, baked, or hearty preparation; any vegetables, herbs, or garnishes are not central enough to make fresh a defining recommendation trait.</x:v>
      </x:c>
      <x:c r="K71" s="38" t="str">
        <x:v>NO ADD</x:v>
      </x:c>
      <x:c r="L71" s="38" t="str">
        <x:v>No add — the current catalog does not make crisp, crunchy, breaded, or fried texture a defining part of the dish.</x:v>
      </x:c>
      <x:c r="M71" s="38" t="str">
        <x:v>NO ADD</x:v>
      </x:c>
      <x:c r="N71" s="38" t="str">
        <x:v>No add — the current catalog does not make sour, citrus, vinegar, pickled, yogurt-acidic, or other tangy notes a defining trait.</x:v>
      </x:c>
      <x:c r="O71" s="38" t="str">
        <x:v>comforting</x:v>
      </x:c>
      <x:c r="P71" s="38" t="str">
        <x:v>CHANGES RECOMMENDED</x:v>
      </x:c>
      <x:c r="Q71" s="38" t="str">
        <x:v>Soft rice porridge served plain or topped with savory meats, eggs, herbs, and condiments.</x:v>
      </x:c>
    </x:row>
    <x:row r="72" ht="62" customHeight="1">
      <x:c r="A72" s="38" t="n">
        <x:v>60</x:v>
      </x:c>
      <x:c r="B72" s="38" t="str">
        <x:v>samosa</x:v>
      </x:c>
      <x:c r="C72" s="38" t="str">
        <x:v>Samosa</x:v>
      </x:c>
      <x:c r="D72" s="38" t="str">
        <x:v>south-asia</x:v>
      </x:c>
      <x:c r="E72" s="38" t="str">
        <x:v>handheld</x:v>
      </x:c>
      <x:c r="F72" s="38" t="str">
        <x:v>crispy | spicy</x:v>
      </x:c>
      <x:c r="G72" s="38" t="str">
        <x:v>REMOVE</x:v>
      </x:c>
      <x:c r="H72" s="38" t="str">
        <x:v>Remove — the catalog describes spices, seasoning, curry, or accompaniments without making chile heat a defining trait; the current spicy tag is broader than the text supports.</x:v>
      </x:c>
      <x:c r="I72" s="38" t="str">
        <x:v>NO ADD</x:v>
      </x:c>
      <x:c r="J72" s="38" t="str">
        <x:v>No add — the current catalog does not center a bright, raw, herb-forward, vegetable-forward, or light fresh profile.</x:v>
      </x:c>
      <x:c r="K72" s="38" t="str">
        <x:v>KEEP</x:v>
      </x:c>
      <x:c r="L72" s="38" t="str">
        <x:v>Keep — the current catalog supports crispy through explicit crisp texture; it is specific enough to remain a recommendation signal.</x:v>
      </x:c>
      <x:c r="M72" s="38" t="str">
        <x:v>NO ADD</x:v>
      </x:c>
      <x:c r="N72" s="38" t="str">
        <x:v>No add — the current catalog does not make sour, citrus, vinegar, pickled, yogurt-acidic, or other tangy notes a defining trait.</x:v>
      </x:c>
      <x:c r="O72" s="38" t="str">
        <x:v>crispy</x:v>
      </x:c>
      <x:c r="P72" s="38" t="str">
        <x:v>CHANGES RECOMMENDED</x:v>
      </x:c>
      <x:c r="Q72" s="38" t="str">
        <x:v>Crisp South Asian pastry filled with spiced potato, peas, meat, or other savory fillings.</x:v>
      </x:c>
    </x:row>
    <x:row r="73" ht="62" customHeight="1">
      <x:c r="A73" s="38" t="n">
        <x:v>61</x:v>
      </x:c>
      <x:c r="B73" s="38" t="str">
        <x:v>tandoori-chicken</x:v>
      </x:c>
      <x:c r="C73" s="38" t="str">
        <x:v>Tandoori Chicken</x:v>
      </x:c>
      <x:c r="D73" s="38" t="str">
        <x:v>south-asia</x:v>
      </x:c>
      <x:c r="E73" s="38" t="str">
        <x:v>grilled-protein</x:v>
      </x:c>
      <x:c r="F73" s="38" t="str">
        <x:v>spicy</x:v>
      </x:c>
      <x:c r="G73" s="38" t="str">
        <x:v>REMOVE</x:v>
      </x:c>
      <x:c r="H73" s="38" t="str">
        <x:v>Remove — the catalog describes spices, seasoning, curry, or accompaniments without making chile heat a defining trait; the current spicy tag is broader than the text supports.</x:v>
      </x:c>
      <x:c r="I73" s="38" t="str">
        <x:v>NO ADD</x:v>
      </x:c>
      <x:c r="J73" s="38" t="str">
        <x:v>No add — the current catalog does not center a bright, raw, herb-forward, vegetable-forward, or light fresh profile.</x:v>
      </x:c>
      <x:c r="K73" s="38" t="str">
        <x:v>NO ADD</x:v>
      </x:c>
      <x:c r="L73" s="38" t="str">
        <x:v>No add — the current catalog does not make crisp, crunchy, breaded, or fried texture a defining part of the dish.</x:v>
      </x:c>
      <x:c r="M73" s="38" t="str">
        <x:v>NO ADD</x:v>
      </x:c>
      <x:c r="N73" s="38" t="str">
        <x:v>No add — the current catalog does not make sour, citrus, vinegar, pickled, yogurt-acidic, or other tangy notes a defining trait.</x:v>
      </x:c>
      <x:c r="O73" s="38" t="str">
        <x:v>NEEDS RETAG</x:v>
      </x:c>
      <x:c r="P73" s="38" t="str">
        <x:v>RETAG NEEDED</x:v>
      </x:c>
      <x:c r="Q73" s="38" t="str">
        <x:v>Yogurt-and-spice marinated chicken roasted at high heat in a tandoor.</x:v>
      </x:c>
    </x:row>
    <x:row r="74" ht="62" customHeight="1">
      <x:c r="A74" s="38" t="n">
        <x:v>62</x:v>
      </x:c>
      <x:c r="B74" s="38" t="str">
        <x:v>idiyappam</x:v>
      </x:c>
      <x:c r="C74" s="38" t="str">
        <x:v>Idiyappam</x:v>
      </x:c>
      <x:c r="D74" s="38" t="str">
        <x:v>south-asia</x:v>
      </x:c>
      <x:c r="E74" s="38" t="str">
        <x:v>noodle</x:v>
      </x:c>
      <x:c r="F74" s="38" t="str">
        <x:v>comforting | fresh</x:v>
      </x:c>
      <x:c r="G74" s="38" t="str">
        <x:v>NO ADD</x:v>
      </x:c>
      <x:c r="H74" s="38" t="str">
        <x:v>No add — the current catalog does not make chile heat or hot-spice intensity a defining trait.</x:v>
      </x:c>
      <x:c r="I74" s="38" t="str">
        <x:v>REMOVE</x:v>
      </x:c>
      <x:c r="J74" s="38" t="str">
        <x:v>Remove — the catalog describes a cooked, grilled, baked, or hearty preparation; any vegetables, herbs, or garnishes are not central enough to make fresh a defining recommendation trait.</x:v>
      </x:c>
      <x:c r="K74" s="38" t="str">
        <x:v>NO ADD</x:v>
      </x:c>
      <x:c r="L74" s="38" t="str">
        <x:v>No add — the current catalog does not make crisp, crunchy, breaded, or fried texture a defining part of the dish.</x:v>
      </x:c>
      <x:c r="M74" s="38" t="str">
        <x:v>NO ADD</x:v>
      </x:c>
      <x:c r="N74" s="38" t="str">
        <x:v>No add — the current catalog does not make sour, citrus, vinegar, pickled, yogurt-acidic, or other tangy notes a defining trait.</x:v>
      </x:c>
      <x:c r="O74" s="38" t="str">
        <x:v>comforting</x:v>
      </x:c>
      <x:c r="P74" s="38" t="str">
        <x:v>CHANGES RECOMMENDED</x:v>
      </x:c>
      <x:c r="Q74" s="38" t="str">
        <x:v>Steamed rice-flour noodle nests served with curries, coconut milk, or savory accompaniments.</x:v>
      </x:c>
    </x:row>
    <x:row r="75" ht="62" customHeight="1">
      <x:c r="A75" s="38" t="n">
        <x:v>63</x:v>
      </x:c>
      <x:c r="B75" s="38" t="str">
        <x:v>falafel</x:v>
      </x:c>
      <x:c r="C75" s="38" t="str">
        <x:v>Falafel</x:v>
      </x:c>
      <x:c r="D75" s="38" t="str">
        <x:v>middle-east</x:v>
      </x:c>
      <x:c r="E75" s="38" t="str">
        <x:v>handheld</x:v>
      </x:c>
      <x:c r="F75" s="38" t="str">
        <x:v>crispy | fresh</x:v>
      </x:c>
      <x:c r="G75" s="38" t="str">
        <x:v>NO ADD</x:v>
      </x:c>
      <x:c r="H75" s="38" t="str">
        <x:v>No add — the current catalog does not make chile heat or hot-spice intensity a defining trait.</x:v>
      </x:c>
      <x:c r="I75" s="38" t="str">
        <x:v>KEEP</x:v>
      </x:c>
      <x:c r="J75" s="38" t="str">
        <x:v>Keep — the current catalog supports fresh through herbs; it is specific enough to remain a recommendation signal.</x:v>
      </x:c>
      <x:c r="K75" s="38" t="str">
        <x:v>KEEP</x:v>
      </x:c>
      <x:c r="L75" s="38" t="str">
        <x:v>Keep — the current catalog supports crispy through explicit crisp texture; it is specific enough to remain a recommendation signal.</x:v>
      </x:c>
      <x:c r="M75" s="38" t="str">
        <x:v>NO ADD</x:v>
      </x:c>
      <x:c r="N75" s="38" t="str">
        <x:v>No add — the current catalog does not make sour, citrus, vinegar, pickled, yogurt-acidic, or other tangy notes a defining trait.</x:v>
      </x:c>
      <x:c r="O75" s="38" t="str">
        <x:v>crispy | fresh</x:v>
      </x:c>
      <x:c r="P75" s="38" t="str">
        <x:v>NO CHANGE</x:v>
      </x:c>
      <x:c r="Q75" s="38" t="str">
        <x:v>Fried chickpea or fava-bean patties served in flatbread with vegetables, herbs, and sauces.</x:v>
      </x:c>
    </x:row>
    <x:row r="76" ht="62" customHeight="1">
      <x:c r="A76" s="38" t="n">
        <x:v>64</x:v>
      </x:c>
      <x:c r="B76" s="38" t="str">
        <x:v>kabab-koobideh</x:v>
      </x:c>
      <x:c r="C76" s="38" t="str">
        <x:v>Kabab Koobideh</x:v>
      </x:c>
      <x:c r="D76" s="38" t="str">
        <x:v>middle-east</x:v>
      </x:c>
      <x:c r="E76" s="38" t="str">
        <x:v>grilled-protein</x:v>
      </x:c>
      <x:c r="F76" s="38" t="str">
        <x:v>rich</x:v>
      </x:c>
      <x:c r="G76" s="38" t="str">
        <x:v>NO ADD</x:v>
      </x:c>
      <x:c r="H76" s="38" t="str">
        <x:v>No add — the current catalog does not make chile heat or hot-spice intensity a defining trait.</x:v>
      </x:c>
      <x:c r="I76" s="38" t="str">
        <x:v>NO ADD</x:v>
      </x:c>
      <x:c r="J76" s="38" t="str">
        <x:v>No add — the current catalog does not center a bright, raw, herb-forward, vegetable-forward, or light fresh profile.</x:v>
      </x:c>
      <x:c r="K76" s="38" t="str">
        <x:v>NO ADD</x:v>
      </x:c>
      <x:c r="L76" s="38" t="str">
        <x:v>No add — the current catalog does not make crisp, crunchy, breaded, or fried texture a defining part of the dish.</x:v>
      </x:c>
      <x:c r="M76" s="38" t="str">
        <x:v>NO ADD</x:v>
      </x:c>
      <x:c r="N76" s="38" t="str">
        <x:v>No add — the current catalog does not make sour, citrus, vinegar, pickled, yogurt-acidic, or other tangy notes a defining trait.</x:v>
      </x:c>
      <x:c r="O76" s="38" t="str">
        <x:v>rich</x:v>
      </x:c>
      <x:c r="P76" s="38" t="str">
        <x:v>NO CHANGE</x:v>
      </x:c>
      <x:c r="Q76" s="38" t="str">
        <x:v>Iranian ground-meat kebab seasoned with onion and grilled on wide skewers.</x:v>
      </x:c>
    </x:row>
    <x:row r="77" ht="62" customHeight="1">
      <x:c r="A77" s="38" t="n">
        <x:v>65</x:v>
      </x:c>
      <x:c r="B77" s="38" t="str">
        <x:v>mujadara</x:v>
      </x:c>
      <x:c r="C77" s="38" t="str">
        <x:v>Mujadara</x:v>
      </x:c>
      <x:c r="D77" s="38" t="str">
        <x:v>middle-east</x:v>
      </x:c>
      <x:c r="E77" s="38" t="str">
        <x:v>rice</x:v>
      </x:c>
      <x:c r="F77" s="38" t="str">
        <x:v>comforting | fresh</x:v>
      </x:c>
      <x:c r="G77" s="38" t="str">
        <x:v>NO ADD</x:v>
      </x:c>
      <x:c r="H77" s="38" t="str">
        <x:v>No add — the current catalog does not make chile heat or hot-spice intensity a defining trait.</x:v>
      </x:c>
      <x:c r="I77" s="38" t="str">
        <x:v>REMOVE</x:v>
      </x:c>
      <x:c r="J77" s="38" t="str">
        <x:v>Remove — the catalog describes a cooked, grilled, baked, or hearty preparation; any vegetables, herbs, or garnishes are not central enough to make fresh a defining recommendation trait.</x:v>
      </x:c>
      <x:c r="K77" s="38" t="str">
        <x:v>NO ADD</x:v>
      </x:c>
      <x:c r="L77" s="38" t="str">
        <x:v>No add — the current catalog does not make crisp, crunchy, breaded, or fried texture a defining part of the dish.</x:v>
      </x:c>
      <x:c r="M77" s="38" t="str">
        <x:v>NO ADD</x:v>
      </x:c>
      <x:c r="N77" s="38" t="str">
        <x:v>No add — the current catalog does not make sour, citrus, vinegar, pickled, yogurt-acidic, or other tangy notes a defining trait.</x:v>
      </x:c>
      <x:c r="O77" s="38" t="str">
        <x:v>comforting</x:v>
      </x:c>
      <x:c r="P77" s="38" t="str">
        <x:v>CHANGES RECOMMENDED</x:v>
      </x:c>
      <x:c r="Q77" s="38" t="str">
        <x:v>Levantine lentils and rice topped with deeply browned onions.</x:v>
      </x:c>
    </x:row>
    <x:row r="78" ht="62" customHeight="1">
      <x:c r="A78" s="38" t="n">
        <x:v>66</x:v>
      </x:c>
      <x:c r="B78" s="38" t="str">
        <x:v>bunny-chow</x:v>
      </x:c>
      <x:c r="C78" s="38" t="str">
        <x:v>Bunny Chow</x:v>
      </x:c>
      <x:c r="D78" s="38" t="str">
        <x:v>africa</x:v>
      </x:c>
      <x:c r="E78" s="38" t="str">
        <x:v>handheld</x:v>
      </x:c>
      <x:c r="F78" s="38" t="str">
        <x:v>spicy | rich</x:v>
      </x:c>
      <x:c r="G78" s="38" t="str">
        <x:v>REMOVE</x:v>
      </x:c>
      <x:c r="H78" s="38" t="str">
        <x:v>Remove — the catalog describes spices, seasoning, curry, or accompaniments without making chile heat a defining trait; the current spicy tag is broader than the text supports.</x:v>
      </x:c>
      <x:c r="I78" s="38" t="str">
        <x:v>NO ADD</x:v>
      </x:c>
      <x:c r="J78" s="38" t="str">
        <x:v>No add — the current catalog does not center a bright, raw, herb-forward, vegetable-forward, or light fresh profile.</x:v>
      </x:c>
      <x:c r="K78" s="38" t="str">
        <x:v>NO ADD</x:v>
      </x:c>
      <x:c r="L78" s="38" t="str">
        <x:v>No add — the current catalog does not make crisp, crunchy, breaded, or fried texture a defining part of the dish.</x:v>
      </x:c>
      <x:c r="M78" s="38" t="str">
        <x:v>NO ADD</x:v>
      </x:c>
      <x:c r="N78" s="38" t="str">
        <x:v>No add — the current catalog does not make sour, citrus, vinegar, pickled, yogurt-acidic, or other tangy notes a defining trait.</x:v>
      </x:c>
      <x:c r="O78" s="38" t="str">
        <x:v>rich</x:v>
      </x:c>
      <x:c r="P78" s="38" t="str">
        <x:v>CHANGES RECOMMENDED</x:v>
      </x:c>
      <x:c r="Q78" s="38" t="str">
        <x:v>South African hollowed bread loaf filled with a rich, spiced curry.</x:v>
      </x:c>
    </x:row>
    <x:row r="79" ht="62" customHeight="1">
      <x:c r="A79" s="38" t="n">
        <x:v>67</x:v>
      </x:c>
      <x:c r="B79" s="38" t="str">
        <x:v>bobotie</x:v>
      </x:c>
      <x:c r="C79" s="38" t="str">
        <x:v>Bobotie</x:v>
      </x:c>
      <x:c r="D79" s="38" t="str">
        <x:v>africa</x:v>
      </x:c>
      <x:c r="E79" s="38" t="str">
        <x:v>grilled-protein</x:v>
      </x:c>
      <x:c r="F79" s="38" t="str">
        <x:v>rich | comforting</x:v>
      </x:c>
      <x:c r="G79" s="38" t="str">
        <x:v>NO ADD</x:v>
      </x:c>
      <x:c r="H79" s="38" t="str">
        <x:v>No add — the current catalog does not make chile heat or hot-spice intensity a defining trait.</x:v>
      </x:c>
      <x:c r="I79" s="38" t="str">
        <x:v>NO ADD</x:v>
      </x:c>
      <x:c r="J79" s="38" t="str">
        <x:v>No add — the current catalog does not center a bright, raw, herb-forward, vegetable-forward, or light fresh profile.</x:v>
      </x:c>
      <x:c r="K79" s="38" t="str">
        <x:v>NO ADD</x:v>
      </x:c>
      <x:c r="L79" s="38" t="str">
        <x:v>No add — the current catalog does not make crisp, crunchy, breaded, or fried texture a defining part of the dish.</x:v>
      </x:c>
      <x:c r="M79" s="38" t="str">
        <x:v>NO ADD</x:v>
      </x:c>
      <x:c r="N79" s="38" t="str">
        <x:v>No add — the current catalog does not make sour, citrus, vinegar, pickled, yogurt-acidic, or other tangy notes a defining trait.</x:v>
      </x:c>
      <x:c r="O79" s="38" t="str">
        <x:v>rich | comforting</x:v>
      </x:c>
      <x:c r="P79" s="38" t="str">
        <x:v>NO CHANGE</x:v>
      </x:c>
      <x:c r="Q79" s="38" t="str">
        <x:v>South African spiced minced-meat bake topped with a savory egg custard.</x:v>
      </x:c>
    </x:row>
    <x:row r="80" ht="62" customHeight="1">
      <x:c r="A80" s="38" t="n">
        <x:v>68</x:v>
      </x:c>
      <x:c r="B80" s="38" t="str">
        <x:v>egusi-soup</x:v>
      </x:c>
      <x:c r="C80" s="38" t="str">
        <x:v>Egusi Soup</x:v>
      </x:c>
      <x:c r="D80" s="38" t="str">
        <x:v>africa</x:v>
      </x:c>
      <x:c r="E80" s="38" t="str">
        <x:v>soup-broth</x:v>
      </x:c>
      <x:c r="F80" s="38" t="str">
        <x:v>rich | spicy</x:v>
      </x:c>
      <x:c r="G80" s="38" t="str">
        <x:v>KEEP</x:v>
      </x:c>
      <x:c r="H80" s="38" t="str">
        <x:v>Keep — the current catalog supports spicy through chile; it is specific enough to remain a recommendation signal.</x:v>
      </x:c>
      <x:c r="I80" s="38" t="str">
        <x:v>NO ADD</x:v>
      </x:c>
      <x:c r="J80" s="38" t="str">
        <x:v>No add — the current catalog does not center a bright, raw, herb-forward, vegetable-forward, or light fresh profile.</x:v>
      </x:c>
      <x:c r="K80" s="38" t="str">
        <x:v>NO ADD</x:v>
      </x:c>
      <x:c r="L80" s="38" t="str">
        <x:v>No add — the current catalog does not make crisp, crunchy, breaded, or fried texture a defining part of the dish.</x:v>
      </x:c>
      <x:c r="M80" s="38" t="str">
        <x:v>NO ADD</x:v>
      </x:c>
      <x:c r="N80" s="38" t="str">
        <x:v>No add — the current catalog does not make sour, citrus, vinegar, pickled, yogurt-acidic, or other tangy notes a defining trait.</x:v>
      </x:c>
      <x:c r="O80" s="38" t="str">
        <x:v>rich | spicy</x:v>
      </x:c>
      <x:c r="P80" s="38" t="str">
        <x:v>NO CHANGE</x:v>
      </x:c>
      <x:c r="Q80" s="38" t="str">
        <x:v>West African soup thickened with ground melon seeds and cooked with greens, meat, or fish.</x:v>
      </x:c>
    </x:row>
    <x:row r="81" ht="62" customHeight="1">
      <x:c r="A81" s="38" t="n">
        <x:v>69</x:v>
      </x:c>
      <x:c r="B81" s="38" t="str">
        <x:v>risotto</x:v>
      </x:c>
      <x:c r="C81" s="38" t="str">
        <x:v>Risotto</x:v>
      </x:c>
      <x:c r="D81" s="38" t="str">
        <x:v>europe</x:v>
      </x:c>
      <x:c r="E81" s="38" t="str">
        <x:v>rice</x:v>
      </x:c>
      <x:c r="F81" s="38" t="str">
        <x:v>rich | comforting</x:v>
      </x:c>
      <x:c r="G81" s="38" t="str">
        <x:v>NO ADD</x:v>
      </x:c>
      <x:c r="H81" s="38" t="str">
        <x:v>No add — the current catalog does not make chile heat or hot-spice intensity a defining trait.</x:v>
      </x:c>
      <x:c r="I81" s="38" t="str">
        <x:v>NO ADD</x:v>
      </x:c>
      <x:c r="J81" s="38" t="str">
        <x:v>No add — the current catalog does not center a bright, raw, herb-forward, vegetable-forward, or light fresh profile.</x:v>
      </x:c>
      <x:c r="K81" s="38" t="str">
        <x:v>NO ADD</x:v>
      </x:c>
      <x:c r="L81" s="38" t="str">
        <x:v>No add — the current catalog does not make crisp, crunchy, breaded, or fried texture a defining part of the dish.</x:v>
      </x:c>
      <x:c r="M81" s="38" t="str">
        <x:v>NO ADD</x:v>
      </x:c>
      <x:c r="N81" s="38" t="str">
        <x:v>No add — the current catalog does not make sour, citrus, vinegar, pickled, yogurt-acidic, or other tangy notes a defining trait.</x:v>
      </x:c>
      <x:c r="O81" s="38" t="str">
        <x:v>rich | comforting</x:v>
      </x:c>
      <x:c r="P81" s="38" t="str">
        <x:v>NO CHANGE</x:v>
      </x:c>
      <x:c r="Q81" s="38" t="str">
        <x:v>Italian short-grain rice cooked gradually with stock until creamy while the grains stay firm.</x:v>
      </x:c>
    </x:row>
    <x:row r="82" ht="62" customHeight="1">
      <x:c r="A82" s="38" t="n">
        <x:v>70</x:v>
      </x:c>
      <x:c r="B82" s="38" t="str">
        <x:v>arancini</x:v>
      </x:c>
      <x:c r="C82" s="38" t="str">
        <x:v>Arancini</x:v>
      </x:c>
      <x:c r="D82" s="38" t="str">
        <x:v>europe</x:v>
      </x:c>
      <x:c r="E82" s="38" t="str">
        <x:v>handheld</x:v>
      </x:c>
      <x:c r="F82" s="38" t="str">
        <x:v>crispy | rich</x:v>
      </x:c>
      <x:c r="G82" s="38" t="str">
        <x:v>NO ADD</x:v>
      </x:c>
      <x:c r="H82" s="38" t="str">
        <x:v>No add — the current catalog does not make chile heat or hot-spice intensity a defining trait.</x:v>
      </x:c>
      <x:c r="I82" s="38" t="str">
        <x:v>NO ADD</x:v>
      </x:c>
      <x:c r="J82" s="38" t="str">
        <x:v>No add — the current catalog does not center a bright, raw, herb-forward, vegetable-forward, or light fresh profile.</x:v>
      </x:c>
      <x:c r="K82" s="38" t="str">
        <x:v>KEEP</x:v>
      </x:c>
      <x:c r="L82" s="38" t="str">
        <x:v>Keep — the current catalog supports crispy through explicit crisp texture; it is specific enough to remain a recommendation signal.</x:v>
      </x:c>
      <x:c r="M82" s="38" t="str">
        <x:v>NO ADD</x:v>
      </x:c>
      <x:c r="N82" s="38" t="str">
        <x:v>No add — the current catalog does not make sour, citrus, vinegar, pickled, yogurt-acidic, or other tangy notes a defining trait.</x:v>
      </x:c>
      <x:c r="O82" s="38" t="str">
        <x:v>crispy | rich</x:v>
      </x:c>
      <x:c r="P82" s="38" t="str">
        <x:v>NO CHANGE</x:v>
      </x:c>
      <x:c r="Q82" s="38" t="str">
        <x:v>Sicilian stuffed rice balls breaded and fried until crisp.</x:v>
      </x:c>
    </x:row>
    <x:row r="83" ht="62" customHeight="1">
      <x:c r="A83" s="38" t="n">
        <x:v>71</x:v>
      </x:c>
      <x:c r="B83" s="38" t="str">
        <x:v>schnitzel</x:v>
      </x:c>
      <x:c r="C83" s="38" t="str">
        <x:v>Schnitzel</x:v>
      </x:c>
      <x:c r="D83" s="38" t="str">
        <x:v>europe</x:v>
      </x:c>
      <x:c r="E83" s="38" t="str">
        <x:v>grilled-protein</x:v>
      </x:c>
      <x:c r="F83" s="38" t="str">
        <x:v>crispy | comforting</x:v>
      </x:c>
      <x:c r="G83" s="38" t="str">
        <x:v>NO ADD</x:v>
      </x:c>
      <x:c r="H83" s="38" t="str">
        <x:v>No add — the current catalog does not make chile heat or hot-spice intensity a defining trait.</x:v>
      </x:c>
      <x:c r="I83" s="38" t="str">
        <x:v>NO ADD</x:v>
      </x:c>
      <x:c r="J83" s="38" t="str">
        <x:v>No add — the current catalog does not center a bright, raw, herb-forward, vegetable-forward, or light fresh profile.</x:v>
      </x:c>
      <x:c r="K83" s="38" t="str">
        <x:v>KEEP</x:v>
      </x:c>
      <x:c r="L83" s="38" t="str">
        <x:v>Keep — the current catalog supports crispy through explicit crisp texture; it is specific enough to remain a recommendation signal.</x:v>
      </x:c>
      <x:c r="M83" s="38" t="str">
        <x:v>NO ADD</x:v>
      </x:c>
      <x:c r="N83" s="38" t="str">
        <x:v>No add — the current catalog does not make sour, citrus, vinegar, pickled, yogurt-acidic, or other tangy notes a defining trait.</x:v>
      </x:c>
      <x:c r="O83" s="38" t="str">
        <x:v>crispy | comforting</x:v>
      </x:c>
      <x:c r="P83" s="38" t="str">
        <x:v>NO CHANGE</x:v>
      </x:c>
      <x:c r="Q83" s="38" t="str">
        <x:v>Thin breaded cutlet fried until golden and crisp, strongly associated with Austrian cuisine.</x:v>
      </x:c>
    </x:row>
    <x:row r="84" ht="62" customHeight="1">
      <x:c r="A84" s="38" t="n">
        <x:v>72</x:v>
      </x:c>
      <x:c r="B84" s="38" t="str">
        <x:v>empanadas</x:v>
      </x:c>
      <x:c r="C84" s="38" t="str">
        <x:v>Empanadas</x:v>
      </x:c>
      <x:c r="D84" s="38" t="str">
        <x:v>latin-america</x:v>
      </x:c>
      <x:c r="E84" s="38" t="str">
        <x:v>handheld</x:v>
      </x:c>
      <x:c r="F84" s="38" t="str">
        <x:v>crispy</x:v>
      </x:c>
      <x:c r="G84" s="38" t="str">
        <x:v>NO ADD</x:v>
      </x:c>
      <x:c r="H84" s="38" t="str">
        <x:v>No add — the current catalog does not make chile heat or hot-spice intensity a defining trait.</x:v>
      </x:c>
      <x:c r="I84" s="38" t="str">
        <x:v>NO ADD</x:v>
      </x:c>
      <x:c r="J84" s="38" t="str">
        <x:v>No add — the current catalog does not center a bright, raw, herb-forward, vegetable-forward, or light fresh profile.</x:v>
      </x:c>
      <x:c r="K84" s="38" t="str">
        <x:v>REMOVE</x:v>
      </x:c>
      <x:c r="L84" s="38" t="str">
        <x:v>Remove — the catalog describes empanadas as baked or fried without making crisp texture consistent across the row.</x:v>
      </x:c>
      <x:c r="M84" s="38" t="str">
        <x:v>NO ADD</x:v>
      </x:c>
      <x:c r="N84" s="38" t="str">
        <x:v>No add — the current catalog does not make sour, citrus, vinegar, pickled, yogurt-acidic, or other tangy notes a defining trait.</x:v>
      </x:c>
      <x:c r="O84" s="38" t="str">
        <x:v>NEEDS RETAG</x:v>
      </x:c>
      <x:c r="P84" s="38" t="str">
        <x:v>RETAG NEEDED</x:v>
      </x:c>
      <x:c r="Q84" s="38" t="str">
        <x:v>Filled pastries baked or fried with meat, cheese, vegetables, or other regional fillings.</x:v>
      </x:c>
    </x:row>
    <x:row r="85" ht="62" customHeight="1">
      <x:c r="A85" s="38" t="n">
        <x:v>73</x:v>
      </x:c>
      <x:c r="B85" s="38" t="str">
        <x:v>feijoada</x:v>
      </x:c>
      <x:c r="C85" s="38" t="str">
        <x:v>Feijoada</x:v>
      </x:c>
      <x:c r="D85" s="38" t="str">
        <x:v>latin-america</x:v>
      </x:c>
      <x:c r="E85" s="38" t="str">
        <x:v>soup-broth</x:v>
      </x:c>
      <x:c r="F85" s="38" t="str">
        <x:v>rich | comforting</x:v>
      </x:c>
      <x:c r="G85" s="38" t="str">
        <x:v>NO ADD</x:v>
      </x:c>
      <x:c r="H85" s="38" t="str">
        <x:v>No add — the current catalog does not make chile heat or hot-spice intensity a defining trait.</x:v>
      </x:c>
      <x:c r="I85" s="38" t="str">
        <x:v>NO ADD</x:v>
      </x:c>
      <x:c r="J85" s="38" t="str">
        <x:v>No add — the current catalog does not center a bright, raw, herb-forward, vegetable-forward, or light fresh profile.</x:v>
      </x:c>
      <x:c r="K85" s="38" t="str">
        <x:v>NO ADD</x:v>
      </x:c>
      <x:c r="L85" s="38" t="str">
        <x:v>No add — the current catalog does not make crisp, crunchy, breaded, or fried texture a defining part of the dish.</x:v>
      </x:c>
      <x:c r="M85" s="38" t="str">
        <x:v>NO ADD</x:v>
      </x:c>
      <x:c r="N85" s="38" t="str">
        <x:v>No add — the current catalog does not make sour, citrus, vinegar, pickled, yogurt-acidic, or other tangy notes a defining trait.</x:v>
      </x:c>
      <x:c r="O85" s="38" t="str">
        <x:v>rich | comforting</x:v>
      </x:c>
      <x:c r="P85" s="38" t="str">
        <x:v>NO CHANGE</x:v>
      </x:c>
      <x:c r="Q85" s="38" t="str">
        <x:v>Brazilian black-bean and meat stew served with rice and traditional accompaniments.</x:v>
      </x:c>
    </x:row>
    <x:row r="86" ht="62" customHeight="1">
      <x:c r="A86" s="38" t="n">
        <x:v>74</x:v>
      </x:c>
      <x:c r="B86" s="38" t="str">
        <x:v>macaroni-and-cheese</x:v>
      </x:c>
      <x:c r="C86" s="38" t="str">
        <x:v>Macaroni and Cheese</x:v>
      </x:c>
      <x:c r="D86" s="38" t="str">
        <x:v>north-america</x:v>
      </x:c>
      <x:c r="E86" s="38" t="str">
        <x:v>noodle</x:v>
      </x:c>
      <x:c r="F86" s="38" t="str">
        <x:v>rich | comforting</x:v>
      </x:c>
      <x:c r="G86" s="38" t="str">
        <x:v>NO ADD</x:v>
      </x:c>
      <x:c r="H86" s="38" t="str">
        <x:v>No add — the current catalog does not make chile heat or hot-spice intensity a defining trait.</x:v>
      </x:c>
      <x:c r="I86" s="38" t="str">
        <x:v>NO ADD</x:v>
      </x:c>
      <x:c r="J86" s="38" t="str">
        <x:v>No add — the current catalog does not center a bright, raw, herb-forward, vegetable-forward, or light fresh profile.</x:v>
      </x:c>
      <x:c r="K86" s="38" t="str">
        <x:v>NO ADD</x:v>
      </x:c>
      <x:c r="L86" s="38" t="str">
        <x:v>No add — the current catalog does not make crisp, crunchy, breaded, or fried texture a defining part of the dish.</x:v>
      </x:c>
      <x:c r="M86" s="38" t="str">
        <x:v>NO ADD</x:v>
      </x:c>
      <x:c r="N86" s="38" t="str">
        <x:v>No add — the current catalog does not make sour, citrus, vinegar, pickled, yogurt-acidic, or other tangy notes a defining trait.</x:v>
      </x:c>
      <x:c r="O86" s="38" t="str">
        <x:v>rich | comforting</x:v>
      </x:c>
      <x:c r="P86" s="38" t="str">
        <x:v>NO CHANGE</x:v>
      </x:c>
      <x:c r="Q86" s="38" t="str">
        <x:v>Macaroni pasta coated in a rich cheese sauce and baked or served stovetop.</x:v>
      </x:c>
    </x:row>
    <x:row r="87" ht="62" customHeight="1">
      <x:c r="A87" s="38" t="n">
        <x:v>75</x:v>
      </x:c>
      <x:c r="B87" s="38" t="str">
        <x:v>pulled-pork-sandwich</x:v>
      </x:c>
      <x:c r="C87" s="38" t="str">
        <x:v>Pulled Pork Sandwich</x:v>
      </x:c>
      <x:c r="D87" s="38" t="str">
        <x:v>north-america</x:v>
      </x:c>
      <x:c r="E87" s="38" t="str">
        <x:v>handheld</x:v>
      </x:c>
      <x:c r="F87" s="38" t="str">
        <x:v>rich | comforting</x:v>
      </x:c>
      <x:c r="G87" s="38" t="str">
        <x:v>NO ADD</x:v>
      </x:c>
      <x:c r="H87" s="38" t="str">
        <x:v>No add — the current catalog does not make chile heat or hot-spice intensity a defining trait.</x:v>
      </x:c>
      <x:c r="I87" s="38" t="str">
        <x:v>NO ADD</x:v>
      </x:c>
      <x:c r="J87" s="38" t="str">
        <x:v>No add — the current catalog does not center a bright, raw, herb-forward, vegetable-forward, or light fresh profile.</x:v>
      </x:c>
      <x:c r="K87" s="38" t="str">
        <x:v>NO ADD</x:v>
      </x:c>
      <x:c r="L87" s="38" t="str">
        <x:v>No add — the current catalog does not make crisp, crunchy, breaded, or fried texture a defining part of the dish.</x:v>
      </x:c>
      <x:c r="M87" s="38" t="str">
        <x:v>NO ADD</x:v>
      </x:c>
      <x:c r="N87" s="38" t="str">
        <x:v>No add — the current catalog does not make sour, citrus, vinegar, pickled, yogurt-acidic, or other tangy notes a defining trait.</x:v>
      </x:c>
      <x:c r="O87" s="38" t="str">
        <x:v>rich | comforting</x:v>
      </x:c>
      <x:c r="P87" s="38" t="str">
        <x:v>NO CHANGE</x:v>
      </x:c>
      <x:c r="Q87" s="38" t="str">
        <x:v>Slow-cooked shredded pork piled into a bun with barbecue sauce and optional slaw.</x:v>
      </x:c>
    </x:row>
    <x:row r="88" ht="62" customHeight="1">
      <x:c r="A88" s="38" t="n">
        <x:v>76</x:v>
      </x:c>
      <x:c r="B88" s="38" t="str">
        <x:v>dandan-noodles</x:v>
      </x:c>
      <x:c r="C88" s="38" t="str">
        <x:v>Dandan Noodles</x:v>
      </x:c>
      <x:c r="D88" s="38" t="str">
        <x:v>east-asia</x:v>
      </x:c>
      <x:c r="E88" s="38" t="str">
        <x:v>noodle</x:v>
      </x:c>
      <x:c r="F88" s="38" t="str">
        <x:v>spicy | rich</x:v>
      </x:c>
      <x:c r="G88" s="38" t="str">
        <x:v>KEEP</x:v>
      </x:c>
      <x:c r="H88" s="38" t="str">
        <x:v>Keep — the current catalog supports spicy through explicitly described as spicy; it is specific enough to remain a recommendation signal.</x:v>
      </x:c>
      <x:c r="I88" s="38" t="str">
        <x:v>NO ADD</x:v>
      </x:c>
      <x:c r="J88" s="38" t="str">
        <x:v>No add — the current catalog does not center a bright, raw, herb-forward, vegetable-forward, or light fresh profile.</x:v>
      </x:c>
      <x:c r="K88" s="38" t="str">
        <x:v>NO ADD</x:v>
      </x:c>
      <x:c r="L88" s="38" t="str">
        <x:v>No add — the current catalog does not make crisp, crunchy, breaded, or fried texture a defining part of the dish.</x:v>
      </x:c>
      <x:c r="M88" s="38" t="str">
        <x:v>NO ADD</x:v>
      </x:c>
      <x:c r="N88" s="38" t="str">
        <x:v>No add — the current catalog does not make sour, citrus, vinegar, pickled, yogurt-acidic, or other tangy notes a defining trait.</x:v>
      </x:c>
      <x:c r="O88" s="38" t="str">
        <x:v>spicy | rich</x:v>
      </x:c>
      <x:c r="P88" s="38" t="str">
        <x:v>NO CHANGE</x:v>
      </x:c>
      <x:c r="Q88" s="38" t="str">
        <x:v>Sichuan wheat noodles coated in a spicy chile-and-pepper sauce with savory toppings.</x:v>
      </x:c>
    </x:row>
    <x:row r="89" ht="62" customHeight="1">
      <x:c r="A89" s="38" t="n">
        <x:v>77</x:v>
      </x:c>
      <x:c r="B89" s="38" t="str">
        <x:v>hot-and-sour-soup</x:v>
      </x:c>
      <x:c r="C89" s="38" t="str">
        <x:v>Hot and Sour Soup</x:v>
      </x:c>
      <x:c r="D89" s="38" t="str">
        <x:v>east-asia</x:v>
      </x:c>
      <x:c r="E89" s="38" t="str">
        <x:v>soup-broth</x:v>
      </x:c>
      <x:c r="F89" s="38" t="str">
        <x:v>spicy | tangy</x:v>
      </x:c>
      <x:c r="G89" s="38" t="str">
        <x:v>KEEP</x:v>
      </x:c>
      <x:c r="H89" s="38" t="str">
        <x:v>Keep — the current catalog supports spicy through peppery heat; it is specific enough to remain a recommendation signal.</x:v>
      </x:c>
      <x:c r="I89" s="38" t="str">
        <x:v>NO ADD</x:v>
      </x:c>
      <x:c r="J89" s="38" t="str">
        <x:v>No add — the current catalog does not center a bright, raw, herb-forward, vegetable-forward, or light fresh profile.</x:v>
      </x:c>
      <x:c r="K89" s="38" t="str">
        <x:v>NO ADD</x:v>
      </x:c>
      <x:c r="L89" s="38" t="str">
        <x:v>No add — the current catalog does not make crisp, crunchy, breaded, or fried texture a defining part of the dish.</x:v>
      </x:c>
      <x:c r="M89" s="38" t="str">
        <x:v>KEEP</x:v>
      </x:c>
      <x:c r="N89" s="38" t="str">
        <x:v>Keep — the current catalog supports tangy through explicit sourness; it is specific enough to remain a recommendation signal.</x:v>
      </x:c>
      <x:c r="O89" s="38" t="str">
        <x:v>spicy | tangy</x:v>
      </x:c>
      <x:c r="P89" s="38" t="str">
        <x:v>NO CHANGE</x:v>
      </x:c>
      <x:c r="Q89" s="38" t="str">
        <x:v>Chinese soup balancing vinegar sourness, white-pepper heat, tofu, mushrooms, and bamboo shoots.</x:v>
      </x:c>
    </x:row>
    <x:row r="90" ht="62" customHeight="1">
      <x:c r="A90" s="38" t="n">
        <x:v>78</x:v>
      </x:c>
      <x:c r="B90" s="38" t="str">
        <x:v>gimbap</x:v>
      </x:c>
      <x:c r="C90" s="38" t="str">
        <x:v>Gimbap</x:v>
      </x:c>
      <x:c r="D90" s="38" t="str">
        <x:v>east-asia</x:v>
      </x:c>
      <x:c r="E90" s="38" t="str">
        <x:v>handheld</x:v>
      </x:c>
      <x:c r="F90" s="38" t="str">
        <x:v>fresh</x:v>
      </x:c>
      <x:c r="G90" s="38" t="str">
        <x:v>NO ADD</x:v>
      </x:c>
      <x:c r="H90" s="38" t="str">
        <x:v>No add — the current catalog does not make chile heat or hot-spice intensity a defining trait.</x:v>
      </x:c>
      <x:c r="I90" s="38" t="str">
        <x:v>KEEP</x:v>
      </x:c>
      <x:c r="J90" s="38" t="str">
        <x:v>Keep — the current catalog framing supports fresh as a meaningful part of the dish, and there is no stronger reason to remove the existing tag.</x:v>
      </x:c>
      <x:c r="K90" s="38" t="str">
        <x:v>NO ADD</x:v>
      </x:c>
      <x:c r="L90" s="38" t="str">
        <x:v>No add — the current catalog does not make crisp, crunchy, breaded, or fried texture a defining part of the dish.</x:v>
      </x:c>
      <x:c r="M90" s="38" t="str">
        <x:v>NO ADD</x:v>
      </x:c>
      <x:c r="N90" s="38" t="str">
        <x:v>No add — the current catalog does not make sour, citrus, vinegar, pickled, yogurt-acidic, or other tangy notes a defining trait.</x:v>
      </x:c>
      <x:c r="O90" s="38" t="str">
        <x:v>fresh</x:v>
      </x:c>
      <x:c r="P90" s="38" t="str">
        <x:v>NO CHANGE</x:v>
      </x:c>
      <x:c r="Q90" s="38" t="str">
        <x:v>Korean seaweed rice rolls filled with vegetables, egg, and savory proteins.</x:v>
      </x:c>
    </x:row>
    <x:row r="91" ht="62" customHeight="1">
      <x:c r="A91" s="38" t="n">
        <x:v>79</x:v>
      </x:c>
      <x:c r="B91" s="38" t="str">
        <x:v>nasi-lemak</x:v>
      </x:c>
      <x:c r="C91" s="38" t="str">
        <x:v>Nasi Lemak</x:v>
      </x:c>
      <x:c r="D91" s="38" t="str">
        <x:v>southeast-asia</x:v>
      </x:c>
      <x:c r="E91" s="38" t="str">
        <x:v>rice</x:v>
      </x:c>
      <x:c r="F91" s="38" t="str">
        <x:v>rich | spicy</x:v>
      </x:c>
      <x:c r="G91" s="38" t="str">
        <x:v>KEEP</x:v>
      </x:c>
      <x:c r="H91" s="38" t="str">
        <x:v>Keep — the current catalog supports spicy through sambal; it is specific enough to remain a recommendation signal.</x:v>
      </x:c>
      <x:c r="I91" s="38" t="str">
        <x:v>NO ADD</x:v>
      </x:c>
      <x:c r="J91" s="38" t="str">
        <x:v>No add — the current catalog does not center a bright, raw, herb-forward, vegetable-forward, or light fresh profile.</x:v>
      </x:c>
      <x:c r="K91" s="38" t="str">
        <x:v>NO ADD</x:v>
      </x:c>
      <x:c r="L91" s="38" t="str">
        <x:v>No add — the current catalog does not make crisp, crunchy, breaded, or fried texture a defining part of the dish.</x:v>
      </x:c>
      <x:c r="M91" s="38" t="str">
        <x:v>NO ADD</x:v>
      </x:c>
      <x:c r="N91" s="38" t="str">
        <x:v>No add — the current catalog does not make sour, citrus, vinegar, pickled, yogurt-acidic, or other tangy notes a defining trait.</x:v>
      </x:c>
      <x:c r="O91" s="38" t="str">
        <x:v>rich | spicy</x:v>
      </x:c>
      <x:c r="P91" s="38" t="str">
        <x:v>NO CHANGE</x:v>
      </x:c>
      <x:c r="Q91" s="38" t="str">
        <x:v>Malay coconut rice served with sambal, anchovies, peanuts, egg, cucumber, and varied sides.</x:v>
      </x:c>
    </x:row>
    <x:row r="92" ht="62" customHeight="1">
      <x:c r="A92" s="38" t="n">
        <x:v>80</x:v>
      </x:c>
      <x:c r="B92" s="38" t="str">
        <x:v>lumpia</x:v>
      </x:c>
      <x:c r="C92" s="38" t="str">
        <x:v>Lumpia</x:v>
      </x:c>
      <x:c r="D92" s="38" t="str">
        <x:v>southeast-asia</x:v>
      </x:c>
      <x:c r="E92" s="38" t="str">
        <x:v>handheld</x:v>
      </x:c>
      <x:c r="F92" s="38" t="str">
        <x:v>crispy</x:v>
      </x:c>
      <x:c r="G92" s="38" t="str">
        <x:v>NO ADD</x:v>
      </x:c>
      <x:c r="H92" s="38" t="str">
        <x:v>No add — the current catalog does not make chile heat or hot-spice intensity a defining trait.</x:v>
      </x:c>
      <x:c r="I92" s="38" t="str">
        <x:v>NO ADD</x:v>
      </x:c>
      <x:c r="J92" s="38" t="str">
        <x:v>No add — the current catalog does not center a bright, raw, herb-forward, vegetable-forward, or light fresh profile.</x:v>
      </x:c>
      <x:c r="K92" s="38" t="str">
        <x:v>REMOVE</x:v>
      </x:c>
      <x:c r="L92" s="38" t="str">
        <x:v>Remove — the catalog row explicitly combines fried lumpia with fresh lumpia. Crisp texture is not reliable across the whole row, so this variant should be split or retagged later.</x:v>
      </x:c>
      <x:c r="M92" s="38" t="str">
        <x:v>NO ADD</x:v>
      </x:c>
      <x:c r="N92" s="38" t="str">
        <x:v>No add — the current catalog does not make sour, citrus, vinegar, pickled, yogurt-acidic, or other tangy notes a defining trait.</x:v>
      </x:c>
      <x:c r="O92" s="38" t="str">
        <x:v>NEEDS RETAG</x:v>
      </x:c>
      <x:c r="P92" s="38" t="str">
        <x:v>VARIANT SPLIT / RETAG</x:v>
      </x:c>
      <x:c r="Q92" s="38" t="str">
        <x:v>Filipino spring rolls with thin wrappers and savory vegetable or meat fillings.</x:v>
      </x:c>
    </x:row>
    <x:row r="93" ht="62" customHeight="1">
      <x:c r="A93" s="38" t="n">
        <x:v>81</x:v>
      </x:c>
      <x:c r="B93" s="38" t="str">
        <x:v>ayam-bakar</x:v>
      </x:c>
      <x:c r="C93" s="38" t="str">
        <x:v>Ayam Bakar</x:v>
      </x:c>
      <x:c r="D93" s="38" t="str">
        <x:v>southeast-asia</x:v>
      </x:c>
      <x:c r="E93" s="38" t="str">
        <x:v>grilled-protein</x:v>
      </x:c>
      <x:c r="F93" s="38" t="str">
        <x:v>spicy | rich</x:v>
      </x:c>
      <x:c r="G93" s="38" t="str">
        <x:v>KEEP</x:v>
      </x:c>
      <x:c r="H93" s="38" t="str">
        <x:v>Keep — the current catalog supports spicy through chile; it is specific enough to remain a recommendation signal.</x:v>
      </x:c>
      <x:c r="I93" s="38" t="str">
        <x:v>NO ADD</x:v>
      </x:c>
      <x:c r="J93" s="38" t="str">
        <x:v>No add — the current catalog does not center a bright, raw, herb-forward, vegetable-forward, or light fresh profile.</x:v>
      </x:c>
      <x:c r="K93" s="38" t="str">
        <x:v>NO ADD</x:v>
      </x:c>
      <x:c r="L93" s="38" t="str">
        <x:v>No add — the current catalog does not make crisp, crunchy, breaded, or fried texture a defining part of the dish.</x:v>
      </x:c>
      <x:c r="M93" s="38" t="str">
        <x:v>NO ADD</x:v>
      </x:c>
      <x:c r="N93" s="38" t="str">
        <x:v>No add — the current catalog does not make sour, citrus, vinegar, pickled, yogurt-acidic, or other tangy notes a defining trait.</x:v>
      </x:c>
      <x:c r="O93" s="38" t="str">
        <x:v>spicy | rich</x:v>
      </x:c>
      <x:c r="P93" s="38" t="str">
        <x:v>NO CHANGE</x:v>
      </x:c>
      <x:c r="Q93" s="38" t="str">
        <x:v>Indonesian charcoal-grilled chicken marinated with spices, aromatics, and often sweet soy.</x:v>
      </x:c>
    </x:row>
    <x:row r="94" ht="62" customHeight="1">
      <x:c r="A94" s="38" t="n">
        <x:v>82</x:v>
      </x:c>
      <x:c r="B94" s="38" t="str">
        <x:v>rendang</x:v>
      </x:c>
      <x:c r="C94" s="38" t="str">
        <x:v>Rendang</x:v>
      </x:c>
      <x:c r="D94" s="38" t="str">
        <x:v>southeast-asia</x:v>
      </x:c>
      <x:c r="E94" s="38" t="str">
        <x:v>grilled-protein</x:v>
      </x:c>
      <x:c r="F94" s="38" t="str">
        <x:v>rich | spicy</x:v>
      </x:c>
      <x:c r="G94" s="38" t="str">
        <x:v>KEEP</x:v>
      </x:c>
      <x:c r="H94" s="38" t="str">
        <x:v>Keep — the current catalog supports spicy through chile; it is specific enough to remain a recommendation signal.</x:v>
      </x:c>
      <x:c r="I94" s="38" t="str">
        <x:v>NO ADD</x:v>
      </x:c>
      <x:c r="J94" s="38" t="str">
        <x:v>No add — the current catalog does not center a bright, raw, herb-forward, vegetable-forward, or light fresh profile.</x:v>
      </x:c>
      <x:c r="K94" s="38" t="str">
        <x:v>NO ADD</x:v>
      </x:c>
      <x:c r="L94" s="38" t="str">
        <x:v>No add — the current catalog does not make crisp, crunchy, breaded, or fried texture a defining part of the dish.</x:v>
      </x:c>
      <x:c r="M94" s="38" t="str">
        <x:v>NO ADD</x:v>
      </x:c>
      <x:c r="N94" s="38" t="str">
        <x:v>No add — the current catalog does not make sour, citrus, vinegar, pickled, yogurt-acidic, or other tangy notes a defining trait.</x:v>
      </x:c>
      <x:c r="O94" s="38" t="str">
        <x:v>rich | spicy</x:v>
      </x:c>
      <x:c r="P94" s="38" t="str">
        <x:v>NO CHANGE</x:v>
      </x:c>
      <x:c r="Q94" s="38" t="str">
        <x:v>Slow-cooked spiced meat reduced in coconut milk until deeply rich and concentrated.</x:v>
      </x:c>
    </x:row>
    <x:row r="95" ht="62" customHeight="1">
      <x:c r="A95" s="38" t="n">
        <x:v>83</x:v>
      </x:c>
      <x:c r="B95" s="38" t="str">
        <x:v>kottu-roti</x:v>
      </x:c>
      <x:c r="C95" s="38" t="str">
        <x:v>Kottu Roti</x:v>
      </x:c>
      <x:c r="D95" s="38" t="str">
        <x:v>south-asia</x:v>
      </x:c>
      <x:c r="E95" s="38" t="str">
        <x:v>handheld</x:v>
      </x:c>
      <x:c r="F95" s="38" t="str">
        <x:v>spicy | crispy</x:v>
      </x:c>
      <x:c r="G95" s="38" t="str">
        <x:v>REMOVE</x:v>
      </x:c>
      <x:c r="H95" s="38" t="str">
        <x:v>Remove — the catalog describes spices, seasoning, curry, or accompaniments without making chile heat a defining trait; the current spicy tag is broader than the text supports.</x:v>
      </x:c>
      <x:c r="I95" s="38" t="str">
        <x:v>NO ADD</x:v>
      </x:c>
      <x:c r="J95" s="38" t="str">
        <x:v>No add — the current catalog does not center a bright, raw, herb-forward, vegetable-forward, or light fresh profile.</x:v>
      </x:c>
      <x:c r="K95" s="38" t="str">
        <x:v>KEEP</x:v>
      </x:c>
      <x:c r="L95" s="38" t="str">
        <x:v>Keep — the current catalog supports crispy through explicit crisp texture; it is specific enough to remain a recommendation signal.</x:v>
      </x:c>
      <x:c r="M95" s="38" t="str">
        <x:v>NO ADD</x:v>
      </x:c>
      <x:c r="N95" s="38" t="str">
        <x:v>No add — the current catalog does not make sour, citrus, vinegar, pickled, yogurt-acidic, or other tangy notes a defining trait.</x:v>
      </x:c>
      <x:c r="O95" s="38" t="str">
        <x:v>crispy</x:v>
      </x:c>
      <x:c r="P95" s="38" t="str">
        <x:v>CHANGES RECOMMENDED</x:v>
      </x:c>
      <x:c r="Q95" s="38" t="str">
        <x:v>Sri Lankan chopped roti stir-fried on a griddle with vegetables, egg, curry, and optional meat.</x:v>
      </x:c>
    </x:row>
    <x:row r="96" ht="62" customHeight="1">
      <x:c r="A96" s="38" t="n">
        <x:v>84</x:v>
      </x:c>
      <x:c r="B96" s="38" t="str">
        <x:v>nihari</x:v>
      </x:c>
      <x:c r="C96" s="38" t="str">
        <x:v>Nihari</x:v>
      </x:c>
      <x:c r="D96" s="38" t="str">
        <x:v>south-asia</x:v>
      </x:c>
      <x:c r="E96" s="38" t="str">
        <x:v>soup-broth</x:v>
      </x:c>
      <x:c r="F96" s="38" t="str">
        <x:v>rich | spicy</x:v>
      </x:c>
      <x:c r="G96" s="38" t="str">
        <x:v>REMOVE</x:v>
      </x:c>
      <x:c r="H96" s="38" t="str">
        <x:v>Remove — the catalog describes spices, seasoning, curry, or accompaniments without making chile heat a defining trait; the current spicy tag is broader than the text supports.</x:v>
      </x:c>
      <x:c r="I96" s="38" t="str">
        <x:v>NO ADD</x:v>
      </x:c>
      <x:c r="J96" s="38" t="str">
        <x:v>No add — the current catalog does not center a bright, raw, herb-forward, vegetable-forward, or light fresh profile.</x:v>
      </x:c>
      <x:c r="K96" s="38" t="str">
        <x:v>NO ADD</x:v>
      </x:c>
      <x:c r="L96" s="38" t="str">
        <x:v>No add — the current catalog does not make crisp, crunchy, breaded, or fried texture a defining part of the dish.</x:v>
      </x:c>
      <x:c r="M96" s="38" t="str">
        <x:v>NO ADD</x:v>
      </x:c>
      <x:c r="N96" s="38" t="str">
        <x:v>No add — the current catalog does not make sour, citrus, vinegar, pickled, yogurt-acidic, or other tangy notes a defining trait.</x:v>
      </x:c>
      <x:c r="O96" s="38" t="str">
        <x:v>rich</x:v>
      </x:c>
      <x:c r="P96" s="38" t="str">
        <x:v>CHANGES RECOMMENDED</x:v>
      </x:c>
      <x:c r="Q96" s="38" t="str">
        <x:v>Slow-cooked South Asian meat stew with warming spices, marrow, and a deeply savory broth.</x:v>
      </x:c>
    </x:row>
    <x:row r="97" ht="62" customHeight="1">
      <x:c r="A97" s="38" t="n">
        <x:v>85</x:v>
      </x:c>
      <x:c r="B97" s="38" t="str">
        <x:v>seekh-kebab</x:v>
      </x:c>
      <x:c r="C97" s="38" t="str">
        <x:v>Seekh Kebab</x:v>
      </x:c>
      <x:c r="D97" s="38" t="str">
        <x:v>south-asia</x:v>
      </x:c>
      <x:c r="E97" s="38" t="str">
        <x:v>grilled-protein</x:v>
      </x:c>
      <x:c r="F97" s="38" t="str">
        <x:v>spicy</x:v>
      </x:c>
      <x:c r="G97" s="38" t="str">
        <x:v>KEEP</x:v>
      </x:c>
      <x:c r="H97" s="38" t="str">
        <x:v>Keep — the current catalog supports spicy through chile; it is specific enough to remain a recommendation signal.</x:v>
      </x:c>
      <x:c r="I97" s="38" t="str">
        <x:v>NO ADD</x:v>
      </x:c>
      <x:c r="J97" s="38" t="str">
        <x:v>No add — the current catalog does not center a bright, raw, herb-forward, vegetable-forward, or light fresh profile.</x:v>
      </x:c>
      <x:c r="K97" s="38" t="str">
        <x:v>NO ADD</x:v>
      </x:c>
      <x:c r="L97" s="38" t="str">
        <x:v>No add — the current catalog does not make crisp, crunchy, breaded, or fried texture a defining part of the dish.</x:v>
      </x:c>
      <x:c r="M97" s="38" t="str">
        <x:v>NO ADD</x:v>
      </x:c>
      <x:c r="N97" s="38" t="str">
        <x:v>No add — the current catalog does not make sour, citrus, vinegar, pickled, yogurt-acidic, or other tangy notes a defining trait.</x:v>
      </x:c>
      <x:c r="O97" s="38" t="str">
        <x:v>spicy</x:v>
      </x:c>
      <x:c r="P97" s="38" t="str">
        <x:v>NO CHANGE</x:v>
      </x:c>
      <x:c r="Q97" s="38" t="str">
        <x:v>Spiced minced meat shaped around skewers and grilled over intense heat.</x:v>
      </x:c>
    </x:row>
    <x:row r="98" ht="62" customHeight="1">
      <x:c r="A98" s="38" t="n">
        <x:v>86</x:v>
      </x:c>
      <x:c r="B98" s="38" t="str">
        <x:v>thukpa</x:v>
      </x:c>
      <x:c r="C98" s="38" t="str">
        <x:v>Thukpa</x:v>
      </x:c>
      <x:c r="D98" s="38" t="str">
        <x:v>south-asia</x:v>
      </x:c>
      <x:c r="E98" s="38" t="str">
        <x:v>noodle</x:v>
      </x:c>
      <x:c r="F98" s="38" t="str">
        <x:v>comforting | fresh</x:v>
      </x:c>
      <x:c r="G98" s="38" t="str">
        <x:v>NO ADD</x:v>
      </x:c>
      <x:c r="H98" s="38" t="str">
        <x:v>No add — the current catalog does not make chile heat or hot-spice intensity a defining trait.</x:v>
      </x:c>
      <x:c r="I98" s="38" t="str">
        <x:v>KEEP</x:v>
      </x:c>
      <x:c r="J98" s="38" t="str">
        <x:v>Keep — the current catalog supports fresh through herbs; it is specific enough to remain a recommendation signal.</x:v>
      </x:c>
      <x:c r="K98" s="38" t="str">
        <x:v>NO ADD</x:v>
      </x:c>
      <x:c r="L98" s="38" t="str">
        <x:v>No add — the current catalog does not make crisp, crunchy, breaded, or fried texture a defining part of the dish.</x:v>
      </x:c>
      <x:c r="M98" s="38" t="str">
        <x:v>NO ADD</x:v>
      </x:c>
      <x:c r="N98" s="38" t="str">
        <x:v>No add — the current catalog does not make sour, citrus, vinegar, pickled, yogurt-acidic, or other tangy notes a defining trait.</x:v>
      </x:c>
      <x:c r="O98" s="38" t="str">
        <x:v>comforting | fresh</x:v>
      </x:c>
      <x:c r="P98" s="38" t="str">
        <x:v>NO CHANGE</x:v>
      </x:c>
      <x:c r="Q98" s="38" t="str">
        <x:v>Tibetan and Nepalese noodle soup with vegetables, herbs, and optional meat or egg.</x:v>
      </x:c>
    </x:row>
    <x:row r="99" ht="62" customHeight="1">
      <x:c r="A99" s="38" t="n">
        <x:v>87</x:v>
      </x:c>
      <x:c r="B99" s="38" t="str">
        <x:v>kibbeh</x:v>
      </x:c>
      <x:c r="C99" s="38" t="str">
        <x:v>Kibbeh</x:v>
      </x:c>
      <x:c r="D99" s="38" t="str">
        <x:v>middle-east</x:v>
      </x:c>
      <x:c r="E99" s="38" t="str">
        <x:v>handheld</x:v>
      </x:c>
      <x:c r="F99" s="38" t="str">
        <x:v>crispy | rich</x:v>
      </x:c>
      <x:c r="G99" s="38" t="str">
        <x:v>NO ADD</x:v>
      </x:c>
      <x:c r="H99" s="38" t="str">
        <x:v>No add — the current catalog does not make chile heat or hot-spice intensity a defining trait.</x:v>
      </x:c>
      <x:c r="I99" s="38" t="str">
        <x:v>NO ADD</x:v>
      </x:c>
      <x:c r="J99" s="38" t="str">
        <x:v>No add — the current catalog does not center a bright, raw, herb-forward, vegetable-forward, or light fresh profile.</x:v>
      </x:c>
      <x:c r="K99" s="38" t="str">
        <x:v>KEEP</x:v>
      </x:c>
      <x:c r="L99" s="38" t="str">
        <x:v>Keep — the current catalog supports crispy through explicit crisp texture; it is specific enough to remain a recommendation signal.</x:v>
      </x:c>
      <x:c r="M99" s="38" t="str">
        <x:v>NO ADD</x:v>
      </x:c>
      <x:c r="N99" s="38" t="str">
        <x:v>No add — the current catalog does not make sour, citrus, vinegar, pickled, yogurt-acidic, or other tangy notes a defining trait.</x:v>
      </x:c>
      <x:c r="O99" s="38" t="str">
        <x:v>crispy | rich</x:v>
      </x:c>
      <x:c r="P99" s="38" t="str">
        <x:v>NO CHANGE</x:v>
      </x:c>
      <x:c r="Q99" s="38" t="str">
        <x:v>Levantine bulgur-and-meat croquettes seasoned with spices and often fried until crisp.</x:v>
      </x:c>
    </x:row>
    <x:row r="100" ht="62" customHeight="1">
      <x:c r="A100" s="38" t="n">
        <x:v>88</x:v>
      </x:c>
      <x:c r="B100" s="38" t="str">
        <x:v>reshteh-polow</x:v>
      </x:c>
      <x:c r="C100" s="38" t="str">
        <x:v>Reshteh Polow</x:v>
      </x:c>
      <x:c r="D100" s="38" t="str">
        <x:v>middle-east</x:v>
      </x:c>
      <x:c r="E100" s="38" t="str">
        <x:v>noodle</x:v>
      </x:c>
      <x:c r="F100" s="38" t="str">
        <x:v>comforting</x:v>
      </x:c>
      <x:c r="G100" s="38" t="str">
        <x:v>NO ADD</x:v>
      </x:c>
      <x:c r="H100" s="38" t="str">
        <x:v>No add — the current catalog does not make chile heat or hot-spice intensity a defining trait.</x:v>
      </x:c>
      <x:c r="I100" s="38" t="str">
        <x:v>NO ADD</x:v>
      </x:c>
      <x:c r="J100" s="38" t="str">
        <x:v>No add — the current catalog does not center a bright, raw, herb-forward, vegetable-forward, or light fresh profile.</x:v>
      </x:c>
      <x:c r="K100" s="38" t="str">
        <x:v>NO ADD</x:v>
      </x:c>
      <x:c r="L100" s="38" t="str">
        <x:v>No add — the current catalog does not make crisp, crunchy, breaded, or fried texture a defining part of the dish.</x:v>
      </x:c>
      <x:c r="M100" s="38" t="str">
        <x:v>NO ADD</x:v>
      </x:c>
      <x:c r="N100" s="38" t="str">
        <x:v>No add — the current catalog does not make sour, citrus, vinegar, pickled, yogurt-acidic, or other tangy notes a defining trait.</x:v>
      </x:c>
      <x:c r="O100" s="38" t="str">
        <x:v>comforting</x:v>
      </x:c>
      <x:c r="P100" s="38" t="str">
        <x:v>NO CHANGE</x:v>
      </x:c>
      <x:c r="Q100" s="38" t="str">
        <x:v>Iranian rice-and-noodle pilaf combining browned reshteh noodles with fragrant rice.</x:v>
      </x:c>
    </x:row>
    <x:row r="101" ht="62" customHeight="1">
      <x:c r="A101" s="38" t="n">
        <x:v>89</x:v>
      </x:c>
      <x:c r="B101" s="38" t="str">
        <x:v>fesenjan</x:v>
      </x:c>
      <x:c r="C101" s="38" t="str">
        <x:v>Fesenjan</x:v>
      </x:c>
      <x:c r="D101" s="38" t="str">
        <x:v>middle-east</x:v>
      </x:c>
      <x:c r="E101" s="38" t="str">
        <x:v>grilled-protein</x:v>
      </x:c>
      <x:c r="F101" s="38" t="str">
        <x:v>rich | tangy</x:v>
      </x:c>
      <x:c r="G101" s="38" t="str">
        <x:v>NO ADD</x:v>
      </x:c>
      <x:c r="H101" s="38" t="str">
        <x:v>No add — the current catalog does not make chile heat or hot-spice intensity a defining trait.</x:v>
      </x:c>
      <x:c r="I101" s="38" t="str">
        <x:v>NO ADD</x:v>
      </x:c>
      <x:c r="J101" s="38" t="str">
        <x:v>No add — the current catalog does not center a bright, raw, herb-forward, vegetable-forward, or light fresh profile.</x:v>
      </x:c>
      <x:c r="K101" s="38" t="str">
        <x:v>NO ADD</x:v>
      </x:c>
      <x:c r="L101" s="38" t="str">
        <x:v>No add — the current catalog does not make crisp, crunchy, breaded, or fried texture a defining part of the dish.</x:v>
      </x:c>
      <x:c r="M101" s="38" t="str">
        <x:v>KEEP</x:v>
      </x:c>
      <x:c r="N101" s="38" t="str">
        <x:v>Keep — the current catalog supports tangy through sweet-tart profile; it is specific enough to remain a recommendation signal.</x:v>
      </x:c>
      <x:c r="O101" s="38" t="str">
        <x:v>rich | tangy</x:v>
      </x:c>
      <x:c r="P101" s="38" t="str">
        <x:v>NO CHANGE</x:v>
      </x:c>
      <x:c r="Q101" s="38" t="str">
        <x:v>Iranian walnut-and-pomegranate stew with poultry or meat and a rich sweet-tart sauce.</x:v>
      </x:c>
    </x:row>
    <x:row r="102" ht="62" customHeight="1">
      <x:c r="A102" s="38" t="n">
        <x:v>90</x:v>
      </x:c>
      <x:c r="B102" s="38" t="str">
        <x:v>akara</x:v>
      </x:c>
      <x:c r="C102" s="38" t="str">
        <x:v>Akara</x:v>
      </x:c>
      <x:c r="D102" s="38" t="str">
        <x:v>africa</x:v>
      </x:c>
      <x:c r="E102" s="38" t="str">
        <x:v>handheld</x:v>
      </x:c>
      <x:c r="F102" s="38" t="str">
        <x:v>crispy | spicy</x:v>
      </x:c>
      <x:c r="G102" s="38" t="str">
        <x:v>KEEP</x:v>
      </x:c>
      <x:c r="H102" s="38" t="str">
        <x:v>Keep — the current catalog supports spicy through chile; it is specific enough to remain a recommendation signal.</x:v>
      </x:c>
      <x:c r="I102" s="38" t="str">
        <x:v>NO ADD</x:v>
      </x:c>
      <x:c r="J102" s="38" t="str">
        <x:v>No add — the current catalog does not center a bright, raw, herb-forward, vegetable-forward, or light fresh profile.</x:v>
      </x:c>
      <x:c r="K102" s="38" t="str">
        <x:v>KEEP</x:v>
      </x:c>
      <x:c r="L102" s="38" t="str">
        <x:v>Keep — the current catalog supports crispy through explicit crisp texture; it is specific enough to remain a recommendation signal.</x:v>
      </x:c>
      <x:c r="M102" s="38" t="str">
        <x:v>NO ADD</x:v>
      </x:c>
      <x:c r="N102" s="38" t="str">
        <x:v>No add — the current catalog does not make sour, citrus, vinegar, pickled, yogurt-acidic, or other tangy notes a defining trait.</x:v>
      </x:c>
      <x:c r="O102" s="38" t="str">
        <x:v>crispy | spicy</x:v>
      </x:c>
      <x:c r="P102" s="38" t="str">
        <x:v>NO CHANGE</x:v>
      </x:c>
      <x:c r="Q102" s="38" t="str">
        <x:v>West African black-eyed-pea fritters seasoned with onion and chile, then fried until crisp.</x:v>
      </x:c>
    </x:row>
    <x:row r="103" ht="62" customHeight="1">
      <x:c r="A103" s="38" t="n">
        <x:v>91</x:v>
      </x:c>
      <x:c r="B103" s="38" t="str">
        <x:v>waakye</x:v>
      </x:c>
      <x:c r="C103" s="38" t="str">
        <x:v>Waakye</x:v>
      </x:c>
      <x:c r="D103" s="38" t="str">
        <x:v>africa</x:v>
      </x:c>
      <x:c r="E103" s="38" t="str">
        <x:v>rice</x:v>
      </x:c>
      <x:c r="F103" s="38" t="str">
        <x:v>comforting | fresh</x:v>
      </x:c>
      <x:c r="G103" s="38" t="str">
        <x:v>NO ADD</x:v>
      </x:c>
      <x:c r="H103" s="38" t="str">
        <x:v>No add — the current catalog does not make chile heat or hot-spice intensity a defining trait.</x:v>
      </x:c>
      <x:c r="I103" s="38" t="str">
        <x:v>REMOVE</x:v>
      </x:c>
      <x:c r="J103" s="38" t="str">
        <x:v>Remove — the catalog describes a cooked, grilled, baked, or hearty preparation; any vegetables, herbs, or garnishes are not central enough to make fresh a defining recommendation trait.</x:v>
      </x:c>
      <x:c r="K103" s="38" t="str">
        <x:v>NO ADD</x:v>
      </x:c>
      <x:c r="L103" s="38" t="str">
        <x:v>No add — the current catalog does not make crisp, crunchy, breaded, or fried texture a defining part of the dish.</x:v>
      </x:c>
      <x:c r="M103" s="38" t="str">
        <x:v>NO ADD</x:v>
      </x:c>
      <x:c r="N103" s="38" t="str">
        <x:v>No add — the current catalog does not make sour, citrus, vinegar, pickled, yogurt-acidic, or other tangy notes a defining trait.</x:v>
      </x:c>
      <x:c r="O103" s="38" t="str">
        <x:v>comforting</x:v>
      </x:c>
      <x:c r="P103" s="38" t="str">
        <x:v>CHANGES RECOMMENDED</x:v>
      </x:c>
      <x:c r="Q103" s="38" t="str">
        <x:v>Ghanaian rice and beans served with spicy sauces, vegetables, egg, meat, or plantain.</x:v>
      </x:c>
    </x:row>
    <x:row r="104" ht="62" customHeight="1">
      <x:c r="A104" s="38" t="n">
        <x:v>92</x:v>
      </x:c>
      <x:c r="B104" s="38" t="str">
        <x:v>maafe</x:v>
      </x:c>
      <x:c r="C104" s="38" t="str">
        <x:v>Maafe</x:v>
      </x:c>
      <x:c r="D104" s="38" t="str">
        <x:v>africa</x:v>
      </x:c>
      <x:c r="E104" s="38" t="str">
        <x:v>soup-broth</x:v>
      </x:c>
      <x:c r="F104" s="38" t="str">
        <x:v>rich | spicy</x:v>
      </x:c>
      <x:c r="G104" s="38" t="str">
        <x:v>REMOVE</x:v>
      </x:c>
      <x:c r="H104" s="38" t="str">
        <x:v>Remove — the catalog describes spices, seasoning, curry, or accompaniments without making chile heat a defining trait; the current spicy tag is broader than the text supports.</x:v>
      </x:c>
      <x:c r="I104" s="38" t="str">
        <x:v>NO ADD</x:v>
      </x:c>
      <x:c r="J104" s="38" t="str">
        <x:v>No add — the current catalog does not center a bright, raw, herb-forward, vegetable-forward, or light fresh profile.</x:v>
      </x:c>
      <x:c r="K104" s="38" t="str">
        <x:v>NO ADD</x:v>
      </x:c>
      <x:c r="L104" s="38" t="str">
        <x:v>No add — the current catalog does not make crisp, crunchy, breaded, or fried texture a defining part of the dish.</x:v>
      </x:c>
      <x:c r="M104" s="38" t="str">
        <x:v>NO ADD</x:v>
      </x:c>
      <x:c r="N104" s="38" t="str">
        <x:v>No add — the current catalog does not make sour, citrus, vinegar, pickled, yogurt-acidic, or other tangy notes a defining trait.</x:v>
      </x:c>
      <x:c r="O104" s="38" t="str">
        <x:v>rich</x:v>
      </x:c>
      <x:c r="P104" s="38" t="str">
        <x:v>CHANGES RECOMMENDED</x:v>
      </x:c>
      <x:c r="Q104" s="38" t="str">
        <x:v>West African peanut stew with meat or vegetables simmered in a rich tomato-groundnut sauce.</x:v>
      </x:c>
    </x:row>
    <x:row r="105" ht="62" customHeight="1">
      <x:c r="A105" s="38" t="n">
        <x:v>93</x:v>
      </x:c>
      <x:c r="B105" s="38" t="str">
        <x:v>cacio-e-pepe</x:v>
      </x:c>
      <x:c r="C105" s="38" t="str">
        <x:v>Cacio e Pepe</x:v>
      </x:c>
      <x:c r="D105" s="38" t="str">
        <x:v>europe</x:v>
      </x:c>
      <x:c r="E105" s="38" t="str">
        <x:v>noodle</x:v>
      </x:c>
      <x:c r="F105" s="38" t="str">
        <x:v>rich | comforting</x:v>
      </x:c>
      <x:c r="G105" s="38" t="str">
        <x:v>NO ADD</x:v>
      </x:c>
      <x:c r="H105" s="38" t="str">
        <x:v>No add — the current catalog does not make chile heat or hot-spice intensity a defining trait.</x:v>
      </x:c>
      <x:c r="I105" s="38" t="str">
        <x:v>NO ADD</x:v>
      </x:c>
      <x:c r="J105" s="38" t="str">
        <x:v>No add — the current catalog does not center a bright, raw, herb-forward, vegetable-forward, or light fresh profile.</x:v>
      </x:c>
      <x:c r="K105" s="38" t="str">
        <x:v>NO ADD</x:v>
      </x:c>
      <x:c r="L105" s="38" t="str">
        <x:v>No add — the current catalog does not make crisp, crunchy, breaded, or fried texture a defining part of the dish.</x:v>
      </x:c>
      <x:c r="M105" s="38" t="str">
        <x:v>NO ADD</x:v>
      </x:c>
      <x:c r="N105" s="38" t="str">
        <x:v>No add — the current catalog does not make sour, citrus, vinegar, pickled, yogurt-acidic, or other tangy notes a defining trait.</x:v>
      </x:c>
      <x:c r="O105" s="38" t="str">
        <x:v>rich | comforting</x:v>
      </x:c>
      <x:c r="P105" s="38" t="str">
        <x:v>NO CHANGE</x:v>
      </x:c>
      <x:c r="Q105" s="38" t="str">
        <x:v>Roman pasta coated with Pecorino Romano, black pepper, and starchy pasta water.</x:v>
      </x:c>
    </x:row>
    <x:row r="106" ht="62" customHeight="1">
      <x:c r="A106" s="38" t="n">
        <x:v>94</x:v>
      </x:c>
      <x:c r="B106" s="38" t="str">
        <x:v>spaetzle</x:v>
      </x:c>
      <x:c r="C106" s="38" t="str">
        <x:v>Spätzle</x:v>
      </x:c>
      <x:c r="D106" s="38" t="str">
        <x:v>europe</x:v>
      </x:c>
      <x:c r="E106" s="38" t="str">
        <x:v>noodle</x:v>
      </x:c>
      <x:c r="F106" s="38" t="str">
        <x:v>comforting</x:v>
      </x:c>
      <x:c r="G106" s="38" t="str">
        <x:v>NO ADD</x:v>
      </x:c>
      <x:c r="H106" s="38" t="str">
        <x:v>No add — the current catalog does not make chile heat or hot-spice intensity a defining trait.</x:v>
      </x:c>
      <x:c r="I106" s="38" t="str">
        <x:v>NO ADD</x:v>
      </x:c>
      <x:c r="J106" s="38" t="str">
        <x:v>No add — the current catalog does not center a bright, raw, herb-forward, vegetable-forward, or light fresh profile.</x:v>
      </x:c>
      <x:c r="K106" s="38" t="str">
        <x:v>NO ADD</x:v>
      </x:c>
      <x:c r="L106" s="38" t="str">
        <x:v>No add — the current catalog does not make crisp, crunchy, breaded, or fried texture a defining part of the dish.</x:v>
      </x:c>
      <x:c r="M106" s="38" t="str">
        <x:v>NO ADD</x:v>
      </x:c>
      <x:c r="N106" s="38" t="str">
        <x:v>No add — the current catalog does not make sour, citrus, vinegar, pickled, yogurt-acidic, or other tangy notes a defining trait.</x:v>
      </x:c>
      <x:c r="O106" s="38" t="str">
        <x:v>comforting</x:v>
      </x:c>
      <x:c r="P106" s="38" t="str">
        <x:v>NO CHANGE</x:v>
      </x:c>
      <x:c r="Q106" s="38" t="str">
        <x:v>Central European egg noodles with an irregular shape and tender, chewy texture.</x:v>
      </x:c>
    </x:row>
    <x:row r="107" ht="62" customHeight="1">
      <x:c r="A107" s="38" t="n">
        <x:v>95</x:v>
      </x:c>
      <x:c r="B107" s="38" t="str">
        <x:v>tortellini-in-brodo</x:v>
      </x:c>
      <x:c r="C107" s="38" t="str">
        <x:v>Tortellini in Brodo</x:v>
      </x:c>
      <x:c r="D107" s="38" t="str">
        <x:v>europe</x:v>
      </x:c>
      <x:c r="E107" s="38" t="str">
        <x:v>soup-broth</x:v>
      </x:c>
      <x:c r="F107" s="38" t="str">
        <x:v>comforting</x:v>
      </x:c>
      <x:c r="G107" s="38" t="str">
        <x:v>NO ADD</x:v>
      </x:c>
      <x:c r="H107" s="38" t="str">
        <x:v>No add — the current catalog does not make chile heat or hot-spice intensity a defining trait.</x:v>
      </x:c>
      <x:c r="I107" s="38" t="str">
        <x:v>NO ADD</x:v>
      </x:c>
      <x:c r="J107" s="38" t="str">
        <x:v>No add — the current catalog does not center a bright, raw, herb-forward, vegetable-forward, or light fresh profile.</x:v>
      </x:c>
      <x:c r="K107" s="38" t="str">
        <x:v>NO ADD</x:v>
      </x:c>
      <x:c r="L107" s="38" t="str">
        <x:v>No add — the current catalog does not make crisp, crunchy, breaded, or fried texture a defining part of the dish.</x:v>
      </x:c>
      <x:c r="M107" s="38" t="str">
        <x:v>NO ADD</x:v>
      </x:c>
      <x:c r="N107" s="38" t="str">
        <x:v>No add — the current catalog does not make sour, citrus, vinegar, pickled, yogurt-acidic, or other tangy notes a defining trait.</x:v>
      </x:c>
      <x:c r="O107" s="38" t="str">
        <x:v>comforting</x:v>
      </x:c>
      <x:c r="P107" s="38" t="str">
        <x:v>NO CHANGE</x:v>
      </x:c>
      <x:c r="Q107" s="38" t="str">
        <x:v>Emilia-Romagna stuffed tortellini served in a clear, deeply savory broth.</x:v>
      </x:c>
    </x:row>
    <x:row r="108" ht="62" customHeight="1">
      <x:c r="A108" s="38" t="n">
        <x:v>96</x:v>
      </x:c>
      <x:c r="B108" s="38" t="str">
        <x:v>tallarines-verdes</x:v>
      </x:c>
      <x:c r="C108" s="38" t="str">
        <x:v>Tallarines Verdes</x:v>
      </x:c>
      <x:c r="D108" s="38" t="str">
        <x:v>latin-america</x:v>
      </x:c>
      <x:c r="E108" s="38" t="str">
        <x:v>noodle</x:v>
      </x:c>
      <x:c r="F108" s="38" t="str">
        <x:v>fresh | rich</x:v>
      </x:c>
      <x:c r="G108" s="38" t="str">
        <x:v>NO ADD</x:v>
      </x:c>
      <x:c r="H108" s="38" t="str">
        <x:v>No add — the current catalog does not make chile heat or hot-spice intensity a defining trait.</x:v>
      </x:c>
      <x:c r="I108" s="38" t="str">
        <x:v>KEEP</x:v>
      </x:c>
      <x:c r="J108" s="38" t="str">
        <x:v>Keep — the current catalog framing supports fresh as a meaningful part of the dish, and there is no stronger reason to remove the existing tag.</x:v>
      </x:c>
      <x:c r="K108" s="38" t="str">
        <x:v>NO ADD</x:v>
      </x:c>
      <x:c r="L108" s="38" t="str">
        <x:v>No add — the current catalog does not make crisp, crunchy, breaded, or fried texture a defining part of the dish.</x:v>
      </x:c>
      <x:c r="M108" s="38" t="str">
        <x:v>NO ADD</x:v>
      </x:c>
      <x:c r="N108" s="38" t="str">
        <x:v>No add — the current catalog does not make sour, citrus, vinegar, pickled, yogurt-acidic, or other tangy notes a defining trait.</x:v>
      </x:c>
      <x:c r="O108" s="38" t="str">
        <x:v>fresh | rich</x:v>
      </x:c>
      <x:c r="P108" s="38" t="str">
        <x:v>NO CHANGE</x:v>
      </x:c>
      <x:c r="Q108" s="38" t="str">
        <x:v>Peruvian pasta in a creamy green basil-and-spinach sauce influenced by Italian pesto.</x:v>
      </x:c>
    </x:row>
    <x:row r="109" ht="62" customHeight="1">
      <x:c r="A109" s="38" t="n">
        <x:v>97</x:v>
      </x:c>
      <x:c r="B109" s="38" t="str">
        <x:v>patacones</x:v>
      </x:c>
      <x:c r="C109" s="38" t="str">
        <x:v>Patacones</x:v>
      </x:c>
      <x:c r="D109" s="38" t="str">
        <x:v>latin-america</x:v>
      </x:c>
      <x:c r="E109" s="38" t="str">
        <x:v>handheld</x:v>
      </x:c>
      <x:c r="F109" s="38" t="str">
        <x:v>crispy</x:v>
      </x:c>
      <x:c r="G109" s="38" t="str">
        <x:v>NO ADD</x:v>
      </x:c>
      <x:c r="H109" s="38" t="str">
        <x:v>No add — the current catalog does not make chile heat or hot-spice intensity a defining trait.</x:v>
      </x:c>
      <x:c r="I109" s="38" t="str">
        <x:v>NO ADD</x:v>
      </x:c>
      <x:c r="J109" s="38" t="str">
        <x:v>No add — the current catalog does not center a bright, raw, herb-forward, vegetable-forward, or light fresh profile.</x:v>
      </x:c>
      <x:c r="K109" s="38" t="str">
        <x:v>KEEP</x:v>
      </x:c>
      <x:c r="L109" s="38" t="str">
        <x:v>Keep — the current catalog supports crispy through explicit crisp texture; it is specific enough to remain a recommendation signal.</x:v>
      </x:c>
      <x:c r="M109" s="38" t="str">
        <x:v>NO ADD</x:v>
      </x:c>
      <x:c r="N109" s="38" t="str">
        <x:v>No add — the current catalog does not make sour, citrus, vinegar, pickled, yogurt-acidic, or other tangy notes a defining trait.</x:v>
      </x:c>
      <x:c r="O109" s="38" t="str">
        <x:v>crispy</x:v>
      </x:c>
      <x:c r="P109" s="38" t="str">
        <x:v>NO CHANGE</x:v>
      </x:c>
      <x:c r="Q109" s="38" t="str">
        <x:v>Twice-fried green plantain slices served crisp and salty across Latin America and the Caribbean.</x:v>
      </x:c>
    </x:row>
    <x:row r="110" ht="62" customHeight="1">
      <x:c r="A110" s="38" t="n">
        <x:v>98</x:v>
      </x:c>
      <x:c r="B110" s="38" t="str">
        <x:v>lomo-saltado</x:v>
      </x:c>
      <x:c r="C110" s="38" t="str">
        <x:v>Lomo Saltado</x:v>
      </x:c>
      <x:c r="D110" s="38" t="str">
        <x:v>latin-america</x:v>
      </x:c>
      <x:c r="E110" s="38" t="str">
        <x:v>grilled-protein</x:v>
      </x:c>
      <x:c r="F110" s="38" t="str">
        <x:v>rich | fresh</x:v>
      </x:c>
      <x:c r="G110" s="38" t="str">
        <x:v>NO ADD</x:v>
      </x:c>
      <x:c r="H110" s="38" t="str">
        <x:v>No add — the current catalog does not make chile heat or hot-spice intensity a defining trait.</x:v>
      </x:c>
      <x:c r="I110" s="38" t="str">
        <x:v>REMOVE</x:v>
      </x:c>
      <x:c r="J110" s="38" t="str">
        <x:v>Remove — the catalog describes a cooked, grilled, baked, or hearty preparation; any vegetables, herbs, or garnishes are not central enough to make fresh a defining recommendation trait.</x:v>
      </x:c>
      <x:c r="K110" s="38" t="str">
        <x:v>NO ADD</x:v>
      </x:c>
      <x:c r="L110" s="38" t="str">
        <x:v>No add — the current catalog does not make crisp, crunchy, breaded, or fried texture a defining part of the dish.</x:v>
      </x:c>
      <x:c r="M110" s="38" t="str">
        <x:v>NO ADD</x:v>
      </x:c>
      <x:c r="N110" s="38" t="str">
        <x:v>No add — the current catalog does not make sour, citrus, vinegar, pickled, yogurt-acidic, or other tangy notes a defining trait.</x:v>
      </x:c>
      <x:c r="O110" s="38" t="str">
        <x:v>rich</x:v>
      </x:c>
      <x:c r="P110" s="38" t="str">
        <x:v>CHANGES RECOMMENDED</x:v>
      </x:c>
      <x:c r="Q110" s="38" t="str">
        <x:v>Peruvian stir-fried beef with onions and tomatoes, typically served with fries and rice.</x:v>
      </x:c>
    </x:row>
    <x:row r="111" ht="62" customHeight="1">
      <x:c r="A111" s="38" t="n">
        <x:v>99</x:v>
      </x:c>
      <x:c r="B111" s="38" t="str">
        <x:v>new-england-clam-chowder</x:v>
      </x:c>
      <x:c r="C111" s="38" t="str">
        <x:v>New England Clam Chowder</x:v>
      </x:c>
      <x:c r="D111" s="38" t="str">
        <x:v>north-america</x:v>
      </x:c>
      <x:c r="E111" s="38" t="str">
        <x:v>soup-broth</x:v>
      </x:c>
      <x:c r="F111" s="38" t="str">
        <x:v>rich | comforting</x:v>
      </x:c>
      <x:c r="G111" s="38" t="str">
        <x:v>NO ADD</x:v>
      </x:c>
      <x:c r="H111" s="38" t="str">
        <x:v>No add — the current catalog does not make chile heat or hot-spice intensity a defining trait.</x:v>
      </x:c>
      <x:c r="I111" s="38" t="str">
        <x:v>NO ADD</x:v>
      </x:c>
      <x:c r="J111" s="38" t="str">
        <x:v>No add — the current catalog does not center a bright, raw, herb-forward, vegetable-forward, or light fresh profile.</x:v>
      </x:c>
      <x:c r="K111" s="38" t="str">
        <x:v>NO ADD</x:v>
      </x:c>
      <x:c r="L111" s="38" t="str">
        <x:v>No add — the current catalog does not make crisp, crunchy, breaded, or fried texture a defining part of the dish.</x:v>
      </x:c>
      <x:c r="M111" s="38" t="str">
        <x:v>NO ADD</x:v>
      </x:c>
      <x:c r="N111" s="38" t="str">
        <x:v>No add — the current catalog does not make sour, citrus, vinegar, pickled, yogurt-acidic, or other tangy notes a defining trait.</x:v>
      </x:c>
      <x:c r="O111" s="38" t="str">
        <x:v>rich | comforting</x:v>
      </x:c>
      <x:c r="P111" s="38" t="str">
        <x:v>NO CHANGE</x:v>
      </x:c>
      <x:c r="Q111" s="38" t="str">
        <x:v>Creamy New England chowder with clams, potatoes, onions, and often salt pork or bacon.</x:v>
      </x:c>
    </x:row>
    <x:row r="112" ht="62" customHeight="1">
      <x:c r="A112" s="38" t="n">
        <x:v>100</x:v>
      </x:c>
      <x:c r="B112" s="38" t="str">
        <x:v>buffalo-wings</x:v>
      </x:c>
      <x:c r="C112" s="38" t="str">
        <x:v>Buffalo Wings</x:v>
      </x:c>
      <x:c r="D112" s="38" t="str">
        <x:v>north-america</x:v>
      </x:c>
      <x:c r="E112" s="38" t="str">
        <x:v>grilled-protein</x:v>
      </x:c>
      <x:c r="F112" s="38" t="str">
        <x:v>spicy | tangy | crispy</x:v>
      </x:c>
      <x:c r="G112" s="38" t="str">
        <x:v>KEEP</x:v>
      </x:c>
      <x:c r="H112" s="38" t="str">
        <x:v>Keep — the current catalog supports spicy through cayenne; it is specific enough to remain a recommendation signal.</x:v>
      </x:c>
      <x:c r="I112" s="38" t="str">
        <x:v>NO ADD</x:v>
      </x:c>
      <x:c r="J112" s="38" t="str">
        <x:v>No add — the current catalog does not center a bright, raw, herb-forward, vegetable-forward, or light fresh profile.</x:v>
      </x:c>
      <x:c r="K112" s="38" t="str">
        <x:v>KEEP</x:v>
      </x:c>
      <x:c r="L112" s="38" t="str">
        <x:v>Keep — the current catalog supports crispy through explicit crisp texture; it is specific enough to remain a recommendation signal.</x:v>
      </x:c>
      <x:c r="M112" s="38" t="str">
        <x:v>KEEP</x:v>
      </x:c>
      <x:c r="N112" s="38" t="str">
        <x:v>Keep — the current catalog supports tangy through vinegar; it is specific enough to remain a recommendation signal.</x:v>
      </x:c>
      <x:c r="O112" s="38" t="str">
        <x:v>spicy | tangy | crispy</x:v>
      </x:c>
      <x:c r="P112" s="38" t="str">
        <x:v>NO CHANGE</x:v>
      </x:c>
      <x:c r="Q112" s="38" t="str">
        <x:v>Chicken wings fried until crisp and coated in a buttery, vinegar-based cayenne hot sauce.</x:v>
      </x:c>
    </x:row>
    <x:row r="113" ht="62" customHeight="1">
      <x:c r="A113" s="38" t="n">
        <x:v>101</x:v>
      </x:c>
      <x:c r="B113" s="38" t="str">
        <x:v>zhajiangmian</x:v>
      </x:c>
      <x:c r="C113" s="38" t="str">
        <x:v>Zhajiangmian</x:v>
      </x:c>
      <x:c r="D113" s="38" t="str">
        <x:v>east-asia</x:v>
      </x:c>
      <x:c r="E113" s="38" t="str">
        <x:v>noodle</x:v>
      </x:c>
      <x:c r="F113" s="38" t="str">
        <x:v>comforting | rich</x:v>
      </x:c>
      <x:c r="G113" s="38" t="str">
        <x:v>NO ADD</x:v>
      </x:c>
      <x:c r="H113" s="38" t="str">
        <x:v>No add — the current catalog does not make chile heat or hot-spice intensity a defining trait.</x:v>
      </x:c>
      <x:c r="I113" s="38" t="str">
        <x:v>NO ADD</x:v>
      </x:c>
      <x:c r="J113" s="38" t="str">
        <x:v>No add — the current catalog does not center a bright, raw, herb-forward, vegetable-forward, or light fresh profile.</x:v>
      </x:c>
      <x:c r="K113" s="38" t="str">
        <x:v>NO ADD</x:v>
      </x:c>
      <x:c r="L113" s="38" t="str">
        <x:v>No add — the current catalog does not make crisp, crunchy, breaded, or fried texture a defining part of the dish.</x:v>
      </x:c>
      <x:c r="M113" s="38" t="str">
        <x:v>NO ADD</x:v>
      </x:c>
      <x:c r="N113" s="38" t="str">
        <x:v>No add — the current catalog does not make sour, citrus, vinegar, pickled, yogurt-acidic, or other tangy notes a defining trait.</x:v>
      </x:c>
      <x:c r="O113" s="38" t="str">
        <x:v>comforting | rich</x:v>
      </x:c>
      <x:c r="P113" s="38" t="str">
        <x:v>NO CHANGE</x:v>
      </x:c>
      <x:c r="Q113" s="38" t="str">
        <x:v>Northern Chinese wheat noodles topped with a deeply savory fermented-bean meat sauce.</x:v>
      </x:c>
    </x:row>
    <x:row r="114" ht="62" customHeight="1">
      <x:c r="A114" s="38" t="n">
        <x:v>102</x:v>
      </x:c>
      <x:c r="B114" s="38" t="str">
        <x:v>omurice</x:v>
      </x:c>
      <x:c r="C114" s="38" t="str">
        <x:v>Omurice</x:v>
      </x:c>
      <x:c r="D114" s="38" t="str">
        <x:v>east-asia</x:v>
      </x:c>
      <x:c r="E114" s="38" t="str">
        <x:v>rice</x:v>
      </x:c>
      <x:c r="F114" s="38" t="str">
        <x:v>comforting</x:v>
      </x:c>
      <x:c r="G114" s="38" t="str">
        <x:v>NO ADD</x:v>
      </x:c>
      <x:c r="H114" s="38" t="str">
        <x:v>No add — the current catalog does not make chile heat or hot-spice intensity a defining trait.</x:v>
      </x:c>
      <x:c r="I114" s="38" t="str">
        <x:v>NO ADD</x:v>
      </x:c>
      <x:c r="J114" s="38" t="str">
        <x:v>No add — the current catalog does not center a bright, raw, herb-forward, vegetable-forward, or light fresh profile.</x:v>
      </x:c>
      <x:c r="K114" s="38" t="str">
        <x:v>NO ADD</x:v>
      </x:c>
      <x:c r="L114" s="38" t="str">
        <x:v>No add — the current catalog does not make crisp, crunchy, breaded, or fried texture a defining part of the dish.</x:v>
      </x:c>
      <x:c r="M114" s="38" t="str">
        <x:v>NO ADD</x:v>
      </x:c>
      <x:c r="N114" s="38" t="str">
        <x:v>No add — the current catalog does not make sour, citrus, vinegar, pickled, yogurt-acidic, or other tangy notes a defining trait.</x:v>
      </x:c>
      <x:c r="O114" s="38" t="str">
        <x:v>comforting</x:v>
      </x:c>
      <x:c r="P114" s="38" t="str">
        <x:v>NO CHANGE</x:v>
      </x:c>
      <x:c r="Q114" s="38" t="str">
        <x:v>Japanese fried rice wrapped in a soft omelette and commonly finished with ketchup.</x:v>
      </x:c>
    </x:row>
    <x:row r="115" ht="62" customHeight="1">
      <x:c r="A115" s="38" t="n">
        <x:v>103</x:v>
      </x:c>
      <x:c r="B115" s="38" t="str">
        <x:v>sukiyaki</x:v>
      </x:c>
      <x:c r="C115" s="38" t="str">
        <x:v>Sukiyaki</x:v>
      </x:c>
      <x:c r="D115" s="38" t="str">
        <x:v>east-asia</x:v>
      </x:c>
      <x:c r="E115" s="38" t="str">
        <x:v>soup-broth</x:v>
      </x:c>
      <x:c r="F115" s="38" t="str">
        <x:v>rich | comforting</x:v>
      </x:c>
      <x:c r="G115" s="38" t="str">
        <x:v>NO ADD</x:v>
      </x:c>
      <x:c r="H115" s="38" t="str">
        <x:v>No add — the current catalog does not make chile heat or hot-spice intensity a defining trait.</x:v>
      </x:c>
      <x:c r="I115" s="38" t="str">
        <x:v>NO ADD</x:v>
      </x:c>
      <x:c r="J115" s="38" t="str">
        <x:v>No add — the current catalog does not center a bright, raw, herb-forward, vegetable-forward, or light fresh profile.</x:v>
      </x:c>
      <x:c r="K115" s="38" t="str">
        <x:v>NO ADD</x:v>
      </x:c>
      <x:c r="L115" s="38" t="str">
        <x:v>No add — the current catalog does not make crisp, crunchy, breaded, or fried texture a defining part of the dish.</x:v>
      </x:c>
      <x:c r="M115" s="38" t="str">
        <x:v>NO ADD</x:v>
      </x:c>
      <x:c r="N115" s="38" t="str">
        <x:v>No add — the current catalog does not make sour, citrus, vinegar, pickled, yogurt-acidic, or other tangy notes a defining trait.</x:v>
      </x:c>
      <x:c r="O115" s="38" t="str">
        <x:v>rich | comforting</x:v>
      </x:c>
      <x:c r="P115" s="38" t="str">
        <x:v>NO CHANGE</x:v>
      </x:c>
      <x:c r="Q115" s="38" t="str">
        <x:v>Japanese hot pot of thin-sliced beef, tofu, vegetables, and noodles simmered in a sweet-savory sauce.</x:v>
      </x:c>
    </x:row>
    <x:row r="116" ht="62" customHeight="1">
      <x:c r="A116" s="38" t="n">
        <x:v>104</x:v>
      </x:c>
      <x:c r="B116" s="38" t="str">
        <x:v>hainanese-chicken-rice</x:v>
      </x:c>
      <x:c r="C116" s="38" t="str">
        <x:v>Hainanese Chicken Rice</x:v>
      </x:c>
      <x:c r="D116" s="38" t="str">
        <x:v>southeast-asia</x:v>
      </x:c>
      <x:c r="E116" s="38" t="str">
        <x:v>rice</x:v>
      </x:c>
      <x:c r="F116" s="38" t="str">
        <x:v>comforting | fresh</x:v>
      </x:c>
      <x:c r="G116" s="38" t="str">
        <x:v>NO ADD</x:v>
      </x:c>
      <x:c r="H116" s="38" t="str">
        <x:v>No add — the current catalog does not make chile heat or hot-spice intensity a defining trait.</x:v>
      </x:c>
      <x:c r="I116" s="38" t="str">
        <x:v>KEEP</x:v>
      </x:c>
      <x:c r="J116" s="38" t="str">
        <x:v>Keep — the current catalog supports fresh through fresh garnishes; it is specific enough to remain a recommendation signal.</x:v>
      </x:c>
      <x:c r="K116" s="38" t="str">
        <x:v>NO ADD</x:v>
      </x:c>
      <x:c r="L116" s="38" t="str">
        <x:v>No add — the current catalog does not make crisp, crunchy, breaded, or fried texture a defining part of the dish.</x:v>
      </x:c>
      <x:c r="M116" s="38" t="str">
        <x:v>NO ADD</x:v>
      </x:c>
      <x:c r="N116" s="38" t="str">
        <x:v>No add — the current catalog does not make sour, citrus, vinegar, pickled, yogurt-acidic, or other tangy notes a defining trait.</x:v>
      </x:c>
      <x:c r="O116" s="38" t="str">
        <x:v>comforting | fresh</x:v>
      </x:c>
      <x:c r="P116" s="38" t="str">
        <x:v>NO CHANGE</x:v>
      </x:c>
      <x:c r="Q116" s="38" t="str">
        <x:v>Poached chicken with fragrant seasoned rice, cucumber, and bright chile-ginger sauces.</x:v>
      </x:c>
    </x:row>
    <x:row r="117" ht="62" customHeight="1">
      <x:c r="A117" s="38" t="n">
        <x:v>105</x:v>
      </x:c>
      <x:c r="B117" s="38" t="str">
        <x:v>mohinga</x:v>
      </x:c>
      <x:c r="C117" s="38" t="str">
        <x:v>Mohinga</x:v>
      </x:c>
      <x:c r="D117" s="38" t="str">
        <x:v>southeast-asia</x:v>
      </x:c>
      <x:c r="E117" s="38" t="str">
        <x:v>soup-broth</x:v>
      </x:c>
      <x:c r="F117" s="38" t="str">
        <x:v>fresh</x:v>
      </x:c>
      <x:c r="G117" s="38" t="str">
        <x:v>NO ADD</x:v>
      </x:c>
      <x:c r="H117" s="38" t="str">
        <x:v>No add — the current catalog does not make chile heat or hot-spice intensity a defining trait.</x:v>
      </x:c>
      <x:c r="I117" s="38" t="str">
        <x:v>KEEP</x:v>
      </x:c>
      <x:c r="J117" s="38" t="str">
        <x:v>Keep — the current catalog supports fresh through lemongrass; it is specific enough to remain a recommendation signal.</x:v>
      </x:c>
      <x:c r="K117" s="38" t="str">
        <x:v>NO ADD</x:v>
      </x:c>
      <x:c r="L117" s="38" t="str">
        <x:v>No add — the current catalog does not make crisp, crunchy, breaded, or fried texture a defining part of the dish.</x:v>
      </x:c>
      <x:c r="M117" s="38" t="str">
        <x:v>NO ADD</x:v>
      </x:c>
      <x:c r="N117" s="38" t="str">
        <x:v>No add — the current catalog does not make sour, citrus, vinegar, pickled, yogurt-acidic, or other tangy notes a defining trait.</x:v>
      </x:c>
      <x:c r="O117" s="38" t="str">
        <x:v>fresh</x:v>
      </x:c>
      <x:c r="P117" s="38" t="str">
        <x:v>NO CHANGE</x:v>
      </x:c>
      <x:c r="Q117" s="38" t="str">
        <x:v>Myanmar rice-noodle fish soup scented with lemongrass, aromatics, and a savory broth.</x:v>
      </x:c>
    </x:row>
    <x:row r="118" ht="62" customHeight="1">
      <x:c r="A118" s="38" t="n">
        <x:v>106</x:v>
      </x:c>
      <x:c r="B118" s="38" t="str">
        <x:v>pulao</x:v>
      </x:c>
      <x:c r="C118" s="38" t="str">
        <x:v>Pulao</x:v>
      </x:c>
      <x:c r="D118" s="38" t="str">
        <x:v>south-asia</x:v>
      </x:c>
      <x:c r="E118" s="38" t="str">
        <x:v>rice</x:v>
      </x:c>
      <x:c r="F118" s="38" t="str">
        <x:v>comforting</x:v>
      </x:c>
      <x:c r="G118" s="38" t="str">
        <x:v>NO ADD</x:v>
      </x:c>
      <x:c r="H118" s="38" t="str">
        <x:v>No add — the current catalog does not make chile heat or hot-spice intensity a defining trait.</x:v>
      </x:c>
      <x:c r="I118" s="38" t="str">
        <x:v>NO ADD</x:v>
      </x:c>
      <x:c r="J118" s="38" t="str">
        <x:v>No add — the current catalog does not center a bright, raw, herb-forward, vegetable-forward, or light fresh profile.</x:v>
      </x:c>
      <x:c r="K118" s="38" t="str">
        <x:v>NO ADD</x:v>
      </x:c>
      <x:c r="L118" s="38" t="str">
        <x:v>No add — the current catalog does not make crisp, crunchy, breaded, or fried texture a defining part of the dish.</x:v>
      </x:c>
      <x:c r="M118" s="38" t="str">
        <x:v>NO ADD</x:v>
      </x:c>
      <x:c r="N118" s="38" t="str">
        <x:v>No add — the current catalog does not make sour, citrus, vinegar, pickled, yogurt-acidic, or other tangy notes a defining trait.</x:v>
      </x:c>
      <x:c r="O118" s="38" t="str">
        <x:v>comforting</x:v>
      </x:c>
      <x:c r="P118" s="38" t="str">
        <x:v>NO CHANGE</x:v>
      </x:c>
      <x:c r="Q118" s="38" t="str">
        <x:v>Fragrant South Asian rice cooked in seasoned broth with vegetables, meat, or dried fruit.</x:v>
      </x:c>
    </x:row>
    <x:row r="119" ht="62" customHeight="1">
      <x:c r="A119" s="38" t="n">
        <x:v>107</x:v>
      </x:c>
      <x:c r="B119" s="38" t="str">
        <x:v>momo</x:v>
      </x:c>
      <x:c r="C119" s="38" t="str">
        <x:v>Momo</x:v>
      </x:c>
      <x:c r="D119" s="38" t="str">
        <x:v>south-asia</x:v>
      </x:c>
      <x:c r="E119" s="38" t="str">
        <x:v>handheld</x:v>
      </x:c>
      <x:c r="F119" s="38" t="str">
        <x:v>spicy</x:v>
      </x:c>
      <x:c r="G119" s="38" t="str">
        <x:v>REMOVE</x:v>
      </x:c>
      <x:c r="H119" s="38" t="str">
        <x:v>Remove — the catalog describes spices, seasoning, curry, or accompaniments without making chile heat a defining trait; the current spicy tag is broader than the text supports.</x:v>
      </x:c>
      <x:c r="I119" s="38" t="str">
        <x:v>NO ADD</x:v>
      </x:c>
      <x:c r="J119" s="38" t="str">
        <x:v>No add — the current catalog does not center a bright, raw, herb-forward, vegetable-forward, or light fresh profile.</x:v>
      </x:c>
      <x:c r="K119" s="38" t="str">
        <x:v>NO ADD</x:v>
      </x:c>
      <x:c r="L119" s="38" t="str">
        <x:v>No add — the current catalog does not make crisp, crunchy, breaded, or fried texture a defining part of the dish.</x:v>
      </x:c>
      <x:c r="M119" s="38" t="str">
        <x:v>NO ADD</x:v>
      </x:c>
      <x:c r="N119" s="38" t="str">
        <x:v>No add — the current catalog does not make sour, citrus, vinegar, pickled, yogurt-acidic, or other tangy notes a defining trait.</x:v>
      </x:c>
      <x:c r="O119" s="38" t="str">
        <x:v>NEEDS RETAG</x:v>
      </x:c>
      <x:c r="P119" s="38" t="str">
        <x:v>RETAG NEEDED</x:v>
      </x:c>
      <x:c r="Q119" s="38" t="str">
        <x:v>Tibetan and Nepali filled dumplings steamed, pan-fried, or served in spicy sauces.</x:v>
      </x:c>
    </x:row>
    <x:row r="120" ht="62" customHeight="1">
      <x:c r="A120" s="38" t="n">
        <x:v>108</x:v>
      </x:c>
      <x:c r="B120" s="38" t="str">
        <x:v>rasam</x:v>
      </x:c>
      <x:c r="C120" s="38" t="str">
        <x:v>Rasam</x:v>
      </x:c>
      <x:c r="D120" s="38" t="str">
        <x:v>south-asia</x:v>
      </x:c>
      <x:c r="E120" s="38" t="str">
        <x:v>soup-broth</x:v>
      </x:c>
      <x:c r="F120" s="38" t="str">
        <x:v>tangy | spicy | fresh</x:v>
      </x:c>
      <x:c r="G120" s="38" t="str">
        <x:v>KEEP</x:v>
      </x:c>
      <x:c r="H120" s="38" t="str">
        <x:v>Keep — the current catalog supports spicy through explicitly described as spicy; it is specific enough to remain a recommendation signal.</x:v>
      </x:c>
      <x:c r="I120" s="38" t="str">
        <x:v>KEEP</x:v>
      </x:c>
      <x:c r="J120" s="38" t="str">
        <x:v>Keep — the current catalog supports fresh through herbs; it is specific enough to remain a recommendation signal.</x:v>
      </x:c>
      <x:c r="K120" s="38" t="str">
        <x:v>NO ADD</x:v>
      </x:c>
      <x:c r="L120" s="38" t="str">
        <x:v>No add — the current catalog does not make crisp, crunchy, breaded, or fried texture a defining part of the dish.</x:v>
      </x:c>
      <x:c r="M120" s="38" t="str">
        <x:v>KEEP</x:v>
      </x:c>
      <x:c r="N120" s="38" t="str">
        <x:v>Keep — the current catalog supports tangy through explicitly described as tangy; it is specific enough to remain a recommendation signal.</x:v>
      </x:c>
      <x:c r="O120" s="38" t="str">
        <x:v>tangy | spicy | fresh</x:v>
      </x:c>
      <x:c r="P120" s="38" t="str">
        <x:v>NO CHANGE</x:v>
      </x:c>
      <x:c r="Q120" s="38" t="str">
        <x:v>Thin South Indian soup-like broth brightened with tamarind, tomato, spices, and herbs.</x:v>
      </x:c>
    </x:row>
    <x:row r="121" ht="62" customHeight="1">
      <x:c r="A121" s="38" t="n">
        <x:v>109</x:v>
      </x:c>
      <x:c r="B121" s="38" t="str">
        <x:v>shorbat-adas</x:v>
      </x:c>
      <x:c r="C121" s="38" t="str">
        <x:v>Shorbat Adas</x:v>
      </x:c>
      <x:c r="D121" s="38" t="str">
        <x:v>middle-east</x:v>
      </x:c>
      <x:c r="E121" s="38" t="str">
        <x:v>soup-broth</x:v>
      </x:c>
      <x:c r="F121" s="38" t="str">
        <x:v>comforting</x:v>
      </x:c>
      <x:c r="G121" s="38" t="str">
        <x:v>NO ADD</x:v>
      </x:c>
      <x:c r="H121" s="38" t="str">
        <x:v>No add — the current catalog does not make chile heat or hot-spice intensity a defining trait.</x:v>
      </x:c>
      <x:c r="I121" s="38" t="str">
        <x:v>NO ADD</x:v>
      </x:c>
      <x:c r="J121" s="38" t="str">
        <x:v>No add — the current catalog does not center a bright, raw, herb-forward, vegetable-forward, or light fresh profile.</x:v>
      </x:c>
      <x:c r="K121" s="38" t="str">
        <x:v>NO ADD</x:v>
      </x:c>
      <x:c r="L121" s="38" t="str">
        <x:v>No add — the current catalog does not make crisp, crunchy, breaded, or fried texture a defining part of the dish.</x:v>
      </x:c>
      <x:c r="M121" s="38" t="str">
        <x:v>NO ADD</x:v>
      </x:c>
      <x:c r="N121" s="38" t="str">
        <x:v>No add — the current catalog does not make sour, citrus, vinegar, pickled, yogurt-acidic, or other tangy notes a defining trait.</x:v>
      </x:c>
      <x:c r="O121" s="38" t="str">
        <x:v>comforting</x:v>
      </x:c>
      <x:c r="P121" s="38" t="str">
        <x:v>NO CHANGE</x:v>
      </x:c>
      <x:c r="Q121" s="38" t="str">
        <x:v>Middle Eastern lentil soup simmered until soft and finished with warm spices and lemon.</x:v>
      </x:c>
    </x:row>
    <x:row r="122" ht="62" customHeight="1">
      <x:c r="A122" s="38" t="n">
        <x:v>110</x:v>
      </x:c>
      <x:c r="B122" s="38" t="str">
        <x:v>maqluba</x:v>
      </x:c>
      <x:c r="C122" s="38" t="str">
        <x:v>Maqluba</x:v>
      </x:c>
      <x:c r="D122" s="38" t="str">
        <x:v>middle-east</x:v>
      </x:c>
      <x:c r="E122" s="38" t="str">
        <x:v>rice</x:v>
      </x:c>
      <x:c r="F122" s="38" t="str">
        <x:v>rich | comforting</x:v>
      </x:c>
      <x:c r="G122" s="38" t="str">
        <x:v>NO ADD</x:v>
      </x:c>
      <x:c r="H122" s="38" t="str">
        <x:v>No add — the current catalog does not make chile heat or hot-spice intensity a defining trait.</x:v>
      </x:c>
      <x:c r="I122" s="38" t="str">
        <x:v>NO ADD</x:v>
      </x:c>
      <x:c r="J122" s="38" t="str">
        <x:v>No add — the current catalog does not center a bright, raw, herb-forward, vegetable-forward, or light fresh profile.</x:v>
      </x:c>
      <x:c r="K122" s="38" t="str">
        <x:v>NO ADD</x:v>
      </x:c>
      <x:c r="L122" s="38" t="str">
        <x:v>No add — the current catalog does not make crisp, crunchy, breaded, or fried texture a defining part of the dish.</x:v>
      </x:c>
      <x:c r="M122" s="38" t="str">
        <x:v>NO ADD</x:v>
      </x:c>
      <x:c r="N122" s="38" t="str">
        <x:v>No add — the current catalog does not make sour, citrus, vinegar, pickled, yogurt-acidic, or other tangy notes a defining trait.</x:v>
      </x:c>
      <x:c r="O122" s="38" t="str">
        <x:v>rich | comforting</x:v>
      </x:c>
      <x:c r="P122" s="38" t="str">
        <x:v>NO CHANGE</x:v>
      </x:c>
      <x:c r="Q122" s="38" t="str">
        <x:v>Levantine upside-down rice layered with vegetables and meat, then flipped to serve.</x:v>
      </x:c>
    </x:row>
    <x:row r="123" ht="62" customHeight="1">
      <x:c r="A123" s="38" t="n">
        <x:v>111</x:v>
      </x:c>
      <x:c r="B123" s="38" t="str">
        <x:v>manakish</x:v>
      </x:c>
      <x:c r="C123" s="38" t="str">
        <x:v>Manakish</x:v>
      </x:c>
      <x:c r="D123" s="38" t="str">
        <x:v>middle-east</x:v>
      </x:c>
      <x:c r="E123" s="38" t="str">
        <x:v>handheld</x:v>
      </x:c>
      <x:c r="F123" s="38" t="str">
        <x:v>fresh</x:v>
      </x:c>
      <x:c r="G123" s="38" t="str">
        <x:v>NO ADD</x:v>
      </x:c>
      <x:c r="H123" s="38" t="str">
        <x:v>No add — the current catalog does not make chile heat or hot-spice intensity a defining trait.</x:v>
      </x:c>
      <x:c r="I123" s="38" t="str">
        <x:v>REMOVE</x:v>
      </x:c>
      <x:c r="J123" s="38" t="str">
        <x:v>Remove — the catalog describes a cooked, grilled, baked, or hearty preparation; any vegetables, herbs, or garnishes are not central enough to make fresh a defining recommendation trait.</x:v>
      </x:c>
      <x:c r="K123" s="38" t="str">
        <x:v>NO ADD</x:v>
      </x:c>
      <x:c r="L123" s="38" t="str">
        <x:v>No add — the current catalog does not make crisp, crunchy, breaded, or fried texture a defining part of the dish.</x:v>
      </x:c>
      <x:c r="M123" s="38" t="str">
        <x:v>NO ADD</x:v>
      </x:c>
      <x:c r="N123" s="38" t="str">
        <x:v>No add — the current catalog does not make sour, citrus, vinegar, pickled, yogurt-acidic, or other tangy notes a defining trait.</x:v>
      </x:c>
      <x:c r="O123" s="38" t="str">
        <x:v>NEEDS RETAG</x:v>
      </x:c>
      <x:c r="P123" s="38" t="str">
        <x:v>RETAG NEEDED</x:v>
      </x:c>
      <x:c r="Q123" s="38" t="str">
        <x:v>Levantine flatbread baked with za'atar, cheese, or seasoned meat toppings.</x:v>
      </x:c>
    </x:row>
    <x:row r="124" ht="62" customHeight="1">
      <x:c r="A124" s="38" t="n">
        <x:v>112</x:v>
      </x:c>
      <x:c r="B124" s="38" t="str">
        <x:v>rechta</x:v>
      </x:c>
      <x:c r="C124" s="38" t="str">
        <x:v>Rechta</x:v>
      </x:c>
      <x:c r="D124" s="38" t="str">
        <x:v>africa</x:v>
      </x:c>
      <x:c r="E124" s="38" t="str">
        <x:v>noodle</x:v>
      </x:c>
      <x:c r="F124" s="38" t="str">
        <x:v>comforting</x:v>
      </x:c>
      <x:c r="G124" s="38" t="str">
        <x:v>NO ADD</x:v>
      </x:c>
      <x:c r="H124" s="38" t="str">
        <x:v>No add — the current catalog does not make chile heat or hot-spice intensity a defining trait.</x:v>
      </x:c>
      <x:c r="I124" s="38" t="str">
        <x:v>NO ADD</x:v>
      </x:c>
      <x:c r="J124" s="38" t="str">
        <x:v>No add — the current catalog does not center a bright, raw, herb-forward, vegetable-forward, or light fresh profile.</x:v>
      </x:c>
      <x:c r="K124" s="38" t="str">
        <x:v>NO ADD</x:v>
      </x:c>
      <x:c r="L124" s="38" t="str">
        <x:v>No add — the current catalog does not make crisp, crunchy, breaded, or fried texture a defining part of the dish.</x:v>
      </x:c>
      <x:c r="M124" s="38" t="str">
        <x:v>NO ADD</x:v>
      </x:c>
      <x:c r="N124" s="38" t="str">
        <x:v>No add — the current catalog does not make sour, citrus, vinegar, pickled, yogurt-acidic, or other tangy notes a defining trait.</x:v>
      </x:c>
      <x:c r="O124" s="38" t="str">
        <x:v>comforting</x:v>
      </x:c>
      <x:c r="P124" s="38" t="str">
        <x:v>NO CHANGE</x:v>
      </x:c>
      <x:c r="Q124" s="38" t="str">
        <x:v>Algerian handmade pasta ribbons served with chicken, chickpeas, vegetables, and spiced sauce.</x:v>
      </x:c>
    </x:row>
    <x:row r="125" ht="62" customHeight="1">
      <x:c r="A125" s="38" t="n">
        <x:v>113</x:v>
      </x:c>
      <x:c r="B125" s="38" t="str">
        <x:v>yassa</x:v>
      </x:c>
      <x:c r="C125" s="38" t="str">
        <x:v>Yassa</x:v>
      </x:c>
      <x:c r="D125" s="38" t="str">
        <x:v>africa</x:v>
      </x:c>
      <x:c r="E125" s="38" t="str">
        <x:v>grilled-protein</x:v>
      </x:c>
      <x:c r="F125" s="38" t="str">
        <x:v>tangy | spicy</x:v>
      </x:c>
      <x:c r="G125" s="38" t="str">
        <x:v>KEEP</x:v>
      </x:c>
      <x:c r="H125" s="38" t="str">
        <x:v>Keep — the current catalog supports spicy through chile; it is specific enough to remain a recommendation signal.</x:v>
      </x:c>
      <x:c r="I125" s="38" t="str">
        <x:v>NO ADD</x:v>
      </x:c>
      <x:c r="J125" s="38" t="str">
        <x:v>No add — the current catalog does not center a bright, raw, herb-forward, vegetable-forward, or light fresh profile.</x:v>
      </x:c>
      <x:c r="K125" s="38" t="str">
        <x:v>NO ADD</x:v>
      </x:c>
      <x:c r="L125" s="38" t="str">
        <x:v>No add — the current catalog does not make crisp, crunchy, breaded, or fried texture a defining part of the dish.</x:v>
      </x:c>
      <x:c r="M125" s="38" t="str">
        <x:v>KEEP</x:v>
      </x:c>
      <x:c r="N125" s="38" t="str">
        <x:v>Keep — the current catalog supports tangy through citrus; it is specific enough to remain a recommendation signal.</x:v>
      </x:c>
      <x:c r="O125" s="38" t="str">
        <x:v>tangy | spicy</x:v>
      </x:c>
      <x:c r="P125" s="38" t="str">
        <x:v>NO CHANGE</x:v>
      </x:c>
      <x:c r="Q125" s="38" t="str">
        <x:v>Senegalese marinated chicken or fish cooked with onions, citrus, mustard, and chile.</x:v>
      </x:c>
    </x:row>
    <x:row r="126" ht="62" customHeight="1">
      <x:c r="A126" s="38" t="n">
        <x:v>114</x:v>
      </x:c>
      <x:c r="B126" s="38" t="str">
        <x:v>bissara</x:v>
      </x:c>
      <x:c r="C126" s="38" t="str">
        <x:v>Bissara</x:v>
      </x:c>
      <x:c r="D126" s="38" t="str">
        <x:v>africa</x:v>
      </x:c>
      <x:c r="E126" s="38" t="str">
        <x:v>soup-broth</x:v>
      </x:c>
      <x:c r="F126" s="38" t="str">
        <x:v>comforting</x:v>
      </x:c>
      <x:c r="G126" s="38" t="str">
        <x:v>NO ADD</x:v>
      </x:c>
      <x:c r="H126" s="38" t="str">
        <x:v>No add — the current catalog does not make chile heat or hot-spice intensity a defining trait.</x:v>
      </x:c>
      <x:c r="I126" s="38" t="str">
        <x:v>NO ADD</x:v>
      </x:c>
      <x:c r="J126" s="38" t="str">
        <x:v>No add — the current catalog does not center a bright, raw, herb-forward, vegetable-forward, or light fresh profile.</x:v>
      </x:c>
      <x:c r="K126" s="38" t="str">
        <x:v>NO ADD</x:v>
      </x:c>
      <x:c r="L126" s="38" t="str">
        <x:v>No add — the current catalog does not make crisp, crunchy, breaded, or fried texture a defining part of the dish.</x:v>
      </x:c>
      <x:c r="M126" s="38" t="str">
        <x:v>NO ADD</x:v>
      </x:c>
      <x:c r="N126" s="38" t="str">
        <x:v>No add — the current catalog does not make sour, citrus, vinegar, pickled, yogurt-acidic, or other tangy notes a defining trait.</x:v>
      </x:c>
      <x:c r="O126" s="38" t="str">
        <x:v>comforting</x:v>
      </x:c>
      <x:c r="P126" s="38" t="str">
        <x:v>NO CHANGE</x:v>
      </x:c>
      <x:c r="Q126" s="38" t="str">
        <x:v>North African fava-bean soup or purée finished with olive oil, cumin, and paprika.</x:v>
      </x:c>
    </x:row>
    <x:row r="127" ht="62" customHeight="1">
      <x:c r="A127" s="38" t="n">
        <x:v>115</x:v>
      </x:c>
      <x:c r="B127" s="38" t="str">
        <x:v>shisa-nyama</x:v>
      </x:c>
      <x:c r="C127" s="38" t="str">
        <x:v>Shisa Nyama</x:v>
      </x:c>
      <x:c r="D127" s="38" t="str">
        <x:v>africa</x:v>
      </x:c>
      <x:c r="E127" s="38" t="str">
        <x:v>grilled-protein</x:v>
      </x:c>
      <x:c r="F127" s="38" t="str">
        <x:v>rich</x:v>
      </x:c>
      <x:c r="G127" s="38" t="str">
        <x:v>NO ADD</x:v>
      </x:c>
      <x:c r="H127" s="38" t="str">
        <x:v>No add — the current catalog does not make chile heat or hot-spice intensity a defining trait.</x:v>
      </x:c>
      <x:c r="I127" s="38" t="str">
        <x:v>NO ADD</x:v>
      </x:c>
      <x:c r="J127" s="38" t="str">
        <x:v>No add — the current catalog does not center a bright, raw, herb-forward, vegetable-forward, or light fresh profile.</x:v>
      </x:c>
      <x:c r="K127" s="38" t="str">
        <x:v>NO ADD</x:v>
      </x:c>
      <x:c r="L127" s="38" t="str">
        <x:v>No add — the current catalog does not make crisp, crunchy, breaded, or fried texture a defining part of the dish.</x:v>
      </x:c>
      <x:c r="M127" s="38" t="str">
        <x:v>NO ADD</x:v>
      </x:c>
      <x:c r="N127" s="38" t="str">
        <x:v>No add — the current catalog does not make sour, citrus, vinegar, pickled, yogurt-acidic, or other tangy notes a defining trait.</x:v>
      </x:c>
      <x:c r="O127" s="38" t="str">
        <x:v>rich</x:v>
      </x:c>
      <x:c r="P127" s="38" t="str">
        <x:v>NO CHANGE</x:v>
      </x:c>
      <x:c r="Q127" s="38" t="str">
        <x:v>South African township barbecue centered on meats grilled over hot coals and shared socially.</x:v>
      </x:c>
    </x:row>
    <x:row r="128" ht="62" customHeight="1">
      <x:c r="A128" s="38" t="n">
        <x:v>116</x:v>
      </x:c>
      <x:c r="B128" s="38" t="str">
        <x:v>fideua</x:v>
      </x:c>
      <x:c r="C128" s="38" t="str">
        <x:v>Fideuà</x:v>
      </x:c>
      <x:c r="D128" s="38" t="str">
        <x:v>europe</x:v>
      </x:c>
      <x:c r="E128" s="38" t="str">
        <x:v>noodle</x:v>
      </x:c>
      <x:c r="F128" s="38" t="str">
        <x:v>fresh</x:v>
      </x:c>
      <x:c r="G128" s="38" t="str">
        <x:v>NO ADD</x:v>
      </x:c>
      <x:c r="H128" s="38" t="str">
        <x:v>No add — the current catalog does not make chile heat or hot-spice intensity a defining trait.</x:v>
      </x:c>
      <x:c r="I128" s="38" t="str">
        <x:v>REMOVE</x:v>
      </x:c>
      <x:c r="J128" s="38" t="str">
        <x:v>Remove — the catalog describes a cooked, grilled, baked, or hearty preparation; any vegetables, herbs, or garnishes are not central enough to make fresh a defining recommendation trait.</x:v>
      </x:c>
      <x:c r="K128" s="38" t="str">
        <x:v>NO ADD</x:v>
      </x:c>
      <x:c r="L128" s="38" t="str">
        <x:v>No add — the current catalog does not make crisp, crunchy, breaded, or fried texture a defining part of the dish.</x:v>
      </x:c>
      <x:c r="M128" s="38" t="str">
        <x:v>NO ADD</x:v>
      </x:c>
      <x:c r="N128" s="38" t="str">
        <x:v>No add — the current catalog does not make sour, citrus, vinegar, pickled, yogurt-acidic, or other tangy notes a defining trait.</x:v>
      </x:c>
      <x:c r="O128" s="38" t="str">
        <x:v>NEEDS RETAG</x:v>
      </x:c>
      <x:c r="P128" s="38" t="str">
        <x:v>RETAG NEEDED</x:v>
      </x:c>
      <x:c r="Q128" s="38" t="str">
        <x:v>Valencian toasted noodle dish cooked paella-style with seafood and savory stock.</x:v>
      </x:c>
    </x:row>
    <x:row r="129" ht="62" customHeight="1">
      <x:c r="A129" s="38" t="n">
        <x:v>117</x:v>
      </x:c>
      <x:c r="B129" s="38" t="str">
        <x:v>borscht</x:v>
      </x:c>
      <x:c r="C129" s="38" t="str">
        <x:v>Borscht</x:v>
      </x:c>
      <x:c r="D129" s="38" t="str">
        <x:v>europe</x:v>
      </x:c>
      <x:c r="E129" s="38" t="str">
        <x:v>soup-broth</x:v>
      </x:c>
      <x:c r="F129" s="38" t="str">
        <x:v>tangy | comforting | fresh</x:v>
      </x:c>
      <x:c r="G129" s="38" t="str">
        <x:v>NO ADD</x:v>
      </x:c>
      <x:c r="H129" s="38" t="str">
        <x:v>No add — the current catalog does not make chile heat or hot-spice intensity a defining trait.</x:v>
      </x:c>
      <x:c r="I129" s="38" t="str">
        <x:v>REMOVE</x:v>
      </x:c>
      <x:c r="J129" s="38" t="str">
        <x:v>Remove — the catalog describes a cooked, grilled, baked, or hearty preparation; any vegetables, herbs, or garnishes are not central enough to make fresh a defining recommendation trait.</x:v>
      </x:c>
      <x:c r="K129" s="38" t="str">
        <x:v>NO ADD</x:v>
      </x:c>
      <x:c r="L129" s="38" t="str">
        <x:v>No add — the current catalog does not make crisp, crunchy, breaded, or fried texture a defining part of the dish.</x:v>
      </x:c>
      <x:c r="M129" s="38" t="str">
        <x:v>KEEP</x:v>
      </x:c>
      <x:c r="N129" s="38" t="str">
        <x:v>Keep — the current catalog supports tangy through explicit sourness; it is specific enough to remain a recommendation signal.</x:v>
      </x:c>
      <x:c r="O129" s="38" t="str">
        <x:v>tangy | comforting</x:v>
      </x:c>
      <x:c r="P129" s="38" t="str">
        <x:v>CHANGES RECOMMENDED</x:v>
      </x:c>
      <x:c r="Q129" s="38" t="str">
        <x:v>Ukrainian beet soup with vegetables, sour notes, and optional meat or sour cream.</x:v>
      </x:c>
    </x:row>
    <x:row r="130" ht="62" customHeight="1">
      <x:c r="A130" s="38" t="n">
        <x:v>118</x:v>
      </x:c>
      <x:c r="B130" s="38" t="str">
        <x:v>pirozhki</x:v>
      </x:c>
      <x:c r="C130" s="38" t="str">
        <x:v>Pirozhki</x:v>
      </x:c>
      <x:c r="D130" s="38" t="str">
        <x:v>europe</x:v>
      </x:c>
      <x:c r="E130" s="38" t="str">
        <x:v>handheld</x:v>
      </x:c>
      <x:c r="F130" s="38" t="str">
        <x:v>comforting</x:v>
      </x:c>
      <x:c r="G130" s="38" t="str">
        <x:v>NO ADD</x:v>
      </x:c>
      <x:c r="H130" s="38" t="str">
        <x:v>No add — the current catalog does not make chile heat or hot-spice intensity a defining trait.</x:v>
      </x:c>
      <x:c r="I130" s="38" t="str">
        <x:v>NO ADD</x:v>
      </x:c>
      <x:c r="J130" s="38" t="str">
        <x:v>No add — the current catalog does not center a bright, raw, herb-forward, vegetable-forward, or light fresh profile.</x:v>
      </x:c>
      <x:c r="K130" s="38" t="str">
        <x:v>NO ADD</x:v>
      </x:c>
      <x:c r="L130" s="38" t="str">
        <x:v>No add — the current catalog does not make crisp, crunchy, breaded, or fried texture a defining part of the dish.</x:v>
      </x:c>
      <x:c r="M130" s="38" t="str">
        <x:v>NO ADD</x:v>
      </x:c>
      <x:c r="N130" s="38" t="str">
        <x:v>No add — the current catalog does not make sour, citrus, vinegar, pickled, yogurt-acidic, or other tangy notes a defining trait.</x:v>
      </x:c>
      <x:c r="O130" s="38" t="str">
        <x:v>comforting</x:v>
      </x:c>
      <x:c r="P130" s="38" t="str">
        <x:v>NO CHANGE</x:v>
      </x:c>
      <x:c r="Q130" s="38" t="str">
        <x:v>Eastern European small filled buns baked or fried with savory or sweet fillings.</x:v>
      </x:c>
    </x:row>
    <x:row r="131" ht="62" customHeight="1">
      <x:c r="A131" s="38" t="n">
        <x:v>119</x:v>
      </x:c>
      <x:c r="B131" s="38" t="str">
        <x:v>arroz-chaufa</x:v>
      </x:c>
      <x:c r="C131" s="38" t="str">
        <x:v>Arroz Chaufa</x:v>
      </x:c>
      <x:c r="D131" s="38" t="str">
        <x:v>latin-america</x:v>
      </x:c>
      <x:c r="E131" s="38" t="str">
        <x:v>rice</x:v>
      </x:c>
      <x:c r="F131" s="38" t="str">
        <x:v>comforting</x:v>
      </x:c>
      <x:c r="G131" s="38" t="str">
        <x:v>NO ADD</x:v>
      </x:c>
      <x:c r="H131" s="38" t="str">
        <x:v>No add — the current catalog does not make chile heat or hot-spice intensity a defining trait.</x:v>
      </x:c>
      <x:c r="I131" s="38" t="str">
        <x:v>NO ADD</x:v>
      </x:c>
      <x:c r="J131" s="38" t="str">
        <x:v>No add — the current catalog does not center a bright, raw, herb-forward, vegetable-forward, or light fresh profile.</x:v>
      </x:c>
      <x:c r="K131" s="38" t="str">
        <x:v>NO ADD</x:v>
      </x:c>
      <x:c r="L131" s="38" t="str">
        <x:v>No add — the current catalog does not make crisp, crunchy, breaded, or fried texture a defining part of the dish.</x:v>
      </x:c>
      <x:c r="M131" s="38" t="str">
        <x:v>NO ADD</x:v>
      </x:c>
      <x:c r="N131" s="38" t="str">
        <x:v>No add — the current catalog does not make sour, citrus, vinegar, pickled, yogurt-acidic, or other tangy notes a defining trait.</x:v>
      </x:c>
      <x:c r="O131" s="38" t="str">
        <x:v>comforting</x:v>
      </x:c>
      <x:c r="P131" s="38" t="str">
        <x:v>NO CHANGE</x:v>
      </x:c>
      <x:c r="Q131" s="38" t="str">
        <x:v>Peruvian-Chinese fried rice tossed with egg, scallions, soy sauce, vegetables, and protein.</x:v>
      </x:c>
    </x:row>
    <x:row r="132" ht="62" customHeight="1">
      <x:c r="A132" s="38" t="n">
        <x:v>120</x:v>
      </x:c>
      <x:c r="B132" s="38" t="str">
        <x:v>pupusa</x:v>
      </x:c>
      <x:c r="C132" s="38" t="str">
        <x:v>Pupusa</x:v>
      </x:c>
      <x:c r="D132" s="38" t="str">
        <x:v>latin-america</x:v>
      </x:c>
      <x:c r="E132" s="38" t="str">
        <x:v>handheld</x:v>
      </x:c>
      <x:c r="F132" s="38" t="str">
        <x:v>comforting | rich</x:v>
      </x:c>
      <x:c r="G132" s="38" t="str">
        <x:v>NO ADD</x:v>
      </x:c>
      <x:c r="H132" s="38" t="str">
        <x:v>No add — the current catalog does not make chile heat or hot-spice intensity a defining trait.</x:v>
      </x:c>
      <x:c r="I132" s="38" t="str">
        <x:v>NO ADD</x:v>
      </x:c>
      <x:c r="J132" s="38" t="str">
        <x:v>No add — the current catalog does not center a bright, raw, herb-forward, vegetable-forward, or light fresh profile.</x:v>
      </x:c>
      <x:c r="K132" s="38" t="str">
        <x:v>NO ADD</x:v>
      </x:c>
      <x:c r="L132" s="38" t="str">
        <x:v>No add — the current catalog does not make crisp, crunchy, breaded, or fried texture a defining part of the dish.</x:v>
      </x:c>
      <x:c r="M132" s="38" t="str">
        <x:v>NO ADD</x:v>
      </x:c>
      <x:c r="N132" s="38" t="str">
        <x:v>No add — the current catalog does not make sour, citrus, vinegar, pickled, yogurt-acidic, or other tangy notes a defining trait.</x:v>
      </x:c>
      <x:c r="O132" s="38" t="str">
        <x:v>comforting | rich</x:v>
      </x:c>
      <x:c r="P132" s="38" t="str">
        <x:v>NO CHANGE</x:v>
      </x:c>
      <x:c r="Q132" s="38" t="str">
        <x:v>Salvadoran stuffed corn or rice flatbread filled with cheese, beans, pork, or vegetables.</x:v>
      </x:c>
    </x:row>
    <x:row r="133" ht="62" customHeight="1">
      <x:c r="A133" s="38" t="n">
        <x:v>121</x:v>
      </x:c>
      <x:c r="B133" s="38" t="str">
        <x:v>moqueca</x:v>
      </x:c>
      <x:c r="C133" s="38" t="str">
        <x:v>Moqueca</x:v>
      </x:c>
      <x:c r="D133" s="38" t="str">
        <x:v>latin-america</x:v>
      </x:c>
      <x:c r="E133" s="38" t="str">
        <x:v>soup-broth</x:v>
      </x:c>
      <x:c r="F133" s="38" t="str">
        <x:v>fresh</x:v>
      </x:c>
      <x:c r="G133" s="38" t="str">
        <x:v>NO ADD</x:v>
      </x:c>
      <x:c r="H133" s="38" t="str">
        <x:v>No add — the current catalog does not make chile heat or hot-spice intensity a defining trait.</x:v>
      </x:c>
      <x:c r="I133" s="38" t="str">
        <x:v>KEEP</x:v>
      </x:c>
      <x:c r="J133" s="38" t="str">
        <x:v>Keep — the current catalog supports fresh through herbs; it is specific enough to remain a recommendation signal.</x:v>
      </x:c>
      <x:c r="K133" s="38" t="str">
        <x:v>NO ADD</x:v>
      </x:c>
      <x:c r="L133" s="38" t="str">
        <x:v>No add — the current catalog does not make crisp, crunchy, breaded, or fried texture a defining part of the dish.</x:v>
      </x:c>
      <x:c r="M133" s="38" t="str">
        <x:v>NO ADD</x:v>
      </x:c>
      <x:c r="N133" s="38" t="str">
        <x:v>No add — the current catalog does not make sour, citrus, vinegar, pickled, yogurt-acidic, or other tangy notes a defining trait.</x:v>
      </x:c>
      <x:c r="O133" s="38" t="str">
        <x:v>fresh</x:v>
      </x:c>
      <x:c r="P133" s="38" t="str">
        <x:v>NO CHANGE</x:v>
      </x:c>
      <x:c r="Q133" s="38" t="str">
        <x:v>Brazilian seafood stew with tomatoes, onions, lime, herbs, and regional coconut or palm-oil variations.</x:v>
      </x:c>
    </x:row>
    <x:row r="134" ht="62" customHeight="1">
      <x:c r="A134" s="38" t="n">
        <x:v>122</x:v>
      </x:c>
      <x:c r="B134" s="38" t="str">
        <x:v>churrasco</x:v>
      </x:c>
      <x:c r="C134" s="38" t="str">
        <x:v>Churrasco</x:v>
      </x:c>
      <x:c r="D134" s="38" t="str">
        <x:v>latin-america</x:v>
      </x:c>
      <x:c r="E134" s="38" t="str">
        <x:v>grilled-protein</x:v>
      </x:c>
      <x:c r="F134" s="38" t="str">
        <x:v>rich</x:v>
      </x:c>
      <x:c r="G134" s="38" t="str">
        <x:v>NO ADD</x:v>
      </x:c>
      <x:c r="H134" s="38" t="str">
        <x:v>No add — the current catalog does not make chile heat or hot-spice intensity a defining trait.</x:v>
      </x:c>
      <x:c r="I134" s="38" t="str">
        <x:v>NO ADD</x:v>
      </x:c>
      <x:c r="J134" s="38" t="str">
        <x:v>No add — the current catalog does not center a bright, raw, herb-forward, vegetable-forward, or light fresh profile.</x:v>
      </x:c>
      <x:c r="K134" s="38" t="str">
        <x:v>NO ADD</x:v>
      </x:c>
      <x:c r="L134" s="38" t="str">
        <x:v>No add — the current catalog does not make crisp, crunchy, breaded, or fried texture a defining part of the dish.</x:v>
      </x:c>
      <x:c r="M134" s="38" t="str">
        <x:v>NO ADD</x:v>
      </x:c>
      <x:c r="N134" s="38" t="str">
        <x:v>No add — the current catalog does not make sour, citrus, vinegar, pickled, yogurt-acidic, or other tangy notes a defining trait.</x:v>
      </x:c>
      <x:c r="O134" s="38" t="str">
        <x:v>rich</x:v>
      </x:c>
      <x:c r="P134" s="38" t="str">
        <x:v>NO CHANGE</x:v>
      </x:c>
      <x:c r="Q134" s="38" t="str">
        <x:v>Brazilian-style barbecue featuring meats grilled over open fire or hot coals.</x:v>
      </x:c>
    </x:row>
    <x:row r="135" ht="62" customHeight="1">
      <x:c r="A135" s="38" t="n">
        <x:v>123</x:v>
      </x:c>
      <x:c r="B135" s="38" t="str">
        <x:v>philly-cheesesteak</x:v>
      </x:c>
      <x:c r="C135" s="38" t="str">
        <x:v>Philly Cheesesteak</x:v>
      </x:c>
      <x:c r="D135" s="38" t="str">
        <x:v>north-america</x:v>
      </x:c>
      <x:c r="E135" s="38" t="str">
        <x:v>handheld</x:v>
      </x:c>
      <x:c r="F135" s="38" t="str">
        <x:v>rich | comforting</x:v>
      </x:c>
      <x:c r="G135" s="38" t="str">
        <x:v>NO ADD</x:v>
      </x:c>
      <x:c r="H135" s="38" t="str">
        <x:v>No add — the current catalog does not make chile heat or hot-spice intensity a defining trait.</x:v>
      </x:c>
      <x:c r="I135" s="38" t="str">
        <x:v>NO ADD</x:v>
      </x:c>
      <x:c r="J135" s="38" t="str">
        <x:v>No add — the current catalog does not center a bright, raw, herb-forward, vegetable-forward, or light fresh profile.</x:v>
      </x:c>
      <x:c r="K135" s="38" t="str">
        <x:v>NO ADD</x:v>
      </x:c>
      <x:c r="L135" s="38" t="str">
        <x:v>No add — the current catalog does not make crisp, crunchy, breaded, or fried texture a defining part of the dish.</x:v>
      </x:c>
      <x:c r="M135" s="38" t="str">
        <x:v>NO ADD</x:v>
      </x:c>
      <x:c r="N135" s="38" t="str">
        <x:v>No add — the current catalog does not make sour, citrus, vinegar, pickled, yogurt-acidic, or other tangy notes a defining trait.</x:v>
      </x:c>
      <x:c r="O135" s="38" t="str">
        <x:v>rich | comforting</x:v>
      </x:c>
      <x:c r="P135" s="38" t="str">
        <x:v>NO CHANGE</x:v>
      </x:c>
      <x:c r="Q135" s="38" t="str">
        <x:v>Philadelphia sandwich of thin-sliced beef and melted cheese in a long roll.</x:v>
      </x:c>
    </x:row>
    <x:row r="136" ht="62" customHeight="1">
      <x:c r="A136" s="38" t="n">
        <x:v>124</x:v>
      </x:c>
      <x:c r="B136" s="38" t="str">
        <x:v>chili-con-carne</x:v>
      </x:c>
      <x:c r="C136" s="38" t="str">
        <x:v>Chili con Carne</x:v>
      </x:c>
      <x:c r="D136" s="38" t="str">
        <x:v>north-america</x:v>
      </x:c>
      <x:c r="E136" s="38" t="str">
        <x:v>soup-broth</x:v>
      </x:c>
      <x:c r="F136" s="38" t="str">
        <x:v>spicy | rich</x:v>
      </x:c>
      <x:c r="G136" s="38" t="str">
        <x:v>KEEP</x:v>
      </x:c>
      <x:c r="H136" s="38" t="str">
        <x:v>Keep — the current catalog supports spicy through explicitly described as spicy; it is specific enough to remain a recommendation signal.</x:v>
      </x:c>
      <x:c r="I136" s="38" t="str">
        <x:v>NO ADD</x:v>
      </x:c>
      <x:c r="J136" s="38" t="str">
        <x:v>No add — the current catalog does not center a bright, raw, herb-forward, vegetable-forward, or light fresh profile.</x:v>
      </x:c>
      <x:c r="K136" s="38" t="str">
        <x:v>NO ADD</x:v>
      </x:c>
      <x:c r="L136" s="38" t="str">
        <x:v>No add — the current catalog does not make crisp, crunchy, breaded, or fried texture a defining part of the dish.</x:v>
      </x:c>
      <x:c r="M136" s="38" t="str">
        <x:v>NO ADD</x:v>
      </x:c>
      <x:c r="N136" s="38" t="str">
        <x:v>No add — the current catalog does not make sour, citrus, vinegar, pickled, yogurt-acidic, or other tangy notes a defining trait.</x:v>
      </x:c>
      <x:c r="O136" s="38" t="str">
        <x:v>spicy | rich</x:v>
      </x:c>
      <x:c r="P136" s="38" t="str">
        <x:v>NO CHANGE</x:v>
      </x:c>
      <x:c r="Q136" s="38" t="str">
        <x:v>American chile-and-meat stew with tomatoes, spices, and optional beans.</x:v>
      </x:c>
    </x:row>
    <x:row r="137" ht="62" customHeight="1">
      <x:c r="A137" s="38" t="n">
        <x:v>125</x:v>
      </x:c>
      <x:c r="B137" s="38" t="str">
        <x:v>baked-ziti</x:v>
      </x:c>
      <x:c r="C137" s="38" t="str">
        <x:v>Baked Ziti</x:v>
      </x:c>
      <x:c r="D137" s="38" t="str">
        <x:v>north-america</x:v>
      </x:c>
      <x:c r="E137" s="38" t="str">
        <x:v>noodle</x:v>
      </x:c>
      <x:c r="F137" s="38" t="str">
        <x:v>rich | comforting</x:v>
      </x:c>
      <x:c r="G137" s="38" t="str">
        <x:v>NO ADD</x:v>
      </x:c>
      <x:c r="H137" s="38" t="str">
        <x:v>No add — the current catalog does not make chile heat or hot-spice intensity a defining trait.</x:v>
      </x:c>
      <x:c r="I137" s="38" t="str">
        <x:v>NO ADD</x:v>
      </x:c>
      <x:c r="J137" s="38" t="str">
        <x:v>No add — the current catalog does not center a bright, raw, herb-forward, vegetable-forward, or light fresh profile.</x:v>
      </x:c>
      <x:c r="K137" s="38" t="str">
        <x:v>NO ADD</x:v>
      </x:c>
      <x:c r="L137" s="38" t="str">
        <x:v>No add — the current catalog does not make crisp, crunchy, breaded, or fried texture a defining part of the dish.</x:v>
      </x:c>
      <x:c r="M137" s="38" t="str">
        <x:v>NO ADD</x:v>
      </x:c>
      <x:c r="N137" s="38" t="str">
        <x:v>No add — the current catalog does not make sour, citrus, vinegar, pickled, yogurt-acidic, or other tangy notes a defining trait.</x:v>
      </x:c>
      <x:c r="O137" s="38" t="str">
        <x:v>rich | comforting</x:v>
      </x:c>
      <x:c r="P137" s="38" t="str">
        <x:v>NO CHANGE</x:v>
      </x:c>
      <x:c r="Q137" s="38" t="str">
        <x:v>Italian-American baked pasta layered with tomato sauce, cheese, and optional meat.</x:v>
      </x:c>
    </x:row>
    <x:row r="138" ht="62" customHeight="1">
      <x:c r="A138" s="38" t="n">
        <x:v>126</x:v>
      </x:c>
      <x:c r="B138" s="38" t="str">
        <x:v>mapo-tofu</x:v>
      </x:c>
      <x:c r="C138" s="38" t="str">
        <x:v>Mapo Tofu</x:v>
      </x:c>
      <x:c r="D138" s="38" t="str">
        <x:v>east-asia</x:v>
      </x:c>
      <x:c r="E138" s="38" t="str">
        <x:v>grilled-protein</x:v>
      </x:c>
      <x:c r="F138" s="38" t="str">
        <x:v>spicy | rich</x:v>
      </x:c>
      <x:c r="G138" s="38" t="str">
        <x:v>KEEP</x:v>
      </x:c>
      <x:c r="H138" s="38" t="str">
        <x:v>Keep — the current catalog supports spicy through explicitly described as spicy; it is specific enough to remain a recommendation signal.</x:v>
      </x:c>
      <x:c r="I138" s="38" t="str">
        <x:v>NO ADD</x:v>
      </x:c>
      <x:c r="J138" s="38" t="str">
        <x:v>No add — the current catalog does not center a bright, raw, herb-forward, vegetable-forward, or light fresh profile.</x:v>
      </x:c>
      <x:c r="K138" s="38" t="str">
        <x:v>NO ADD</x:v>
      </x:c>
      <x:c r="L138" s="38" t="str">
        <x:v>No add — the current catalog does not make crisp, crunchy, breaded, or fried texture a defining part of the dish.</x:v>
      </x:c>
      <x:c r="M138" s="38" t="str">
        <x:v>NO ADD</x:v>
      </x:c>
      <x:c r="N138" s="38" t="str">
        <x:v>No add — the current catalog does not make sour, citrus, vinegar, pickled, yogurt-acidic, or other tangy notes a defining trait.</x:v>
      </x:c>
      <x:c r="O138" s="38" t="str">
        <x:v>spicy | rich</x:v>
      </x:c>
      <x:c r="P138" s="38" t="str">
        <x:v>NO CHANGE</x:v>
      </x:c>
      <x:c r="Q138" s="38" t="str">
        <x:v>Sichuan tofu in a spicy chile-and-bean sauce with minced meat and numbing peppercorn.</x:v>
      </x:c>
    </x:row>
    <x:row r="139" ht="62" customHeight="1">
      <x:c r="A139" s="38" t="n">
        <x:v>127</x:v>
      </x:c>
      <x:c r="B139" s="38" t="str">
        <x:v>japchae</x:v>
      </x:c>
      <x:c r="C139" s="38" t="str">
        <x:v>Japchae</x:v>
      </x:c>
      <x:c r="D139" s="38" t="str">
        <x:v>east-asia</x:v>
      </x:c>
      <x:c r="E139" s="38" t="str">
        <x:v>noodle</x:v>
      </x:c>
      <x:c r="F139" s="38" t="str">
        <x:v>fresh</x:v>
      </x:c>
      <x:c r="G139" s="38" t="str">
        <x:v>NO ADD</x:v>
      </x:c>
      <x:c r="H139" s="38" t="str">
        <x:v>No add — the current catalog does not make chile heat or hot-spice intensity a defining trait.</x:v>
      </x:c>
      <x:c r="I139" s="38" t="str">
        <x:v>KEEP</x:v>
      </x:c>
      <x:c r="J139" s="38" t="str">
        <x:v>Keep — the current catalog supports fresh through fresh vegetable texture; it is specific enough to remain a recommendation signal.</x:v>
      </x:c>
      <x:c r="K139" s="38" t="str">
        <x:v>NO ADD</x:v>
      </x:c>
      <x:c r="L139" s="38" t="str">
        <x:v>No add — the current catalog does not make crisp, crunchy, breaded, or fried texture a defining part of the dish.</x:v>
      </x:c>
      <x:c r="M139" s="38" t="str">
        <x:v>NO ADD</x:v>
      </x:c>
      <x:c r="N139" s="38" t="str">
        <x:v>No add — the current catalog does not make sour, citrus, vinegar, pickled, yogurt-acidic, or other tangy notes a defining trait.</x:v>
      </x:c>
      <x:c r="O139" s="38" t="str">
        <x:v>fresh</x:v>
      </x:c>
      <x:c r="P139" s="38" t="str">
        <x:v>NO CHANGE</x:v>
      </x:c>
      <x:c r="Q139" s="38" t="str">
        <x:v>Korean sweet-potato glass noodles stir-fried with vegetables, sesame, and savory seasoning.</x:v>
      </x:c>
    </x:row>
    <x:row r="140" ht="62" customHeight="1">
      <x:c r="A140" s="38" t="n">
        <x:v>128</x:v>
      </x:c>
      <x:c r="B140" s="38" t="str">
        <x:v>onigiri</x:v>
      </x:c>
      <x:c r="C140" s="38" t="str">
        <x:v>Onigiri</x:v>
      </x:c>
      <x:c r="D140" s="38" t="str">
        <x:v>east-asia</x:v>
      </x:c>
      <x:c r="E140" s="38" t="str">
        <x:v>handheld</x:v>
      </x:c>
      <x:c r="F140" s="38" t="str">
        <x:v>fresh</x:v>
      </x:c>
      <x:c r="G140" s="38" t="str">
        <x:v>NO ADD</x:v>
      </x:c>
      <x:c r="H140" s="38" t="str">
        <x:v>No add — the current catalog does not make chile heat or hot-spice intensity a defining trait.</x:v>
      </x:c>
      <x:c r="I140" s="38" t="str">
        <x:v>REMOVE</x:v>
      </x:c>
      <x:c r="J140" s="38" t="str">
        <x:v>Remove — the catalog describes a cooked, grilled, baked, or hearty preparation; any vegetables, herbs, or garnishes are not central enough to make fresh a defining recommendation trait.</x:v>
      </x:c>
      <x:c r="K140" s="38" t="str">
        <x:v>NO ADD</x:v>
      </x:c>
      <x:c r="L140" s="38" t="str">
        <x:v>No add — the current catalog does not make crisp, crunchy, breaded, or fried texture a defining part of the dish.</x:v>
      </x:c>
      <x:c r="M140" s="38" t="str">
        <x:v>NO ADD</x:v>
      </x:c>
      <x:c r="N140" s="38" t="str">
        <x:v>No add — the current catalog does not make sour, citrus, vinegar, pickled, yogurt-acidic, or other tangy notes a defining trait.</x:v>
      </x:c>
      <x:c r="O140" s="38" t="str">
        <x:v>NEEDS RETAG</x:v>
      </x:c>
      <x:c r="P140" s="38" t="str">
        <x:v>RETAG NEEDED</x:v>
      </x:c>
      <x:c r="Q140" s="38" t="str">
        <x:v>Japanese rice balls shaped by hand and filled or seasoned with savory ingredients.</x:v>
      </x:c>
    </x:row>
    <x:row r="141" ht="62" customHeight="1">
      <x:c r="A141" s="38" t="n">
        <x:v>129</x:v>
      </x:c>
      <x:c r="B141" s="38" t="str">
        <x:v>goi-cuon</x:v>
      </x:c>
      <x:c r="C141" s="38" t="str">
        <x:v>Gỏi Cuốn</x:v>
      </x:c>
      <x:c r="D141" s="38" t="str">
        <x:v>southeast-asia</x:v>
      </x:c>
      <x:c r="E141" s="38" t="str">
        <x:v>handheld</x:v>
      </x:c>
      <x:c r="F141" s="38" t="str">
        <x:v>fresh | tangy</x:v>
      </x:c>
      <x:c r="G141" s="38" t="str">
        <x:v>NO ADD</x:v>
      </x:c>
      <x:c r="H141" s="38" t="str">
        <x:v>No add — the current catalog does not make chile heat or hot-spice intensity a defining trait.</x:v>
      </x:c>
      <x:c r="I141" s="38" t="str">
        <x:v>KEEP</x:v>
      </x:c>
      <x:c r="J141" s="38" t="str">
        <x:v>Keep — the current catalog supports fresh through cold service; it is specific enough to remain a recommendation signal.</x:v>
      </x:c>
      <x:c r="K141" s="38" t="str">
        <x:v>NO ADD</x:v>
      </x:c>
      <x:c r="L141" s="38" t="str">
        <x:v>No add — the current catalog does not make crisp, crunchy, breaded, or fried texture a defining part of the dish.</x:v>
      </x:c>
      <x:c r="M141" s="38" t="str">
        <x:v>REMOVE</x:v>
      </x:c>
      <x:c r="N141" s="38" t="str">
        <x:v>Remove — acidity is absent, optional, or limited to an accompaniment in the catalog description; tangy is too broad for this row.</x:v>
      </x:c>
      <x:c r="O141" s="38" t="str">
        <x:v>fresh</x:v>
      </x:c>
      <x:c r="P141" s="38" t="str">
        <x:v>CHANGES RECOMMENDED</x:v>
      </x:c>
      <x:c r="Q141" s="38" t="str">
        <x:v>Vietnamese fresh rice-paper rolls packed with herbs, noodles, vegetables, and shrimp or pork.</x:v>
      </x:c>
    </x:row>
    <x:row r="142" ht="62" customHeight="1">
      <x:c r="A142" s="38" t="n">
        <x:v>130</x:v>
      </x:c>
      <x:c r="B142" s="38" t="str">
        <x:v>banh-xeo</x:v>
      </x:c>
      <x:c r="C142" s="38" t="str">
        <x:v>Bánh Xèo</x:v>
      </x:c>
      <x:c r="D142" s="38" t="str">
        <x:v>southeast-asia</x:v>
      </x:c>
      <x:c r="E142" s="38" t="str">
        <x:v>handheld</x:v>
      </x:c>
      <x:c r="F142" s="38" t="str">
        <x:v>crispy | fresh</x:v>
      </x:c>
      <x:c r="G142" s="38" t="str">
        <x:v>NO ADD</x:v>
      </x:c>
      <x:c r="H142" s="38" t="str">
        <x:v>No add — the current catalog does not make chile heat or hot-spice intensity a defining trait.</x:v>
      </x:c>
      <x:c r="I142" s="38" t="str">
        <x:v>KEEP</x:v>
      </x:c>
      <x:c r="J142" s="38" t="str">
        <x:v>Keep — the current catalog supports fresh through fresh herbs; it is specific enough to remain a recommendation signal.</x:v>
      </x:c>
      <x:c r="K142" s="38" t="str">
        <x:v>KEEP</x:v>
      </x:c>
      <x:c r="L142" s="38" t="str">
        <x:v>Keep — the current catalog supports crispy through explicit crisp texture; it is specific enough to remain a recommendation signal.</x:v>
      </x:c>
      <x:c r="M142" s="38" t="str">
        <x:v>NO ADD</x:v>
      </x:c>
      <x:c r="N142" s="38" t="str">
        <x:v>No add — the current catalog does not make sour, citrus, vinegar, pickled, yogurt-acidic, or other tangy notes a defining trait.</x:v>
      </x:c>
      <x:c r="O142" s="38" t="str">
        <x:v>crispy | fresh</x:v>
      </x:c>
      <x:c r="P142" s="38" t="str">
        <x:v>NO CHANGE</x:v>
      </x:c>
      <x:c r="Q142" s="38" t="str">
        <x:v>Crisp Vietnamese turmeric crepe filled with pork, shrimp, bean sprouts, and fresh herbs.</x:v>
      </x:c>
    </x:row>
    <x:row r="143" ht="62" customHeight="1">
      <x:c r="A143" s="38" t="n">
        <x:v>131</x:v>
      </x:c>
      <x:c r="B143" s="38" t="str">
        <x:v>ikan-bakar</x:v>
      </x:c>
      <x:c r="C143" s="38" t="str">
        <x:v>Ikan Bakar</x:v>
      </x:c>
      <x:c r="D143" s="38" t="str">
        <x:v>southeast-asia</x:v>
      </x:c>
      <x:c r="E143" s="38" t="str">
        <x:v>grilled-protein</x:v>
      </x:c>
      <x:c r="F143" s="38" t="str">
        <x:v>spicy | fresh</x:v>
      </x:c>
      <x:c r="G143" s="38" t="str">
        <x:v>KEEP</x:v>
      </x:c>
      <x:c r="H143" s="38" t="str">
        <x:v>Keep — the current catalog supports spicy through chile; it is specific enough to remain a recommendation signal.</x:v>
      </x:c>
      <x:c r="I143" s="38" t="str">
        <x:v>KEEP</x:v>
      </x:c>
      <x:c r="J143" s="38" t="str">
        <x:v>Keep — the current catalog framing supports fresh as a meaningful part of the dish, and there is no stronger reason to remove the existing tag.</x:v>
      </x:c>
      <x:c r="K143" s="38" t="str">
        <x:v>NO ADD</x:v>
      </x:c>
      <x:c r="L143" s="38" t="str">
        <x:v>No add — the current catalog does not make crisp, crunchy, breaded, or fried texture a defining part of the dish.</x:v>
      </x:c>
      <x:c r="M143" s="38" t="str">
        <x:v>NO ADD</x:v>
      </x:c>
      <x:c r="N143" s="38" t="str">
        <x:v>No add — the current catalog does not make sour, citrus, vinegar, pickled, yogurt-acidic, or other tangy notes a defining trait.</x:v>
      </x:c>
      <x:c r="O143" s="38" t="str">
        <x:v>spicy | fresh</x:v>
      </x:c>
      <x:c r="P143" s="38" t="str">
        <x:v>NO CHANGE</x:v>
      </x:c>
      <x:c r="Q143" s="38" t="str">
        <x:v>Indonesian or Malay grilled fish coated with aromatic spices, chile, and regional sauces.</x:v>
      </x:c>
    </x:row>
    <x:row r="144" ht="62" customHeight="1">
      <x:c r="A144" s="38" t="n">
        <x:v>132</x:v>
      </x:c>
      <x:c r="B144" s="38" t="str">
        <x:v>khichdi</x:v>
      </x:c>
      <x:c r="C144" s="38" t="str">
        <x:v>Khichdi</x:v>
      </x:c>
      <x:c r="D144" s="38" t="str">
        <x:v>south-asia</x:v>
      </x:c>
      <x:c r="E144" s="38" t="str">
        <x:v>rice</x:v>
      </x:c>
      <x:c r="F144" s="38" t="str">
        <x:v>comforting | fresh</x:v>
      </x:c>
      <x:c r="G144" s="38" t="str">
        <x:v>NO ADD</x:v>
      </x:c>
      <x:c r="H144" s="38" t="str">
        <x:v>No add — the current catalog does not make chile heat or hot-spice intensity a defining trait.</x:v>
      </x:c>
      <x:c r="I144" s="38" t="str">
        <x:v>REMOVE</x:v>
      </x:c>
      <x:c r="J144" s="38" t="str">
        <x:v>Remove — the catalog describes a cooked, grilled, baked, or hearty preparation; any vegetables, herbs, or garnishes are not central enough to make fresh a defining recommendation trait.</x:v>
      </x:c>
      <x:c r="K144" s="38" t="str">
        <x:v>NO ADD</x:v>
      </x:c>
      <x:c r="L144" s="38" t="str">
        <x:v>No add — the current catalog does not make crisp, crunchy, breaded, or fried texture a defining part of the dish.</x:v>
      </x:c>
      <x:c r="M144" s="38" t="str">
        <x:v>NO ADD</x:v>
      </x:c>
      <x:c r="N144" s="38" t="str">
        <x:v>No add — the current catalog does not make sour, citrus, vinegar, pickled, yogurt-acidic, or other tangy notes a defining trait.</x:v>
      </x:c>
      <x:c r="O144" s="38" t="str">
        <x:v>comforting</x:v>
      </x:c>
      <x:c r="P144" s="38" t="str">
        <x:v>CHANGES RECOMMENDED</x:v>
      </x:c>
      <x:c r="Q144" s="38" t="str">
        <x:v>South Asian rice-and-lentil comfort dish cooked soft with spices and optional vegetables.</x:v>
      </x:c>
    </x:row>
    <x:row r="145" ht="62" customHeight="1">
      <x:c r="A145" s="38" t="n">
        <x:v>133</x:v>
      </x:c>
      <x:c r="B145" s="38" t="str">
        <x:v>kathi-roll</x:v>
      </x:c>
      <x:c r="C145" s="38" t="str">
        <x:v>Kathi Roll</x:v>
      </x:c>
      <x:c r="D145" s="38" t="str">
        <x:v>south-asia</x:v>
      </x:c>
      <x:c r="E145" s="38" t="str">
        <x:v>handheld</x:v>
      </x:c>
      <x:c r="F145" s="38" t="str">
        <x:v>spicy | crispy</x:v>
      </x:c>
      <x:c r="G145" s="38" t="str">
        <x:v>REMOVE</x:v>
      </x:c>
      <x:c r="H145" s="38" t="str">
        <x:v>Remove — the catalog describes spices, seasoning, curry, or accompaniments without making chile heat a defining trait; the current spicy tag is broader than the text supports.</x:v>
      </x:c>
      <x:c r="I145" s="38" t="str">
        <x:v>NO ADD</x:v>
      </x:c>
      <x:c r="J145" s="38" t="str">
        <x:v>No add — the current catalog does not center a bright, raw, herb-forward, vegetable-forward, or light fresh profile.</x:v>
      </x:c>
      <x:c r="K145" s="38" t="str">
        <x:v>REMOVE</x:v>
      </x:c>
      <x:c r="L145" s="38" t="str">
        <x:v>Remove — the catalog says the bread may be only lightly crisp; crispiness is optional rather than defining.</x:v>
      </x:c>
      <x:c r="M145" s="38" t="str">
        <x:v>NO ADD</x:v>
      </x:c>
      <x:c r="N145" s="38" t="str">
        <x:v>No add — the current catalog does not make sour, citrus, vinegar, pickled, yogurt-acidic, or other tangy notes a defining trait.</x:v>
      </x:c>
      <x:c r="O145" s="38" t="str">
        <x:v>NEEDS RETAG</x:v>
      </x:c>
      <x:c r="P145" s="38" t="str">
        <x:v>RETAG NEEDED</x:v>
      </x:c>
      <x:c r="Q145" s="38" t="str">
        <x:v>Kolkata-style flatbread roll wrapped around grilled fillings, onions, sauces, and spices.</x:v>
      </x:c>
    </x:row>
    <x:row r="146" ht="62" customHeight="1">
      <x:c r="A146" s="38" t="n">
        <x:v>134</x:v>
      </x:c>
      <x:c r="B146" s="38" t="str">
        <x:v>korma</x:v>
      </x:c>
      <x:c r="C146" s="38" t="str">
        <x:v>Korma</x:v>
      </x:c>
      <x:c r="D146" s="38" t="str">
        <x:v>south-asia</x:v>
      </x:c>
      <x:c r="E146" s="38" t="str">
        <x:v>grilled-protein</x:v>
      </x:c>
      <x:c r="F146" s="38" t="str">
        <x:v>rich | comforting</x:v>
      </x:c>
      <x:c r="G146" s="38" t="str">
        <x:v>NO ADD</x:v>
      </x:c>
      <x:c r="H146" s="38" t="str">
        <x:v>No add — the current catalog does not make chile heat or hot-spice intensity a defining trait.</x:v>
      </x:c>
      <x:c r="I146" s="38" t="str">
        <x:v>NO ADD</x:v>
      </x:c>
      <x:c r="J146" s="38" t="str">
        <x:v>No add — the current catalog does not center a bright, raw, herb-forward, vegetable-forward, or light fresh profile.</x:v>
      </x:c>
      <x:c r="K146" s="38" t="str">
        <x:v>NO ADD</x:v>
      </x:c>
      <x:c r="L146" s="38" t="str">
        <x:v>No add — the current catalog does not make crisp, crunchy, breaded, or fried texture a defining part of the dish.</x:v>
      </x:c>
      <x:c r="M146" s="38" t="str">
        <x:v>NO ADD</x:v>
      </x:c>
      <x:c r="N146" s="38" t="str">
        <x:v>No add — the current catalog does not make sour, citrus, vinegar, pickled, yogurt-acidic, or other tangy notes a defining trait.</x:v>
      </x:c>
      <x:c r="O146" s="38" t="str">
        <x:v>rich | comforting</x:v>
      </x:c>
      <x:c r="P146" s="38" t="str">
        <x:v>NO CHANGE</x:v>
      </x:c>
      <x:c r="Q146" s="38" t="str">
        <x:v>South Asian meat or vegetables braised in a fragrant sauce enriched with yogurt, cream, or nuts.</x:v>
      </x:c>
    </x:row>
    <x:row r="147" ht="62" customHeight="1">
      <x:c r="A147" s="38" t="n">
        <x:v>135</x:v>
      </x:c>
      <x:c r="B147" s="38" t="str">
        <x:v>musakhan</x:v>
      </x:c>
      <x:c r="C147" s="38" t="str">
        <x:v>Musakhan</x:v>
      </x:c>
      <x:c r="D147" s="38" t="str">
        <x:v>middle-east</x:v>
      </x:c>
      <x:c r="E147" s="38" t="str">
        <x:v>grilled-protein</x:v>
      </x:c>
      <x:c r="F147" s="38" t="str">
        <x:v>tangy | rich</x:v>
      </x:c>
      <x:c r="G147" s="38" t="str">
        <x:v>NO ADD</x:v>
      </x:c>
      <x:c r="H147" s="38" t="str">
        <x:v>No add — the current catalog does not make chile heat or hot-spice intensity a defining trait.</x:v>
      </x:c>
      <x:c r="I147" s="38" t="str">
        <x:v>NO ADD</x:v>
      </x:c>
      <x:c r="J147" s="38" t="str">
        <x:v>No add — the current catalog does not center a bright, raw, herb-forward, vegetable-forward, or light fresh profile.</x:v>
      </x:c>
      <x:c r="K147" s="38" t="str">
        <x:v>NO ADD</x:v>
      </x:c>
      <x:c r="L147" s="38" t="str">
        <x:v>No add — the current catalog does not make crisp, crunchy, breaded, or fried texture a defining part of the dish.</x:v>
      </x:c>
      <x:c r="M147" s="38" t="str">
        <x:v>KEEP</x:v>
      </x:c>
      <x:c r="N147" s="38" t="str">
        <x:v>Keep — the catalog centers sumac in the chicken seasoning, supporting the existing tangy recommendation signal.</x:v>
      </x:c>
      <x:c r="O147" s="38" t="str">
        <x:v>tangy | rich</x:v>
      </x:c>
      <x:c r="P147" s="38" t="str">
        <x:v>NO CHANGE</x:v>
      </x:c>
      <x:c r="Q147" s="38" t="str">
        <x:v>Palestinian sumac-roasted chicken served over onion-soaked taboon bread with olive oil.</x:v>
      </x:c>
    </x:row>
    <x:row r="148" ht="62" customHeight="1">
      <x:c r="A148" s="38" t="n">
        <x:v>136</x:v>
      </x:c>
      <x:c r="B148" s="38" t="str">
        <x:v>harees</x:v>
      </x:c>
      <x:c r="C148" s="38" t="str">
        <x:v>Harees</x:v>
      </x:c>
      <x:c r="D148" s="38" t="str">
        <x:v>middle-east</x:v>
      </x:c>
      <x:c r="E148" s="38" t="str">
        <x:v>soup-broth</x:v>
      </x:c>
      <x:c r="F148" s="38" t="str">
        <x:v>comforting | rich</x:v>
      </x:c>
      <x:c r="G148" s="38" t="str">
        <x:v>NO ADD</x:v>
      </x:c>
      <x:c r="H148" s="38" t="str">
        <x:v>No add — the current catalog does not make chile heat or hot-spice intensity a defining trait.</x:v>
      </x:c>
      <x:c r="I148" s="38" t="str">
        <x:v>NO ADD</x:v>
      </x:c>
      <x:c r="J148" s="38" t="str">
        <x:v>No add — the current catalog does not center a bright, raw, herb-forward, vegetable-forward, or light fresh profile.</x:v>
      </x:c>
      <x:c r="K148" s="38" t="str">
        <x:v>NO ADD</x:v>
      </x:c>
      <x:c r="L148" s="38" t="str">
        <x:v>No add — the current catalog does not make crisp, crunchy, breaded, or fried texture a defining part of the dish.</x:v>
      </x:c>
      <x:c r="M148" s="38" t="str">
        <x:v>NO ADD</x:v>
      </x:c>
      <x:c r="N148" s="38" t="str">
        <x:v>No add — the current catalog does not make sour, citrus, vinegar, pickled, yogurt-acidic, or other tangy notes a defining trait.</x:v>
      </x:c>
      <x:c r="O148" s="38" t="str">
        <x:v>comforting | rich</x:v>
      </x:c>
      <x:c r="P148" s="38" t="str">
        <x:v>NO CHANGE</x:v>
      </x:c>
      <x:c r="Q148" s="38" t="str">
        <x:v>Gulf wheat-and-meat porridge slow-cooked until creamy, cohesive, and deeply comforting.</x:v>
      </x:c>
    </x:row>
    <x:row r="149" ht="62" customHeight="1">
      <x:c r="A149" s="38" t="n">
        <x:v>137</x:v>
      </x:c>
      <x:c r="B149" s="38" t="str">
        <x:v>lahmacun</x:v>
      </x:c>
      <x:c r="C149" s="38" t="str">
        <x:v>Lahmacun</x:v>
      </x:c>
      <x:c r="D149" s="38" t="str">
        <x:v>middle-east</x:v>
      </x:c>
      <x:c r="E149" s="38" t="str">
        <x:v>handheld</x:v>
      </x:c>
      <x:c r="F149" s="38" t="str">
        <x:v>fresh | crispy | spicy</x:v>
      </x:c>
      <x:c r="G149" s="38" t="str">
        <x:v>REMOVE</x:v>
      </x:c>
      <x:c r="H149" s="38" t="str">
        <x:v>Remove — the catalog describes spices, seasoning, curry, or accompaniments without making chile heat a defining trait; the current spicy tag is broader than the text supports.</x:v>
      </x:c>
      <x:c r="I149" s="38" t="str">
        <x:v>KEEP</x:v>
      </x:c>
      <x:c r="J149" s="38" t="str">
        <x:v>Keep — the current catalog supports fresh through fresh greens; it is specific enough to remain a recommendation signal.</x:v>
      </x:c>
      <x:c r="K149" s="38" t="str">
        <x:v>REMOVE</x:v>
      </x:c>
      <x:c r="L149" s="38" t="str">
        <x:v>Remove — the catalog describes a baked thin flatbread but does not make crisp texture a defining trait.</x:v>
      </x:c>
      <x:c r="M149" s="38" t="str">
        <x:v>NO ADD</x:v>
      </x:c>
      <x:c r="N149" s="38" t="str">
        <x:v>No add — the current catalog does not make sour, citrus, vinegar, pickled, yogurt-acidic, or other tangy notes a defining trait.</x:v>
      </x:c>
      <x:c r="O149" s="38" t="str">
        <x:v>fresh</x:v>
      </x:c>
      <x:c r="P149" s="38" t="str">
        <x:v>CHANGES RECOMMENDED</x:v>
      </x:c>
      <x:c r="Q149" s="38" t="str">
        <x:v>Thin flatbread baked with seasoned minced meat, herbs, tomato, and pepper.</x:v>
      </x:c>
    </x:row>
    <x:row r="150" ht="62" customHeight="1">
      <x:c r="A150" s="38" t="n">
        <x:v>138</x:v>
      </x:c>
      <x:c r="B150" s="38" t="str">
        <x:v>ful-medames</x:v>
      </x:c>
      <x:c r="C150" s="38" t="str">
        <x:v>Ful Medames</x:v>
      </x:c>
      <x:c r="D150" s="38" t="str">
        <x:v>africa</x:v>
      </x:c>
      <x:c r="E150" s="38" t="str">
        <x:v>soup-broth</x:v>
      </x:c>
      <x:c r="F150" s="38" t="str">
        <x:v>comforting | fresh</x:v>
      </x:c>
      <x:c r="G150" s="38" t="str">
        <x:v>NO ADD</x:v>
      </x:c>
      <x:c r="H150" s="38" t="str">
        <x:v>No add — the current catalog does not make chile heat or hot-spice intensity a defining trait.</x:v>
      </x:c>
      <x:c r="I150" s="38" t="str">
        <x:v>KEEP</x:v>
      </x:c>
      <x:c r="J150" s="38" t="str">
        <x:v>Keep — the current catalog supports fresh through herbs; it is specific enough to remain a recommendation signal.</x:v>
      </x:c>
      <x:c r="K150" s="38" t="str">
        <x:v>NO ADD</x:v>
      </x:c>
      <x:c r="L150" s="38" t="str">
        <x:v>No add — the current catalog does not make crisp, crunchy, breaded, or fried texture a defining part of the dish.</x:v>
      </x:c>
      <x:c r="M150" s="38" t="str">
        <x:v>ADD</x:v>
      </x:c>
      <x:c r="N150" s="38" t="str">
        <x:v>Add — lemon is explicitly part of the standard seasoning in the catalog description, giving the bean dish a clear tangy dimension.</x:v>
      </x:c>
      <x:c r="O150" s="38" t="str">
        <x:v>comforting | fresh | tangy</x:v>
      </x:c>
      <x:c r="P150" s="38" t="str">
        <x:v>CHANGES RECOMMENDED</x:v>
      </x:c>
      <x:c r="Q150" s="38" t="str">
        <x:v>Egyptian slow-cooked fava beans dressed with olive oil, lemon, cumin, and fresh toppings.</x:v>
      </x:c>
    </x:row>
    <x:row r="151" ht="62" customHeight="1">
      <x:c r="A151" s="38" t="n">
        <x:v>139</x:v>
      </x:c>
      <x:c r="B151" s="38" t="str">
        <x:v>nyama-choma</x:v>
      </x:c>
      <x:c r="C151" s="38" t="str">
        <x:v>Nyama Choma</x:v>
      </x:c>
      <x:c r="D151" s="38" t="str">
        <x:v>africa</x:v>
      </x:c>
      <x:c r="E151" s="38" t="str">
        <x:v>grilled-protein</x:v>
      </x:c>
      <x:c r="F151" s="38" t="str">
        <x:v>fresh | rich</x:v>
      </x:c>
      <x:c r="G151" s="38" t="str">
        <x:v>NO ADD</x:v>
      </x:c>
      <x:c r="H151" s="38" t="str">
        <x:v>No add — the current catalog does not make chile heat or hot-spice intensity a defining trait.</x:v>
      </x:c>
      <x:c r="I151" s="38" t="str">
        <x:v>KEEP</x:v>
      </x:c>
      <x:c r="J151" s="38" t="str">
        <x:v>Keep — the current catalog supports fresh through fresh sides; it is specific enough to remain a recommendation signal.</x:v>
      </x:c>
      <x:c r="K151" s="38" t="str">
        <x:v>NO ADD</x:v>
      </x:c>
      <x:c r="L151" s="38" t="str">
        <x:v>No add — the current catalog does not make crisp, crunchy, breaded, or fried texture a defining part of the dish.</x:v>
      </x:c>
      <x:c r="M151" s="38" t="str">
        <x:v>NO ADD</x:v>
      </x:c>
      <x:c r="N151" s="38" t="str">
        <x:v>No add — the current catalog does not make sour, citrus, vinegar, pickled, yogurt-acidic, or other tangy notes a defining trait.</x:v>
      </x:c>
      <x:c r="O151" s="38" t="str">
        <x:v>fresh | rich</x:v>
      </x:c>
      <x:c r="P151" s="38" t="str">
        <x:v>NO CHANGE</x:v>
      </x:c>
      <x:c r="Q151" s="38" t="str">
        <x:v>East African meat roasted or grilled over open heat and served with fresh sides.</x:v>
      </x:c>
    </x:row>
    <x:row r="152" ht="62" customHeight="1">
      <x:c r="A152" s="38" t="n">
        <x:v>140</x:v>
      </x:c>
      <x:c r="B152" s="38" t="str">
        <x:v>rolex</x:v>
      </x:c>
      <x:c r="C152" s="38" t="str">
        <x:v>Rolex</x:v>
      </x:c>
      <x:c r="D152" s="38" t="str">
        <x:v>africa</x:v>
      </x:c>
      <x:c r="E152" s="38" t="str">
        <x:v>handheld</x:v>
      </x:c>
      <x:c r="F152" s="38" t="str">
        <x:v>fresh</x:v>
      </x:c>
      <x:c r="G152" s="38" t="str">
        <x:v>NO ADD</x:v>
      </x:c>
      <x:c r="H152" s="38" t="str">
        <x:v>No add — the current catalog does not make chile heat or hot-spice intensity a defining trait.</x:v>
      </x:c>
      <x:c r="I152" s="38" t="str">
        <x:v>REMOVE</x:v>
      </x:c>
      <x:c r="J152" s="38" t="str">
        <x:v>Remove — the catalog describes a cooked, grilled, baked, or hearty preparation; any vegetables, herbs, or garnishes are not central enough to make fresh a defining recommendation trait.</x:v>
      </x:c>
      <x:c r="K152" s="38" t="str">
        <x:v>NO ADD</x:v>
      </x:c>
      <x:c r="L152" s="38" t="str">
        <x:v>No add — the current catalog does not make crisp, crunchy, breaded, or fried texture a defining part of the dish.</x:v>
      </x:c>
      <x:c r="M152" s="38" t="str">
        <x:v>NO ADD</x:v>
      </x:c>
      <x:c r="N152" s="38" t="str">
        <x:v>No add — the current catalog does not make sour, citrus, vinegar, pickled, yogurt-acidic, or other tangy notes a defining trait.</x:v>
      </x:c>
      <x:c r="O152" s="38" t="str">
        <x:v>NEEDS RETAG</x:v>
      </x:c>
      <x:c r="P152" s="38" t="str">
        <x:v>RETAG NEEDED</x:v>
      </x:c>
      <x:c r="Q152" s="38" t="str">
        <x:v>Ugandan street-food wrap of chapati rolled around eggs, vegetables, and optional fillings.</x:v>
      </x:c>
    </x:row>
    <x:row r="153" ht="62" customHeight="1">
      <x:c r="A153" s="38" t="n">
        <x:v>141</x:v>
      </x:c>
      <x:c r="B153" s="38" t="str">
        <x:v>couscous</x:v>
      </x:c>
      <x:c r="C153" s="38" t="str">
        <x:v>Couscous</x:v>
      </x:c>
      <x:c r="D153" s="38" t="str">
        <x:v>africa</x:v>
      </x:c>
      <x:c r="E153" s="38" t="str">
        <x:v>rice</x:v>
      </x:c>
      <x:c r="F153" s="38" t="str">
        <x:v>fresh | comforting</x:v>
      </x:c>
      <x:c r="G153" s="38" t="str">
        <x:v>NO ADD</x:v>
      </x:c>
      <x:c r="H153" s="38" t="str">
        <x:v>No add — the current catalog does not make chile heat or hot-spice intensity a defining trait.</x:v>
      </x:c>
      <x:c r="I153" s="38" t="str">
        <x:v>REMOVE</x:v>
      </x:c>
      <x:c r="J153" s="38" t="str">
        <x:v>Remove — the catalog describes a cooked, grilled, baked, or hearty preparation; any vegetables, herbs, or garnishes are not central enough to make fresh a defining recommendation trait.</x:v>
      </x:c>
      <x:c r="K153" s="38" t="str">
        <x:v>NO ADD</x:v>
      </x:c>
      <x:c r="L153" s="38" t="str">
        <x:v>No add — the current catalog does not make crisp, crunchy, breaded, or fried texture a defining part of the dish.</x:v>
      </x:c>
      <x:c r="M153" s="38" t="str">
        <x:v>NO ADD</x:v>
      </x:c>
      <x:c r="N153" s="38" t="str">
        <x:v>No add — the current catalog does not make sour, citrus, vinegar, pickled, yogurt-acidic, or other tangy notes a defining trait.</x:v>
      </x:c>
      <x:c r="O153" s="38" t="str">
        <x:v>comforting</x:v>
      </x:c>
      <x:c r="P153" s="38" t="str">
        <x:v>CHANGES RECOMMENDED</x:v>
      </x:c>
      <x:c r="Q153" s="38" t="str">
        <x:v>North African steamed semolina granules served with vegetables, broth, meat, or chickpeas.</x:v>
      </x:c>
    </x:row>
    <x:row r="154" ht="62" customHeight="1">
      <x:c r="A154" s="38" t="n">
        <x:v>142</x:v>
      </x:c>
      <x:c r="B154" s="38" t="str">
        <x:v>fish-and-chips</x:v>
      </x:c>
      <x:c r="C154" s="38" t="str">
        <x:v>Fish and Chips</x:v>
      </x:c>
      <x:c r="D154" s="38" t="str">
        <x:v>europe</x:v>
      </x:c>
      <x:c r="E154" s="38" t="str">
        <x:v>grilled-protein</x:v>
      </x:c>
      <x:c r="F154" s="38" t="str">
        <x:v>crispy | comforting</x:v>
      </x:c>
      <x:c r="G154" s="38" t="str">
        <x:v>NO ADD</x:v>
      </x:c>
      <x:c r="H154" s="38" t="str">
        <x:v>No add — the current catalog does not make chile heat or hot-spice intensity a defining trait.</x:v>
      </x:c>
      <x:c r="I154" s="38" t="str">
        <x:v>NO ADD</x:v>
      </x:c>
      <x:c r="J154" s="38" t="str">
        <x:v>No add — the current catalog does not center a bright, raw, herb-forward, vegetable-forward, or light fresh profile.</x:v>
      </x:c>
      <x:c r="K154" s="38" t="str">
        <x:v>KEEP</x:v>
      </x:c>
      <x:c r="L154" s="38" t="str">
        <x:v>Keep — the current catalog supports crispy through explicit crisp texture; it is specific enough to remain a recommendation signal.</x:v>
      </x:c>
      <x:c r="M154" s="38" t="str">
        <x:v>NO ADD</x:v>
      </x:c>
      <x:c r="N154" s="38" t="str">
        <x:v>No add — the current catalog does not make sour, citrus, vinegar, pickled, yogurt-acidic, or other tangy notes a defining trait.</x:v>
      </x:c>
      <x:c r="O154" s="38" t="str">
        <x:v>crispy | comforting</x:v>
      </x:c>
      <x:c r="P154" s="38" t="str">
        <x:v>NO CHANGE</x:v>
      </x:c>
      <x:c r="Q154" s="38" t="str">
        <x:v>British battered fish fried crisp and served with thick-cut chips.</x:v>
      </x:c>
    </x:row>
    <x:row r="155" ht="62" customHeight="1">
      <x:c r="A155" s="38" t="n">
        <x:v>143</x:v>
      </x:c>
      <x:c r="B155" s="38" t="str">
        <x:v>moussaka</x:v>
      </x:c>
      <x:c r="C155" s="38" t="str">
        <x:v>Moussaka</x:v>
      </x:c>
      <x:c r="D155" s="38" t="str">
        <x:v>europe</x:v>
      </x:c>
      <x:c r="E155" s="38" t="str">
        <x:v>grilled-protein</x:v>
      </x:c>
      <x:c r="F155" s="38" t="str">
        <x:v>rich | comforting</x:v>
      </x:c>
      <x:c r="G155" s="38" t="str">
        <x:v>NO ADD</x:v>
      </x:c>
      <x:c r="H155" s="38" t="str">
        <x:v>No add — the current catalog does not make chile heat or hot-spice intensity a defining trait.</x:v>
      </x:c>
      <x:c r="I155" s="38" t="str">
        <x:v>NO ADD</x:v>
      </x:c>
      <x:c r="J155" s="38" t="str">
        <x:v>No add — the current catalog does not center a bright, raw, herb-forward, vegetable-forward, or light fresh profile.</x:v>
      </x:c>
      <x:c r="K155" s="38" t="str">
        <x:v>NO ADD</x:v>
      </x:c>
      <x:c r="L155" s="38" t="str">
        <x:v>No add — the current catalog does not make crisp, crunchy, breaded, or fried texture a defining part of the dish.</x:v>
      </x:c>
      <x:c r="M155" s="38" t="str">
        <x:v>NO ADD</x:v>
      </x:c>
      <x:c r="N155" s="38" t="str">
        <x:v>No add — the current catalog does not make sour, citrus, vinegar, pickled, yogurt-acidic, or other tangy notes a defining trait.</x:v>
      </x:c>
      <x:c r="O155" s="38" t="str">
        <x:v>rich | comforting</x:v>
      </x:c>
      <x:c r="P155" s="38" t="str">
        <x:v>NO CHANGE</x:v>
      </x:c>
      <x:c r="Q155" s="38" t="str">
        <x:v>Greek layered eggplant and meat casserole topped with a creamy baked sauce.</x:v>
      </x:c>
    </x:row>
    <x:row r="156" ht="62" customHeight="1">
      <x:c r="A156" s="38" t="n">
        <x:v>144</x:v>
      </x:c>
      <x:c r="B156" s="38" t="str">
        <x:v>croque-monsieur</x:v>
      </x:c>
      <x:c r="C156" s="38" t="str">
        <x:v>Croque Monsieur</x:v>
      </x:c>
      <x:c r="D156" s="38" t="str">
        <x:v>europe</x:v>
      </x:c>
      <x:c r="E156" s="38" t="str">
        <x:v>handheld</x:v>
      </x:c>
      <x:c r="F156" s="38" t="str">
        <x:v>crispy | rich</x:v>
      </x:c>
      <x:c r="G156" s="38" t="str">
        <x:v>NO ADD</x:v>
      </x:c>
      <x:c r="H156" s="38" t="str">
        <x:v>No add — the current catalog does not make chile heat or hot-spice intensity a defining trait.</x:v>
      </x:c>
      <x:c r="I156" s="38" t="str">
        <x:v>NO ADD</x:v>
      </x:c>
      <x:c r="J156" s="38" t="str">
        <x:v>No add — the current catalog does not center a bright, raw, herb-forward, vegetable-forward, or light fresh profile.</x:v>
      </x:c>
      <x:c r="K156" s="38" t="str">
        <x:v>KEEP</x:v>
      </x:c>
      <x:c r="L156" s="38" t="str">
        <x:v>Keep — the current catalog supports crispy through explicit crisp texture; it is specific enough to remain a recommendation signal.</x:v>
      </x:c>
      <x:c r="M156" s="38" t="str">
        <x:v>NO ADD</x:v>
      </x:c>
      <x:c r="N156" s="38" t="str">
        <x:v>No add — the current catalog does not make sour, citrus, vinegar, pickled, yogurt-acidic, or other tangy notes a defining trait.</x:v>
      </x:c>
      <x:c r="O156" s="38" t="str">
        <x:v>crispy | rich</x:v>
      </x:c>
      <x:c r="P156" s="38" t="str">
        <x:v>NO CHANGE</x:v>
      </x:c>
      <x:c r="Q156" s="38" t="str">
        <x:v>French grilled ham-and-cheese sandwich with a crisp exterior and melted cheese.</x:v>
      </x:c>
    </x:row>
    <x:row r="157" ht="62" customHeight="1">
      <x:c r="A157" s="38" t="n">
        <x:v>145</x:v>
      </x:c>
      <x:c r="B157" s="38" t="str">
        <x:v>aji-de-gallina</x:v>
      </x:c>
      <x:c r="C157" s="38" t="str">
        <x:v>Ají de Gallina</x:v>
      </x:c>
      <x:c r="D157" s="38" t="str">
        <x:v>latin-america</x:v>
      </x:c>
      <x:c r="E157" s="38" t="str">
        <x:v>grilled-protein</x:v>
      </x:c>
      <x:c r="F157" s="38" t="str">
        <x:v>rich | comforting</x:v>
      </x:c>
      <x:c r="G157" s="38" t="str">
        <x:v>NO ADD</x:v>
      </x:c>
      <x:c r="H157" s="38" t="str">
        <x:v>No add — the current catalog does not make chile heat or hot-spice intensity a defining trait.</x:v>
      </x:c>
      <x:c r="I157" s="38" t="str">
        <x:v>NO ADD</x:v>
      </x:c>
      <x:c r="J157" s="38" t="str">
        <x:v>No add — the current catalog does not center a bright, raw, herb-forward, vegetable-forward, or light fresh profile.</x:v>
      </x:c>
      <x:c r="K157" s="38" t="str">
        <x:v>NO ADD</x:v>
      </x:c>
      <x:c r="L157" s="38" t="str">
        <x:v>No add — the current catalog does not make crisp, crunchy, breaded, or fried texture a defining part of the dish.</x:v>
      </x:c>
      <x:c r="M157" s="38" t="str">
        <x:v>NO ADD</x:v>
      </x:c>
      <x:c r="N157" s="38" t="str">
        <x:v>No add — the current catalog does not make sour, citrus, vinegar, pickled, yogurt-acidic, or other tangy notes a defining trait.</x:v>
      </x:c>
      <x:c r="O157" s="38" t="str">
        <x:v>rich | comforting</x:v>
      </x:c>
      <x:c r="P157" s="38" t="str">
        <x:v>NO CHANGE</x:v>
      </x:c>
      <x:c r="Q157" s="38" t="str">
        <x:v>Peruvian shredded chicken in a creamy yellow-chile sauce with nuts, bread, and cheese.</x:v>
      </x:c>
    </x:row>
    <x:row r="158" ht="62" customHeight="1">
      <x:c r="A158" s="38" t="n">
        <x:v>146</x:v>
      </x:c>
      <x:c r="B158" s="38" t="str">
        <x:v>sopa-de-fideo</x:v>
      </x:c>
      <x:c r="C158" s="38" t="str">
        <x:v>Sopa de Fideo</x:v>
      </x:c>
      <x:c r="D158" s="38" t="str">
        <x:v>latin-america</x:v>
      </x:c>
      <x:c r="E158" s="38" t="str">
        <x:v>noodle</x:v>
      </x:c>
      <x:c r="F158" s="38" t="str">
        <x:v>comforting | fresh</x:v>
      </x:c>
      <x:c r="G158" s="38" t="str">
        <x:v>NO ADD</x:v>
      </x:c>
      <x:c r="H158" s="38" t="str">
        <x:v>No add — the current catalog does not make chile heat or hot-spice intensity a defining trait.</x:v>
      </x:c>
      <x:c r="I158" s="38" t="str">
        <x:v>REMOVE</x:v>
      </x:c>
      <x:c r="J158" s="38" t="str">
        <x:v>Remove — the catalog describes a cooked, grilled, baked, or hearty preparation; any vegetables, herbs, or garnishes are not central enough to make fresh a defining recommendation trait.</x:v>
      </x:c>
      <x:c r="K158" s="38" t="str">
        <x:v>NO ADD</x:v>
      </x:c>
      <x:c r="L158" s="38" t="str">
        <x:v>No add — the current catalog does not make crisp, crunchy, breaded, or fried texture a defining part of the dish.</x:v>
      </x:c>
      <x:c r="M158" s="38" t="str">
        <x:v>NO ADD</x:v>
      </x:c>
      <x:c r="N158" s="38" t="str">
        <x:v>No add — the current catalog does not make sour, citrus, vinegar, pickled, yogurt-acidic, or other tangy notes a defining trait.</x:v>
      </x:c>
      <x:c r="O158" s="38" t="str">
        <x:v>comforting</x:v>
      </x:c>
      <x:c r="P158" s="38" t="str">
        <x:v>CHANGES RECOMMENDED</x:v>
      </x:c>
      <x:c r="Q158" s="38" t="str">
        <x:v>Mexican noodle soup with toasted short pasta simmered in a tomato-based broth.</x:v>
      </x:c>
    </x:row>
    <x:row r="159" ht="62" customHeight="1">
      <x:c r="A159" s="38" t="n">
        <x:v>147</x:v>
      </x:c>
      <x:c r="B159" s="38" t="str">
        <x:v>coxinha</x:v>
      </x:c>
      <x:c r="C159" s="38" t="str">
        <x:v>Coxinha</x:v>
      </x:c>
      <x:c r="D159" s="38" t="str">
        <x:v>latin-america</x:v>
      </x:c>
      <x:c r="E159" s="38" t="str">
        <x:v>handheld</x:v>
      </x:c>
      <x:c r="F159" s="38" t="str">
        <x:v>crispy | rich</x:v>
      </x:c>
      <x:c r="G159" s="38" t="str">
        <x:v>NO ADD</x:v>
      </x:c>
      <x:c r="H159" s="38" t="str">
        <x:v>No add — the current catalog does not make chile heat or hot-spice intensity a defining trait.</x:v>
      </x:c>
      <x:c r="I159" s="38" t="str">
        <x:v>NO ADD</x:v>
      </x:c>
      <x:c r="J159" s="38" t="str">
        <x:v>No add — the current catalog does not center a bright, raw, herb-forward, vegetable-forward, or light fresh profile.</x:v>
      </x:c>
      <x:c r="K159" s="38" t="str">
        <x:v>KEEP</x:v>
      </x:c>
      <x:c r="L159" s="38" t="str">
        <x:v>Keep — the current catalog supports crispy through explicit crisp texture; it is specific enough to remain a recommendation signal.</x:v>
      </x:c>
      <x:c r="M159" s="38" t="str">
        <x:v>NO ADD</x:v>
      </x:c>
      <x:c r="N159" s="38" t="str">
        <x:v>No add — the current catalog does not make sour, citrus, vinegar, pickled, yogurt-acidic, or other tangy notes a defining trait.</x:v>
      </x:c>
      <x:c r="O159" s="38" t="str">
        <x:v>crispy | rich</x:v>
      </x:c>
      <x:c r="P159" s="38" t="str">
        <x:v>NO CHANGE</x:v>
      </x:c>
      <x:c r="Q159" s="38" t="str">
        <x:v>Brazilian teardrop-shaped fried snack filled with seasoned shredded chicken.</x:v>
      </x:c>
    </x:row>
    <x:row r="160" ht="62" customHeight="1">
      <x:c r="A160" s="38" t="n">
        <x:v>148</x:v>
      </x:c>
      <x:c r="B160" s="38" t="str">
        <x:v>nashville-hot-chicken</x:v>
      </x:c>
      <x:c r="C160" s="38" t="str">
        <x:v>Nashville Hot Chicken</x:v>
      </x:c>
      <x:c r="D160" s="38" t="str">
        <x:v>north-america</x:v>
      </x:c>
      <x:c r="E160" s="38" t="str">
        <x:v>grilled-protein</x:v>
      </x:c>
      <x:c r="F160" s="38" t="str">
        <x:v>spicy | crispy</x:v>
      </x:c>
      <x:c r="G160" s="38" t="str">
        <x:v>KEEP</x:v>
      </x:c>
      <x:c r="H160" s="38" t="str">
        <x:v>Keep — the current catalog supports spicy through explicitly described as spicy; it is specific enough to remain a recommendation signal.</x:v>
      </x:c>
      <x:c r="I160" s="38" t="str">
        <x:v>NO ADD</x:v>
      </x:c>
      <x:c r="J160" s="38" t="str">
        <x:v>No add — the current catalog does not center a bright, raw, herb-forward, vegetable-forward, or light fresh profile.</x:v>
      </x:c>
      <x:c r="K160" s="38" t="str">
        <x:v>KEEP</x:v>
      </x:c>
      <x:c r="L160" s="38" t="str">
        <x:v>Keep — the current catalog framing supports crispy as a meaningful part of the dish, and there is no stronger reason to remove the existing tag.</x:v>
      </x:c>
      <x:c r="M160" s="38" t="str">
        <x:v>NO ADD</x:v>
      </x:c>
      <x:c r="N160" s="38" t="str">
        <x:v>No add — the current catalog does not make sour, citrus, vinegar, pickled, yogurt-acidic, or other tangy notes a defining trait.</x:v>
      </x:c>
      <x:c r="O160" s="38" t="str">
        <x:v>spicy | crispy</x:v>
      </x:c>
      <x:c r="P160" s="38" t="str">
        <x:v>NO CHANGE</x:v>
      </x:c>
      <x:c r="Q160" s="38" t="str">
        <x:v>Nashville fried chicken coated in a fiery cayenne-rich spice paste.</x:v>
      </x:c>
    </x:row>
    <x:row r="161" ht="62" customHeight="1">
      <x:c r="A161" s="38" t="n">
        <x:v>149</x:v>
      </x:c>
      <x:c r="B161" s="38" t="str">
        <x:v>reuben-sandwich</x:v>
      </x:c>
      <x:c r="C161" s="38" t="str">
        <x:v>Reuben Sandwich</x:v>
      </x:c>
      <x:c r="D161" s="38" t="str">
        <x:v>north-america</x:v>
      </x:c>
      <x:c r="E161" s="38" t="str">
        <x:v>handheld</x:v>
      </x:c>
      <x:c r="F161" s="38" t="str">
        <x:v>rich | tangy</x:v>
      </x:c>
      <x:c r="G161" s="38" t="str">
        <x:v>NO ADD</x:v>
      </x:c>
      <x:c r="H161" s="38" t="str">
        <x:v>No add — the current catalog does not make chile heat or hot-spice intensity a defining trait.</x:v>
      </x:c>
      <x:c r="I161" s="38" t="str">
        <x:v>NO ADD</x:v>
      </x:c>
      <x:c r="J161" s="38" t="str">
        <x:v>No add — the current catalog does not center a bright, raw, herb-forward, vegetable-forward, or light fresh profile.</x:v>
      </x:c>
      <x:c r="K161" s="38" t="str">
        <x:v>ADD</x:v>
      </x:c>
      <x:c r="L161" s="38" t="str">
        <x:v>Add — the catalog says griddling crisps the rye bread, making crisp texture a repeatable part of the sandwich.</x:v>
      </x:c>
      <x:c r="M161" s="38" t="str">
        <x:v>KEEP</x:v>
      </x:c>
      <x:c r="N161" s="38" t="str">
        <x:v>Keep — sauerkraut and dressing are core components in the catalog description, so tanginess is a stable part of the sandwich.</x:v>
      </x:c>
      <x:c r="O161" s="38" t="str">
        <x:v>rich | tangy | crispy</x:v>
      </x:c>
      <x:c r="P161" s="38" t="str">
        <x:v>CHANGES RECOMMENDED</x:v>
      </x:c>
      <x:c r="Q161" s="38" t="str">
        <x:v>Griddled American sandwich with corned beef, Swiss cheese, sauerkraut, and dressing.</x:v>
      </x:c>
    </x:row>
    <x:row r="162" ht="62" customHeight="1">
      <x:c r="A162" s="38" t="n">
        <x:v>150</x:v>
      </x:c>
      <x:c r="B162" s="38" t="str">
        <x:v>loco-moco</x:v>
      </x:c>
      <x:c r="C162" s="38" t="str">
        <x:v>Loco Moco</x:v>
      </x:c>
      <x:c r="D162" s="38" t="str">
        <x:v>north-america</x:v>
      </x:c>
      <x:c r="E162" s="38" t="str">
        <x:v>rice</x:v>
      </x:c>
      <x:c r="F162" s="38" t="str">
        <x:v>rich | comforting</x:v>
      </x:c>
      <x:c r="G162" s="38" t="str">
        <x:v>NO ADD</x:v>
      </x:c>
      <x:c r="H162" s="38" t="str">
        <x:v>No add — the current catalog does not make chile heat or hot-spice intensity a defining trait.</x:v>
      </x:c>
      <x:c r="I162" s="38" t="str">
        <x:v>NO ADD</x:v>
      </x:c>
      <x:c r="J162" s="38" t="str">
        <x:v>No add — the current catalog does not center a bright, raw, herb-forward, vegetable-forward, or light fresh profile.</x:v>
      </x:c>
      <x:c r="K162" s="38" t="str">
        <x:v>NO ADD</x:v>
      </x:c>
      <x:c r="L162" s="38" t="str">
        <x:v>No add — the current catalog does not make crisp, crunchy, breaded, or fried texture a defining part of the dish.</x:v>
      </x:c>
      <x:c r="M162" s="38" t="str">
        <x:v>NO ADD</x:v>
      </x:c>
      <x:c r="N162" s="38" t="str">
        <x:v>No add — the current catalog does not make sour, citrus, vinegar, pickled, yogurt-acidic, or other tangy notes a defining trait.</x:v>
      </x:c>
      <x:c r="O162" s="38" t="str">
        <x:v>rich | comforting</x:v>
      </x:c>
      <x:c r="P162" s="38" t="str">
        <x:v>NO CHANGE</x:v>
      </x:c>
      <x:c r="Q162" s="38" t="str">
        <x:v>Hawaiian rice topped with a hamburger patty, fried egg, and brown gravy.</x:v>
      </x:c>
    </x:row>
    <x:row r="163" ht="62" customHeight="1">
      <x:c r="A163" s="38" t="n">
        <x:v>151</x:v>
      </x:c>
      <x:c r="B163" s="38" t="str">
        <x:v>oyakodon</x:v>
      </x:c>
      <x:c r="C163" s="38" t="str">
        <x:v>Oyakodon</x:v>
      </x:c>
      <x:c r="D163" s="38" t="str">
        <x:v>east-asia</x:v>
      </x:c>
      <x:c r="E163" s="38" t="str">
        <x:v>rice</x:v>
      </x:c>
      <x:c r="F163" s="38" t="str">
        <x:v>comforting</x:v>
      </x:c>
      <x:c r="G163" s="38" t="str">
        <x:v>NO ADD</x:v>
      </x:c>
      <x:c r="H163" s="38" t="str">
        <x:v>No add — the current catalog does not make chile heat or hot-spice intensity a defining trait.</x:v>
      </x:c>
      <x:c r="I163" s="38" t="str">
        <x:v>NO ADD</x:v>
      </x:c>
      <x:c r="J163" s="38" t="str">
        <x:v>No add — the current catalog does not center a bright, raw, herb-forward, vegetable-forward, or light fresh profile.</x:v>
      </x:c>
      <x:c r="K163" s="38" t="str">
        <x:v>NO ADD</x:v>
      </x:c>
      <x:c r="L163" s="38" t="str">
        <x:v>No add — the current catalog does not make crisp, crunchy, breaded, or fried texture a defining part of the dish.</x:v>
      </x:c>
      <x:c r="M163" s="38" t="str">
        <x:v>NO ADD</x:v>
      </x:c>
      <x:c r="N163" s="38" t="str">
        <x:v>No add — the current catalog does not make sour, citrus, vinegar, pickled, yogurt-acidic, or other tangy notes a defining trait.</x:v>
      </x:c>
      <x:c r="O163" s="38" t="str">
        <x:v>comforting</x:v>
      </x:c>
      <x:c r="P163" s="38" t="str">
        <x:v>NO CHANGE</x:v>
      </x:c>
      <x:c r="Q163" s="38" t="str">
        <x:v>Japanese rice bowl topped with chicken and softly set egg simmered in a sweet-savory sauce.</x:v>
      </x:c>
    </x:row>
    <x:row r="164" ht="62" customHeight="1">
      <x:c r="A164" s="38" t="n">
        <x:v>152</x:v>
      </x:c>
      <x:c r="B164" s="38" t="str">
        <x:v>doenjang-jjigae</x:v>
      </x:c>
      <x:c r="C164" s="38" t="str">
        <x:v>Doenjang-jjigae</x:v>
      </x:c>
      <x:c r="D164" s="38" t="str">
        <x:v>east-asia</x:v>
      </x:c>
      <x:c r="E164" s="38" t="str">
        <x:v>soup-broth</x:v>
      </x:c>
      <x:c r="F164" s="38" t="str">
        <x:v>comforting</x:v>
      </x:c>
      <x:c r="G164" s="38" t="str">
        <x:v>NO ADD</x:v>
      </x:c>
      <x:c r="H164" s="38" t="str">
        <x:v>No add — the current catalog does not make chile heat or hot-spice intensity a defining trait.</x:v>
      </x:c>
      <x:c r="I164" s="38" t="str">
        <x:v>NO ADD</x:v>
      </x:c>
      <x:c r="J164" s="38" t="str">
        <x:v>No add — the current catalog does not center a bright, raw, herb-forward, vegetable-forward, or light fresh profile.</x:v>
      </x:c>
      <x:c r="K164" s="38" t="str">
        <x:v>NO ADD</x:v>
      </x:c>
      <x:c r="L164" s="38" t="str">
        <x:v>No add — the current catalog does not make crisp, crunchy, breaded, or fried texture a defining part of the dish.</x:v>
      </x:c>
      <x:c r="M164" s="38" t="str">
        <x:v>NO ADD</x:v>
      </x:c>
      <x:c r="N164" s="38" t="str">
        <x:v>No add — the current catalog does not make sour, citrus, vinegar, pickled, yogurt-acidic, or other tangy notes a defining trait.</x:v>
      </x:c>
      <x:c r="O164" s="38" t="str">
        <x:v>comforting</x:v>
      </x:c>
      <x:c r="P164" s="38" t="str">
        <x:v>NO CHANGE</x:v>
      </x:c>
      <x:c r="Q164" s="38" t="str">
        <x:v>Korean soybean-paste stew with tofu, vegetables, and a deep fermented savory flavor.</x:v>
      </x:c>
    </x:row>
    <x:row r="165" ht="62" customHeight="1">
      <x:c r="A165" s="38" t="n">
        <x:v>153</x:v>
      </x:c>
      <x:c r="B165" s="38" t="str">
        <x:v>zongzi</x:v>
      </x:c>
      <x:c r="C165" s="38" t="str">
        <x:v>Zongzi</x:v>
      </x:c>
      <x:c r="D165" s="38" t="str">
        <x:v>east-asia</x:v>
      </x:c>
      <x:c r="E165" s="38" t="str">
        <x:v>handheld</x:v>
      </x:c>
      <x:c r="F165" s="38" t="str">
        <x:v>comforting</x:v>
      </x:c>
      <x:c r="G165" s="38" t="str">
        <x:v>NO ADD</x:v>
      </x:c>
      <x:c r="H165" s="38" t="str">
        <x:v>No add — the current catalog does not make chile heat or hot-spice intensity a defining trait.</x:v>
      </x:c>
      <x:c r="I165" s="38" t="str">
        <x:v>NO ADD</x:v>
      </x:c>
      <x:c r="J165" s="38" t="str">
        <x:v>No add — the current catalog does not center a bright, raw, herb-forward, vegetable-forward, or light fresh profile.</x:v>
      </x:c>
      <x:c r="K165" s="38" t="str">
        <x:v>NO ADD</x:v>
      </x:c>
      <x:c r="L165" s="38" t="str">
        <x:v>No add — the current catalog does not make crisp, crunchy, breaded, or fried texture a defining part of the dish.</x:v>
      </x:c>
      <x:c r="M165" s="38" t="str">
        <x:v>NO ADD</x:v>
      </x:c>
      <x:c r="N165" s="38" t="str">
        <x:v>No add — the current catalog does not make sour, citrus, vinegar, pickled, yogurt-acidic, or other tangy notes a defining trait.</x:v>
      </x:c>
      <x:c r="O165" s="38" t="str">
        <x:v>comforting</x:v>
      </x:c>
      <x:c r="P165" s="38" t="str">
        <x:v>NO CHANGE</x:v>
      </x:c>
      <x:c r="Q165" s="38" t="str">
        <x:v>Chinese sticky rice parcels wrapped in bamboo or reed leaves with savory or sweet fillings.</x:v>
      </x:c>
    </x:row>
    <x:row r="166" ht="62" customHeight="1">
      <x:c r="A166" s="38" t="n">
        <x:v>154</x:v>
      </x:c>
      <x:c r="B166" s="38" t="str">
        <x:v>bai-sach-chrouk</x:v>
      </x:c>
      <x:c r="C166" s="38" t="str">
        <x:v>Bai Sach Chrouk</x:v>
      </x:c>
      <x:c r="D166" s="38" t="str">
        <x:v>southeast-asia</x:v>
      </x:c>
      <x:c r="E166" s="38" t="str">
        <x:v>rice</x:v>
      </x:c>
      <x:c r="F166" s="38" t="str">
        <x:v>comforting | fresh</x:v>
      </x:c>
      <x:c r="G166" s="38" t="str">
        <x:v>NO ADD</x:v>
      </x:c>
      <x:c r="H166" s="38" t="str">
        <x:v>No add — the current catalog does not make chile heat or hot-spice intensity a defining trait.</x:v>
      </x:c>
      <x:c r="I166" s="38" t="str">
        <x:v>KEEP</x:v>
      </x:c>
      <x:c r="J166" s="38" t="str">
        <x:v>Keep — the current catalog supports fresh through cucumber; it is specific enough to remain a recommendation signal.</x:v>
      </x:c>
      <x:c r="K166" s="38" t="str">
        <x:v>NO ADD</x:v>
      </x:c>
      <x:c r="L166" s="38" t="str">
        <x:v>No add — the current catalog does not make crisp, crunchy, breaded, or fried texture a defining part of the dish.</x:v>
      </x:c>
      <x:c r="M166" s="38" t="str">
        <x:v>NO ADD</x:v>
      </x:c>
      <x:c r="N166" s="38" t="str">
        <x:v>No add — the current catalog does not make sour, citrus, vinegar, pickled, yogurt-acidic, or other tangy notes a defining trait.</x:v>
      </x:c>
      <x:c r="O166" s="38" t="str">
        <x:v>comforting | fresh</x:v>
      </x:c>
      <x:c r="P166" s="38" t="str">
        <x:v>NO CHANGE</x:v>
      </x:c>
      <x:c r="Q166" s="38" t="str">
        <x:v>Cambodian grilled pork served over rice with pickled vegetables and light broth.</x:v>
      </x:c>
    </x:row>
    <x:row r="167" ht="62" customHeight="1">
      <x:c r="A167" s="38" t="n">
        <x:v>155</x:v>
      </x:c>
      <x:c r="B167" s="38" t="str">
        <x:v>kuy-teav</x:v>
      </x:c>
      <x:c r="C167" s="38" t="str">
        <x:v>Kuy Teav</x:v>
      </x:c>
      <x:c r="D167" s="38" t="str">
        <x:v>southeast-asia</x:v>
      </x:c>
      <x:c r="E167" s="38" t="str">
        <x:v>soup-broth</x:v>
      </x:c>
      <x:c r="F167" s="38" t="str">
        <x:v>fresh | comforting</x:v>
      </x:c>
      <x:c r="G167" s="38" t="str">
        <x:v>NO ADD</x:v>
      </x:c>
      <x:c r="H167" s="38" t="str">
        <x:v>No add — the current catalog does not make chile heat or hot-spice intensity a defining trait.</x:v>
      </x:c>
      <x:c r="I167" s="38" t="str">
        <x:v>KEEP</x:v>
      </x:c>
      <x:c r="J167" s="38" t="str">
        <x:v>Keep — the current catalog supports fresh through herbs; it is specific enough to remain a recommendation signal.</x:v>
      </x:c>
      <x:c r="K167" s="38" t="str">
        <x:v>NO ADD</x:v>
      </x:c>
      <x:c r="L167" s="38" t="str">
        <x:v>No add — the current catalog does not make crisp, crunchy, breaded, or fried texture a defining part of the dish.</x:v>
      </x:c>
      <x:c r="M167" s="38" t="str">
        <x:v>NO ADD</x:v>
      </x:c>
      <x:c r="N167" s="38" t="str">
        <x:v>No add — the current catalog does not make sour, citrus, vinegar, pickled, yogurt-acidic, or other tangy notes a defining trait.</x:v>
      </x:c>
      <x:c r="O167" s="38" t="str">
        <x:v>fresh | comforting</x:v>
      </x:c>
      <x:c r="P167" s="38" t="str">
        <x:v>NO CHANGE</x:v>
      </x:c>
      <x:c r="Q167" s="38" t="str">
        <x:v>Cambodian rice-noodle soup with clear savory broth, herbs, vegetables, and varied proteins.</x:v>
      </x:c>
    </x:row>
    <x:row r="168" ht="62" customHeight="1">
      <x:c r="A168" s="38" t="n">
        <x:v>156</x:v>
      </x:c>
      <x:c r="B168" s="38" t="str">
        <x:v>fish-amok</x:v>
      </x:c>
      <x:c r="C168" s="38" t="str">
        <x:v>Fish Amok</x:v>
      </x:c>
      <x:c r="D168" s="38" t="str">
        <x:v>southeast-asia</x:v>
      </x:c>
      <x:c r="E168" s="38" t="str">
        <x:v>grilled-protein</x:v>
      </x:c>
      <x:c r="F168" s="38" t="str">
        <x:v>rich | fresh</x:v>
      </x:c>
      <x:c r="G168" s="38" t="str">
        <x:v>NO ADD</x:v>
      </x:c>
      <x:c r="H168" s="38" t="str">
        <x:v>No add — the current catalog does not make chile heat or hot-spice intensity a defining trait.</x:v>
      </x:c>
      <x:c r="I168" s="38" t="str">
        <x:v>REMOVE</x:v>
      </x:c>
      <x:c r="J168" s="38" t="str">
        <x:v>Remove — the catalog describes a cooked, grilled, baked, or hearty preparation; any vegetables, herbs, or garnishes are not central enough to make fresh a defining recommendation trait.</x:v>
      </x:c>
      <x:c r="K168" s="38" t="str">
        <x:v>NO ADD</x:v>
      </x:c>
      <x:c r="L168" s="38" t="str">
        <x:v>No add — the current catalog does not make crisp, crunchy, breaded, or fried texture a defining part of the dish.</x:v>
      </x:c>
      <x:c r="M168" s="38" t="str">
        <x:v>NO ADD</x:v>
      </x:c>
      <x:c r="N168" s="38" t="str">
        <x:v>No add — the current catalog does not make sour, citrus, vinegar, pickled, yogurt-acidic, or other tangy notes a defining trait.</x:v>
      </x:c>
      <x:c r="O168" s="38" t="str">
        <x:v>rich</x:v>
      </x:c>
      <x:c r="P168" s="38" t="str">
        <x:v>CHANGES RECOMMENDED</x:v>
      </x:c>
      <x:c r="Q168" s="38" t="str">
        <x:v>Cambodian fish curry steamed with coconut, kroeung aromatics, and herbs until softly set.</x:v>
      </x:c>
    </x:row>
    <x:row r="169" ht="62" customHeight="1">
      <x:c r="A169" s="38" t="n">
        <x:v>157</x:v>
      </x:c>
      <x:c r="B169" s="38" t="str">
        <x:v>butter-chicken</x:v>
      </x:c>
      <x:c r="C169" s="38" t="str">
        <x:v>Butter Chicken</x:v>
      </x:c>
      <x:c r="D169" s="38" t="str">
        <x:v>south-asia</x:v>
      </x:c>
      <x:c r="E169" s="38" t="str">
        <x:v>grilled-protein</x:v>
      </x:c>
      <x:c r="F169" s="38" t="str">
        <x:v>rich | comforting</x:v>
      </x:c>
      <x:c r="G169" s="38" t="str">
        <x:v>NO ADD</x:v>
      </x:c>
      <x:c r="H169" s="38" t="str">
        <x:v>No add — the current catalog does not make chile heat or hot-spice intensity a defining trait.</x:v>
      </x:c>
      <x:c r="I169" s="38" t="str">
        <x:v>NO ADD</x:v>
      </x:c>
      <x:c r="J169" s="38" t="str">
        <x:v>No add — the current catalog does not center a bright, raw, herb-forward, vegetable-forward, or light fresh profile.</x:v>
      </x:c>
      <x:c r="K169" s="38" t="str">
        <x:v>NO ADD</x:v>
      </x:c>
      <x:c r="L169" s="38" t="str">
        <x:v>No add — the current catalog does not make crisp, crunchy, breaded, or fried texture a defining part of the dish.</x:v>
      </x:c>
      <x:c r="M169" s="38" t="str">
        <x:v>NO ADD</x:v>
      </x:c>
      <x:c r="N169" s="38" t="str">
        <x:v>No add — the current catalog does not make sour, citrus, vinegar, pickled, yogurt-acidic, or other tangy notes a defining trait.</x:v>
      </x:c>
      <x:c r="O169" s="38" t="str">
        <x:v>rich | comforting</x:v>
      </x:c>
      <x:c r="P169" s="38" t="str">
        <x:v>NO CHANGE</x:v>
      </x:c>
      <x:c r="Q169" s="38" t="str">
        <x:v>North Indian chicken in a buttery tomato sauce enriched with cream and warm spices.</x:v>
      </x:c>
    </x:row>
    <x:row r="170" ht="62" customHeight="1">
      <x:c r="A170" s="38" t="n">
        <x:v>158</x:v>
      </x:c>
      <x:c r="B170" s="38" t="str">
        <x:v>poha</x:v>
      </x:c>
      <x:c r="C170" s="38" t="str">
        <x:v>Poha</x:v>
      </x:c>
      <x:c r="D170" s="38" t="str">
        <x:v>south-asia</x:v>
      </x:c>
      <x:c r="E170" s="38" t="str">
        <x:v>rice</x:v>
      </x:c>
      <x:c r="F170" s="38" t="str">
        <x:v>fresh | comforting</x:v>
      </x:c>
      <x:c r="G170" s="38" t="str">
        <x:v>NO ADD</x:v>
      </x:c>
      <x:c r="H170" s="38" t="str">
        <x:v>No add — the current catalog does not make chile heat or hot-spice intensity a defining trait.</x:v>
      </x:c>
      <x:c r="I170" s="38" t="str">
        <x:v>KEEP</x:v>
      </x:c>
      <x:c r="J170" s="38" t="str">
        <x:v>Keep — the current catalog supports fresh through fresh garnishes; it is specific enough to remain a recommendation signal.</x:v>
      </x:c>
      <x:c r="K170" s="38" t="str">
        <x:v>NO ADD</x:v>
      </x:c>
      <x:c r="L170" s="38" t="str">
        <x:v>No add — the current catalog does not make crisp, crunchy, breaded, or fried texture a defining part of the dish.</x:v>
      </x:c>
      <x:c r="M170" s="38" t="str">
        <x:v>NO ADD</x:v>
      </x:c>
      <x:c r="N170" s="38" t="str">
        <x:v>No add — the current catalog does not make sour, citrus, vinegar, pickled, yogurt-acidic, or other tangy notes a defining trait.</x:v>
      </x:c>
      <x:c r="O170" s="38" t="str">
        <x:v>fresh | comforting</x:v>
      </x:c>
      <x:c r="P170" s="38" t="str">
        <x:v>NO CHANGE</x:v>
      </x:c>
      <x:c r="Q170" s="38" t="str">
        <x:v>Indian flattened rice cooked with onions, spices, herbs, and fresh garnishes.</x:v>
      </x:c>
    </x:row>
    <x:row r="171" ht="62" customHeight="1">
      <x:c r="A171" s="38" t="n">
        <x:v>159</x:v>
      </x:c>
      <x:c r="B171" s="38" t="str">
        <x:v>dal-dhokli</x:v>
      </x:c>
      <x:c r="C171" s="38" t="str">
        <x:v>Dal Dhokli</x:v>
      </x:c>
      <x:c r="D171" s="38" t="str">
        <x:v>south-asia</x:v>
      </x:c>
      <x:c r="E171" s="38" t="str">
        <x:v>noodle</x:v>
      </x:c>
      <x:c r="F171" s="38" t="str">
        <x:v>comforting | tangy</x:v>
      </x:c>
      <x:c r="G171" s="38" t="str">
        <x:v>NO ADD</x:v>
      </x:c>
      <x:c r="H171" s="38" t="str">
        <x:v>No add — the current catalog does not make chile heat or hot-spice intensity a defining trait.</x:v>
      </x:c>
      <x:c r="I171" s="38" t="str">
        <x:v>NO ADD</x:v>
      </x:c>
      <x:c r="J171" s="38" t="str">
        <x:v>No add — the current catalog does not center a bright, raw, herb-forward, vegetable-forward, or light fresh profile.</x:v>
      </x:c>
      <x:c r="K171" s="38" t="str">
        <x:v>NO ADD</x:v>
      </x:c>
      <x:c r="L171" s="38" t="str">
        <x:v>No add — the current catalog does not make crisp, crunchy, breaded, or fried texture a defining part of the dish.</x:v>
      </x:c>
      <x:c r="M171" s="38" t="str">
        <x:v>KEEP</x:v>
      </x:c>
      <x:c r="N171" s="38" t="str">
        <x:v>Keep — the current catalog supports tangy through explicitly described as tangy; it is specific enough to remain a recommendation signal.</x:v>
      </x:c>
      <x:c r="O171" s="38" t="str">
        <x:v>comforting | tangy</x:v>
      </x:c>
      <x:c r="P171" s="38" t="str">
        <x:v>NO CHANGE</x:v>
      </x:c>
      <x:c r="Q171" s="38" t="str">
        <x:v>Gujarati wheat-dough pieces simmered in spiced lentil dal until tender and comforting.</x:v>
      </x:c>
    </x:row>
    <x:row r="172" ht="62" customHeight="1">
      <x:c r="A172" s="38" t="n">
        <x:v>160</x:v>
      </x:c>
      <x:c r="B172" s="38" t="str">
        <x:v>manti</x:v>
      </x:c>
      <x:c r="C172" s="38" t="str">
        <x:v>Manti</x:v>
      </x:c>
      <x:c r="D172" s="38" t="str">
        <x:v>middle-east</x:v>
      </x:c>
      <x:c r="E172" s="38" t="str">
        <x:v>noodle</x:v>
      </x:c>
      <x:c r="F172" s="38" t="str">
        <x:v>rich | tangy</x:v>
      </x:c>
      <x:c r="G172" s="38" t="str">
        <x:v>NO ADD</x:v>
      </x:c>
      <x:c r="H172" s="38" t="str">
        <x:v>No add — the current catalog does not make chile heat or hot-spice intensity a defining trait.</x:v>
      </x:c>
      <x:c r="I172" s="38" t="str">
        <x:v>NO ADD</x:v>
      </x:c>
      <x:c r="J172" s="38" t="str">
        <x:v>No add — the current catalog does not center a bright, raw, herb-forward, vegetable-forward, or light fresh profile.</x:v>
      </x:c>
      <x:c r="K172" s="38" t="str">
        <x:v>NO ADD</x:v>
      </x:c>
      <x:c r="L172" s="38" t="str">
        <x:v>No add — the current catalog does not make crisp, crunchy, breaded, or fried texture a defining part of the dish.</x:v>
      </x:c>
      <x:c r="M172" s="38" t="str">
        <x:v>KEEP</x:v>
      </x:c>
      <x:c r="N172" s="38" t="str">
        <x:v>Keep — garlic yogurt is a standard serving component in the catalog description, supporting the existing tangy tag.</x:v>
      </x:c>
      <x:c r="O172" s="38" t="str">
        <x:v>rich | tangy</x:v>
      </x:c>
      <x:c r="P172" s="38" t="str">
        <x:v>NO CHANGE</x:v>
      </x:c>
      <x:c r="Q172" s="38" t="str">
        <x:v>Turkish filled dumplings served with garlicky yogurt and spiced butter or sauce.</x:v>
      </x:c>
    </x:row>
    <x:row r="173" ht="62" customHeight="1">
      <x:c r="A173" s="38" t="n">
        <x:v>161</x:v>
      </x:c>
      <x:c r="B173" s="38" t="str">
        <x:v>adana-kebab</x:v>
      </x:c>
      <x:c r="C173" s="38" t="str">
        <x:v>Adana Kebab</x:v>
      </x:c>
      <x:c r="D173" s="38" t="str">
        <x:v>middle-east</x:v>
      </x:c>
      <x:c r="E173" s="38" t="str">
        <x:v>grilled-protein</x:v>
      </x:c>
      <x:c r="F173" s="38" t="str">
        <x:v>spicy | rich</x:v>
      </x:c>
      <x:c r="G173" s="38" t="str">
        <x:v>KEEP</x:v>
      </x:c>
      <x:c r="H173" s="38" t="str">
        <x:v>Keep — the current catalog supports spicy through chile; it is specific enough to remain a recommendation signal.</x:v>
      </x:c>
      <x:c r="I173" s="38" t="str">
        <x:v>NO ADD</x:v>
      </x:c>
      <x:c r="J173" s="38" t="str">
        <x:v>No add — the current catalog does not center a bright, raw, herb-forward, vegetable-forward, or light fresh profile.</x:v>
      </x:c>
      <x:c r="K173" s="38" t="str">
        <x:v>NO ADD</x:v>
      </x:c>
      <x:c r="L173" s="38" t="str">
        <x:v>No add — the current catalog does not make crisp, crunchy, breaded, or fried texture a defining part of the dish.</x:v>
      </x:c>
      <x:c r="M173" s="38" t="str">
        <x:v>NO ADD</x:v>
      </x:c>
      <x:c r="N173" s="38" t="str">
        <x:v>No add — the current catalog does not make sour, citrus, vinegar, pickled, yogurt-acidic, or other tangy notes a defining trait.</x:v>
      </x:c>
      <x:c r="O173" s="38" t="str">
        <x:v>spicy | rich</x:v>
      </x:c>
      <x:c r="P173" s="38" t="str">
        <x:v>NO CHANGE</x:v>
      </x:c>
      <x:c r="Q173" s="38" t="str">
        <x:v>Turkish minced-meat kebab seasoned with chile and grilled on wide metal skewers.</x:v>
      </x:c>
    </x:row>
    <x:row r="174" ht="62" customHeight="1">
      <x:c r="A174" s="38" t="n">
        <x:v>162</x:v>
      </x:c>
      <x:c r="B174" s="38" t="str">
        <x:v>freekeh-pilaf</x:v>
      </x:c>
      <x:c r="C174" s="38" t="str">
        <x:v>Freekeh Pilaf</x:v>
      </x:c>
      <x:c r="D174" s="38" t="str">
        <x:v>middle-east</x:v>
      </x:c>
      <x:c r="E174" s="38" t="str">
        <x:v>rice</x:v>
      </x:c>
      <x:c r="F174" s="38" t="str">
        <x:v>fresh | comforting</x:v>
      </x:c>
      <x:c r="G174" s="38" t="str">
        <x:v>NO ADD</x:v>
      </x:c>
      <x:c r="H174" s="38" t="str">
        <x:v>No add — the current catalog does not make chile heat or hot-spice intensity a defining trait.</x:v>
      </x:c>
      <x:c r="I174" s="38" t="str">
        <x:v>REMOVE</x:v>
      </x:c>
      <x:c r="J174" s="38" t="str">
        <x:v>Remove — the catalog describes a cooked, grilled, baked, or hearty preparation; any vegetables, herbs, or garnishes are not central enough to make fresh a defining recommendation trait.</x:v>
      </x:c>
      <x:c r="K174" s="38" t="str">
        <x:v>NO ADD</x:v>
      </x:c>
      <x:c r="L174" s="38" t="str">
        <x:v>No add — the current catalog does not make crisp, crunchy, breaded, or fried texture a defining part of the dish.</x:v>
      </x:c>
      <x:c r="M174" s="38" t="str">
        <x:v>NO ADD</x:v>
      </x:c>
      <x:c r="N174" s="38" t="str">
        <x:v>No add — the current catalog does not make sour, citrus, vinegar, pickled, yogurt-acidic, or other tangy notes a defining trait.</x:v>
      </x:c>
      <x:c r="O174" s="38" t="str">
        <x:v>comforting</x:v>
      </x:c>
      <x:c r="P174" s="38" t="str">
        <x:v>CHANGES RECOMMENDED</x:v>
      </x:c>
      <x:c r="Q174" s="38" t="str">
        <x:v>Levantine roasted green-wheat pilaf with a nutty, smoky character and savory toppings.</x:v>
      </x:c>
    </x:row>
    <x:row r="175" ht="62" customHeight="1">
      <x:c r="A175" s="38" t="n">
        <x:v>163</x:v>
      </x:c>
      <x:c r="B175" s="38" t="str">
        <x:v>sfiha</x:v>
      </x:c>
      <x:c r="C175" s="38" t="str">
        <x:v>Sfiha</x:v>
      </x:c>
      <x:c r="D175" s="38" t="str">
        <x:v>middle-east</x:v>
      </x:c>
      <x:c r="E175" s="38" t="str">
        <x:v>handheld</x:v>
      </x:c>
      <x:c r="F175" s="38" t="str">
        <x:v>crispy | fresh</x:v>
      </x:c>
      <x:c r="G175" s="38" t="str">
        <x:v>NO ADD</x:v>
      </x:c>
      <x:c r="H175" s="38" t="str">
        <x:v>No add — the current catalog does not make chile heat or hot-spice intensity a defining trait.</x:v>
      </x:c>
      <x:c r="I175" s="38" t="str">
        <x:v>REMOVE</x:v>
      </x:c>
      <x:c r="J175" s="38" t="str">
        <x:v>Remove — the catalog describes a cooked, grilled, baked, or hearty preparation; any vegetables, herbs, or garnishes are not central enough to make fresh a defining recommendation trait.</x:v>
      </x:c>
      <x:c r="K175" s="38" t="str">
        <x:v>REMOVE</x:v>
      </x:c>
      <x:c r="L175" s="38" t="str">
        <x:v>Remove — the catalog describes a baked meat flatbread but does not make crisp texture a defining trait.</x:v>
      </x:c>
      <x:c r="M175" s="38" t="str">
        <x:v>NO ADD</x:v>
      </x:c>
      <x:c r="N175" s="38" t="str">
        <x:v>No add — the current catalog does not make sour, citrus, vinegar, pickled, yogurt-acidic, or other tangy notes a defining trait.</x:v>
      </x:c>
      <x:c r="O175" s="38" t="str">
        <x:v>NEEDS RETAG</x:v>
      </x:c>
      <x:c r="P175" s="38" t="str">
        <x:v>RETAG NEEDED</x:v>
      </x:c>
      <x:c r="Q175" s="38" t="str">
        <x:v>Levantine open-faced meat flatbread baked with tomato, onion, herbs, and spices.</x:v>
      </x:c>
    </x:row>
    <x:row r="176" ht="62" customHeight="1">
      <x:c r="A176" s="38" t="n">
        <x:v>164</x:v>
      </x:c>
      <x:c r="B176" s="38" t="str">
        <x:v>baasto-iyo-suugo</x:v>
      </x:c>
      <x:c r="C176" s="38" t="str">
        <x:v>Baasto iyo Suugo</x:v>
      </x:c>
      <x:c r="D176" s="38" t="str">
        <x:v>africa</x:v>
      </x:c>
      <x:c r="E176" s="38" t="str">
        <x:v>noodle</x:v>
      </x:c>
      <x:c r="F176" s="38" t="str">
        <x:v>spicy</x:v>
      </x:c>
      <x:c r="G176" s="38" t="str">
        <x:v>REMOVE</x:v>
      </x:c>
      <x:c r="H176" s="38" t="str">
        <x:v>Remove — the catalog describes spices, seasoning, curry, or accompaniments without making chile heat a defining trait; the current spicy tag is broader than the text supports.</x:v>
      </x:c>
      <x:c r="I176" s="38" t="str">
        <x:v>NO ADD</x:v>
      </x:c>
      <x:c r="J176" s="38" t="str">
        <x:v>No add — the current catalog does not center a bright, raw, herb-forward, vegetable-forward, or light fresh profile.</x:v>
      </x:c>
      <x:c r="K176" s="38" t="str">
        <x:v>NO ADD</x:v>
      </x:c>
      <x:c r="L176" s="38" t="str">
        <x:v>No add — the current catalog does not make crisp, crunchy, breaded, or fried texture a defining part of the dish.</x:v>
      </x:c>
      <x:c r="M176" s="38" t="str">
        <x:v>NO ADD</x:v>
      </x:c>
      <x:c r="N176" s="38" t="str">
        <x:v>No add — the current catalog does not make sour, citrus, vinegar, pickled, yogurt-acidic, or other tangy notes a defining trait.</x:v>
      </x:c>
      <x:c r="O176" s="38" t="str">
        <x:v>NEEDS RETAG</x:v>
      </x:c>
      <x:c r="P176" s="38" t="str">
        <x:v>RETAG NEEDED</x:v>
      </x:c>
      <x:c r="Q176" s="38" t="str">
        <x:v>Somali pasta served with a spiced tomato meat sauce and often banana on the side.</x:v>
      </x:c>
    </x:row>
    <x:row r="177" ht="62" customHeight="1">
      <x:c r="A177" s="38" t="n">
        <x:v>165</x:v>
      </x:c>
      <x:c r="B177" s="38" t="str">
        <x:v>pastilla</x:v>
      </x:c>
      <x:c r="C177" s="38" t="str">
        <x:v>Pastilla</x:v>
      </x:c>
      <x:c r="D177" s="38" t="str">
        <x:v>africa</x:v>
      </x:c>
      <x:c r="E177" s="38" t="str">
        <x:v>handheld</x:v>
      </x:c>
      <x:c r="F177" s="38" t="str">
        <x:v>crispy | rich</x:v>
      </x:c>
      <x:c r="G177" s="38" t="str">
        <x:v>NO ADD</x:v>
      </x:c>
      <x:c r="H177" s="38" t="str">
        <x:v>No add — the current catalog does not make chile heat or hot-spice intensity a defining trait.</x:v>
      </x:c>
      <x:c r="I177" s="38" t="str">
        <x:v>NO ADD</x:v>
      </x:c>
      <x:c r="J177" s="38" t="str">
        <x:v>No add — the current catalog does not center a bright, raw, herb-forward, vegetable-forward, or light fresh profile.</x:v>
      </x:c>
      <x:c r="K177" s="38" t="str">
        <x:v>KEEP</x:v>
      </x:c>
      <x:c r="L177" s="38" t="str">
        <x:v>Keep — the current catalog supports crispy through explicit crisp texture; it is specific enough to remain a recommendation signal.</x:v>
      </x:c>
      <x:c r="M177" s="38" t="str">
        <x:v>NO ADD</x:v>
      </x:c>
      <x:c r="N177" s="38" t="str">
        <x:v>No add — the current catalog does not make sour, citrus, vinegar, pickled, yogurt-acidic, or other tangy notes a defining trait.</x:v>
      </x:c>
      <x:c r="O177" s="38" t="str">
        <x:v>crispy | rich</x:v>
      </x:c>
      <x:c r="P177" s="38" t="str">
        <x:v>NO CHANGE</x:v>
      </x:c>
      <x:c r="Q177" s="38" t="str">
        <x:v>Moroccan layered pastry filled with spiced poultry or seafood, almonds, and delicate crisp pastry.</x:v>
      </x:c>
    </x:row>
    <x:row r="178" ht="62" customHeight="1">
      <x:c r="A178" s="38" t="n">
        <x:v>166</x:v>
      </x:c>
      <x:c r="B178" s="38" t="str">
        <x:v>moi-moi</x:v>
      </x:c>
      <x:c r="C178" s="38" t="str">
        <x:v>Moi Moi</x:v>
      </x:c>
      <x:c r="D178" s="38" t="str">
        <x:v>africa</x:v>
      </x:c>
      <x:c r="E178" s="38" t="str">
        <x:v>handheld</x:v>
      </x:c>
      <x:c r="F178" s="38" t="str">
        <x:v>fresh</x:v>
      </x:c>
      <x:c r="G178" s="38" t="str">
        <x:v>NO ADD</x:v>
      </x:c>
      <x:c r="H178" s="38" t="str">
        <x:v>No add — the current catalog does not make chile heat or hot-spice intensity a defining trait.</x:v>
      </x:c>
      <x:c r="I178" s="38" t="str">
        <x:v>REMOVE</x:v>
      </x:c>
      <x:c r="J178" s="38" t="str">
        <x:v>Remove — the catalog describes a cooked, grilled, baked, or hearty preparation; any vegetables, herbs, or garnishes are not central enough to make fresh a defining recommendation trait.</x:v>
      </x:c>
      <x:c r="K178" s="38" t="str">
        <x:v>NO ADD</x:v>
      </x:c>
      <x:c r="L178" s="38" t="str">
        <x:v>No add — the current catalog does not make crisp, crunchy, breaded, or fried texture a defining part of the dish.</x:v>
      </x:c>
      <x:c r="M178" s="38" t="str">
        <x:v>NO ADD</x:v>
      </x:c>
      <x:c r="N178" s="38" t="str">
        <x:v>No add — the current catalog does not make sour, citrus, vinegar, pickled, yogurt-acidic, or other tangy notes a defining trait.</x:v>
      </x:c>
      <x:c r="O178" s="38" t="str">
        <x:v>NEEDS RETAG</x:v>
      </x:c>
      <x:c r="P178" s="38" t="str">
        <x:v>RETAG NEEDED</x:v>
      </x:c>
      <x:c r="Q178" s="38" t="str">
        <x:v>Nigerian steamed bean pudding seasoned with peppers, onions, and savory aromatics.</x:v>
      </x:c>
    </x:row>
    <x:row r="179" ht="62" customHeight="1">
      <x:c r="A179" s="38" t="n">
        <x:v>167</x:v>
      </x:c>
      <x:c r="B179" s="38" t="str">
        <x:v>attieke-fish</x:v>
      </x:c>
      <x:c r="C179" s="38" t="str">
        <x:v>Attiéké with Grilled Fish</x:v>
      </x:c>
      <x:c r="D179" s="38" t="str">
        <x:v>africa</x:v>
      </x:c>
      <x:c r="E179" s="38" t="str">
        <x:v>rice</x:v>
      </x:c>
      <x:c r="F179" s="38" t="str">
        <x:v>fresh | tangy</x:v>
      </x:c>
      <x:c r="G179" s="38" t="str">
        <x:v>NO ADD</x:v>
      </x:c>
      <x:c r="H179" s="38" t="str">
        <x:v>No add — the current catalog does not make chile heat or hot-spice intensity a defining trait.</x:v>
      </x:c>
      <x:c r="I179" s="38" t="str">
        <x:v>KEEP</x:v>
      </x:c>
      <x:c r="J179" s="38" t="str">
        <x:v>Keep — the current catalog framing supports fresh as a meaningful part of the dish, and there is no stronger reason to remove the existing tag.</x:v>
      </x:c>
      <x:c r="K179" s="38" t="str">
        <x:v>NO ADD</x:v>
      </x:c>
      <x:c r="L179" s="38" t="str">
        <x:v>No add — the current catalog does not make crisp, crunchy, breaded, or fried texture a defining part of the dish.</x:v>
      </x:c>
      <x:c r="M179" s="38" t="str">
        <x:v>KEEP</x:v>
      </x:c>
      <x:c r="N179" s="38" t="str">
        <x:v>Keep — the catalog describes fresh acidic garnishes alongside the fish and attiéké, supporting the existing tangy signal.</x:v>
      </x:c>
      <x:c r="O179" s="38" t="str">
        <x:v>fresh | tangy</x:v>
      </x:c>
      <x:c r="P179" s="38" t="str">
        <x:v>NO CHANGE</x:v>
      </x:c>
      <x:c r="Q179" s="38" t="str">
        <x:v>Ivorian fermented cassava couscous served with grilled fish, onions, tomato, and fresh chile.</x:v>
      </x:c>
    </x:row>
    <x:row r="180" ht="62" customHeight="1">
      <x:c r="A180" s="38" t="n">
        <x:v>168</x:v>
      </x:c>
      <x:c r="B180" s="38" t="str">
        <x:v>arroz-de-marisco</x:v>
      </x:c>
      <x:c r="C180" s="38" t="str">
        <x:v>Arroz de Marisco</x:v>
      </x:c>
      <x:c r="D180" s="38" t="str">
        <x:v>europe</x:v>
      </x:c>
      <x:c r="E180" s="38" t="str">
        <x:v>rice</x:v>
      </x:c>
      <x:c r="F180" s="38" t="str">
        <x:v>fresh</x:v>
      </x:c>
      <x:c r="G180" s="38" t="str">
        <x:v>NO ADD</x:v>
      </x:c>
      <x:c r="H180" s="38" t="str">
        <x:v>No add — the current catalog does not make chile heat or hot-spice intensity a defining trait.</x:v>
      </x:c>
      <x:c r="I180" s="38" t="str">
        <x:v>REMOVE</x:v>
      </x:c>
      <x:c r="J180" s="38" t="str">
        <x:v>Remove — the catalog describes a cooked, grilled, baked, or hearty preparation; any vegetables, herbs, or garnishes are not central enough to make fresh a defining recommendation trait.</x:v>
      </x:c>
      <x:c r="K180" s="38" t="str">
        <x:v>NO ADD</x:v>
      </x:c>
      <x:c r="L180" s="38" t="str">
        <x:v>No add — the current catalog does not make crisp, crunchy, breaded, or fried texture a defining part of the dish.</x:v>
      </x:c>
      <x:c r="M180" s="38" t="str">
        <x:v>NO ADD</x:v>
      </x:c>
      <x:c r="N180" s="38" t="str">
        <x:v>No add — the current catalog does not make sour, citrus, vinegar, pickled, yogurt-acidic, or other tangy notes a defining trait.</x:v>
      </x:c>
      <x:c r="O180" s="38" t="str">
        <x:v>NEEDS RETAG</x:v>
      </x:c>
      <x:c r="P180" s="38" t="str">
        <x:v>RETAG NEEDED</x:v>
      </x:c>
      <x:c r="Q180" s="38" t="str">
        <x:v>Portuguese seafood rice cooked in a tomato-rich broth with shellfish, fish, and herbs.</x:v>
      </x:c>
    </x:row>
    <x:row r="181" ht="62" customHeight="1">
      <x:c r="A181" s="38" t="n">
        <x:v>169</x:v>
      </x:c>
      <x:c r="B181" s="38" t="str">
        <x:v>arroz-negro</x:v>
      </x:c>
      <x:c r="C181" s="38" t="str">
        <x:v>Arroz Negro</x:v>
      </x:c>
      <x:c r="D181" s="38" t="str">
        <x:v>europe</x:v>
      </x:c>
      <x:c r="E181" s="38" t="str">
        <x:v>rice</x:v>
      </x:c>
      <x:c r="F181" s="38" t="str">
        <x:v>fresh</x:v>
      </x:c>
      <x:c r="G181" s="38" t="str">
        <x:v>NO ADD</x:v>
      </x:c>
      <x:c r="H181" s="38" t="str">
        <x:v>No add — the current catalog does not make chile heat or hot-spice intensity a defining trait.</x:v>
      </x:c>
      <x:c r="I181" s="38" t="str">
        <x:v>REMOVE</x:v>
      </x:c>
      <x:c r="J181" s="38" t="str">
        <x:v>Remove — the catalog describes a cooked, grilled, baked, or hearty preparation; any vegetables, herbs, or garnishes are not central enough to make fresh a defining recommendation trait.</x:v>
      </x:c>
      <x:c r="K181" s="38" t="str">
        <x:v>NO ADD</x:v>
      </x:c>
      <x:c r="L181" s="38" t="str">
        <x:v>No add — the current catalog does not make crisp, crunchy, breaded, or fried texture a defining part of the dish.</x:v>
      </x:c>
      <x:c r="M181" s="38" t="str">
        <x:v>NO ADD</x:v>
      </x:c>
      <x:c r="N181" s="38" t="str">
        <x:v>No add — the current catalog does not make sour, citrus, vinegar, pickled, yogurt-acidic, or other tangy notes a defining trait.</x:v>
      </x:c>
      <x:c r="O181" s="38" t="str">
        <x:v>NEEDS RETAG</x:v>
      </x:c>
      <x:c r="P181" s="38" t="str">
        <x:v>RETAG NEEDED</x:v>
      </x:c>
      <x:c r="Q181" s="38" t="str">
        <x:v>Spanish black rice colored with squid ink and cooked with seafood in a wide pan.</x:v>
      </x:c>
    </x:row>
    <x:row r="182" ht="62" customHeight="1">
      <x:c r="A182" s="38" t="n">
        <x:v>170</x:v>
      </x:c>
      <x:c r="B182" s="38" t="str">
        <x:v>cevapi</x:v>
      </x:c>
      <x:c r="C182" s="38" t="str">
        <x:v>Ćevapi</x:v>
      </x:c>
      <x:c r="D182" s="38" t="str">
        <x:v>europe</x:v>
      </x:c>
      <x:c r="E182" s="38" t="str">
        <x:v>grilled-protein</x:v>
      </x:c>
      <x:c r="F182" s="38" t="str">
        <x:v>rich | fresh</x:v>
      </x:c>
      <x:c r="G182" s="38" t="str">
        <x:v>NO ADD</x:v>
      </x:c>
      <x:c r="H182" s="38" t="str">
        <x:v>No add — the current catalog does not make chile heat or hot-spice intensity a defining trait.</x:v>
      </x:c>
      <x:c r="I182" s="38" t="str">
        <x:v>KEEP</x:v>
      </x:c>
      <x:c r="J182" s="38" t="str">
        <x:v>Keep — the current catalog framing supports fresh as a meaningful part of the dish, and there is no stronger reason to remove the existing tag.</x:v>
      </x:c>
      <x:c r="K182" s="38" t="str">
        <x:v>NO ADD</x:v>
      </x:c>
      <x:c r="L182" s="38" t="str">
        <x:v>No add — the current catalog does not make crisp, crunchy, breaded, or fried texture a defining part of the dish.</x:v>
      </x:c>
      <x:c r="M182" s="38" t="str">
        <x:v>NO ADD</x:v>
      </x:c>
      <x:c r="N182" s="38" t="str">
        <x:v>No add — the current catalog does not make sour, citrus, vinegar, pickled, yogurt-acidic, or other tangy notes a defining trait.</x:v>
      </x:c>
      <x:c r="O182" s="38" t="str">
        <x:v>rich | fresh</x:v>
      </x:c>
      <x:c r="P182" s="38" t="str">
        <x:v>NO CHANGE</x:v>
      </x:c>
      <x:c r="Q182" s="38" t="str">
        <x:v>Balkan grilled minced-meat sausages served with flatbread, onions, and fresh accompaniments.</x:v>
      </x:c>
    </x:row>
    <x:row r="183" ht="62" customHeight="1">
      <x:c r="A183" s="38" t="n">
        <x:v>171</x:v>
      </x:c>
      <x:c r="B183" s="38" t="str">
        <x:v>arroz-con-gandules</x:v>
      </x:c>
      <x:c r="C183" s="38" t="str">
        <x:v>Arroz con Gandules</x:v>
      </x:c>
      <x:c r="D183" s="38" t="str">
        <x:v>latin-america</x:v>
      </x:c>
      <x:c r="E183" s="38" t="str">
        <x:v>rice</x:v>
      </x:c>
      <x:c r="F183" s="38" t="str">
        <x:v>comforting | rich</x:v>
      </x:c>
      <x:c r="G183" s="38" t="str">
        <x:v>NO ADD</x:v>
      </x:c>
      <x:c r="H183" s="38" t="str">
        <x:v>No add — the current catalog does not make chile heat or hot-spice intensity a defining trait.</x:v>
      </x:c>
      <x:c r="I183" s="38" t="str">
        <x:v>NO ADD</x:v>
      </x:c>
      <x:c r="J183" s="38" t="str">
        <x:v>No add — the current catalog does not center a bright, raw, herb-forward, vegetable-forward, or light fresh profile.</x:v>
      </x:c>
      <x:c r="K183" s="38" t="str">
        <x:v>NO ADD</x:v>
      </x:c>
      <x:c r="L183" s="38" t="str">
        <x:v>No add — the current catalog does not make crisp, crunchy, breaded, or fried texture a defining part of the dish.</x:v>
      </x:c>
      <x:c r="M183" s="38" t="str">
        <x:v>NO ADD</x:v>
      </x:c>
      <x:c r="N183" s="38" t="str">
        <x:v>No add — the current catalog does not make sour, citrus, vinegar, pickled, yogurt-acidic, or other tangy notes a defining trait.</x:v>
      </x:c>
      <x:c r="O183" s="38" t="str">
        <x:v>comforting | rich</x:v>
      </x:c>
      <x:c r="P183" s="38" t="str">
        <x:v>NO CHANGE</x:v>
      </x:c>
      <x:c r="Q183" s="38" t="str">
        <x:v>Puerto Rican rice with pigeon peas, sofrito, seasonings, and savory additions.</x:v>
      </x:c>
    </x:row>
    <x:row r="184" ht="62" customHeight="1">
      <x:c r="A184" s="38" t="n">
        <x:v>172</x:v>
      </x:c>
      <x:c r="B184" s="38" t="str">
        <x:v>chivito</x:v>
      </x:c>
      <x:c r="C184" s="38" t="str">
        <x:v>Chivito</x:v>
      </x:c>
      <x:c r="D184" s="38" t="str">
        <x:v>latin-america</x:v>
      </x:c>
      <x:c r="E184" s="38" t="str">
        <x:v>handheld</x:v>
      </x:c>
      <x:c r="F184" s="38" t="str">
        <x:v>rich | fresh</x:v>
      </x:c>
      <x:c r="G184" s="38" t="str">
        <x:v>NO ADD</x:v>
      </x:c>
      <x:c r="H184" s="38" t="str">
        <x:v>No add — the current catalog does not make chile heat or hot-spice intensity a defining trait.</x:v>
      </x:c>
      <x:c r="I184" s="38" t="str">
        <x:v>REMOVE</x:v>
      </x:c>
      <x:c r="J184" s="38" t="str">
        <x:v>Remove — the catalog describes a cooked, grilled, baked, or hearty preparation; any vegetables, herbs, or garnishes are not central enough to make fresh a defining recommendation trait.</x:v>
      </x:c>
      <x:c r="K184" s="38" t="str">
        <x:v>NO ADD</x:v>
      </x:c>
      <x:c r="L184" s="38" t="str">
        <x:v>No add — the current catalog does not make crisp, crunchy, breaded, or fried texture a defining part of the dish.</x:v>
      </x:c>
      <x:c r="M184" s="38" t="str">
        <x:v>NO ADD</x:v>
      </x:c>
      <x:c r="N184" s="38" t="str">
        <x:v>No add — the current catalog does not make sour, citrus, vinegar, pickled, yogurt-acidic, or other tangy notes a defining trait.</x:v>
      </x:c>
      <x:c r="O184" s="38" t="str">
        <x:v>rich</x:v>
      </x:c>
      <x:c r="P184" s="38" t="str">
        <x:v>CHANGES RECOMMENDED</x:v>
      </x:c>
      <x:c r="Q184" s="38" t="str">
        <x:v>Uruguayan steak sandwich stacked with ham, cheese, vegetables, egg, and sauces.</x:v>
      </x:c>
    </x:row>
    <x:row r="185" ht="62" customHeight="1">
      <x:c r="A185" s="38" t="n">
        <x:v>173</x:v>
      </x:c>
      <x:c r="B185" s="38" t="str">
        <x:v>jerk-chicken</x:v>
      </x:c>
      <x:c r="C185" s="38" t="str">
        <x:v>Jerk Chicken</x:v>
      </x:c>
      <x:c r="D185" s="38" t="str">
        <x:v>latin-america</x:v>
      </x:c>
      <x:c r="E185" s="38" t="str">
        <x:v>grilled-protein</x:v>
      </x:c>
      <x:c r="F185" s="38" t="str">
        <x:v>spicy | fresh</x:v>
      </x:c>
      <x:c r="G185" s="38" t="str">
        <x:v>KEEP</x:v>
      </x:c>
      <x:c r="H185" s="38" t="str">
        <x:v>Keep — the current catalog supports spicy through Scotch bonnet chile; it is specific enough to remain a recommendation signal.</x:v>
      </x:c>
      <x:c r="I185" s="38" t="str">
        <x:v>REMOVE</x:v>
      </x:c>
      <x:c r="J185" s="38" t="str">
        <x:v>Remove — the catalog describes a cooked, grilled, baked, or hearty preparation; any vegetables, herbs, or garnishes are not central enough to make fresh a defining recommendation trait.</x:v>
      </x:c>
      <x:c r="K185" s="38" t="str">
        <x:v>NO ADD</x:v>
      </x:c>
      <x:c r="L185" s="38" t="str">
        <x:v>No add — the current catalog does not make crisp, crunchy, breaded, or fried texture a defining part of the dish.</x:v>
      </x:c>
      <x:c r="M185" s="38" t="str">
        <x:v>NO ADD</x:v>
      </x:c>
      <x:c r="N185" s="38" t="str">
        <x:v>No add — the current catalog does not make sour, citrus, vinegar, pickled, yogurt-acidic, or other tangy notes a defining trait.</x:v>
      </x:c>
      <x:c r="O185" s="38" t="str">
        <x:v>spicy</x:v>
      </x:c>
      <x:c r="P185" s="38" t="str">
        <x:v>CHANGES RECOMMENDED</x:v>
      </x:c>
      <x:c r="Q185" s="38" t="str">
        <x:v>Jamaican chicken marinated with allspice, chile, herbs, and aromatics, then grilled or smoked.</x:v>
      </x:c>
    </x:row>
    <x:row r="186" ht="62" customHeight="1">
      <x:c r="A186" s="38" t="n">
        <x:v>174</x:v>
      </x:c>
      <x:c r="B186" s="38" t="str">
        <x:v>montreal-smoked-meat-sandwich</x:v>
      </x:c>
      <x:c r="C186" s="38" t="str">
        <x:v>Montreal Smoked Meat Sandwich</x:v>
      </x:c>
      <x:c r="D186" s="38" t="str">
        <x:v>north-america</x:v>
      </x:c>
      <x:c r="E186" s="38" t="str">
        <x:v>handheld</x:v>
      </x:c>
      <x:c r="F186" s="38" t="str">
        <x:v>rich | tangy</x:v>
      </x:c>
      <x:c r="G186" s="38" t="str">
        <x:v>NO ADD</x:v>
      </x:c>
      <x:c r="H186" s="38" t="str">
        <x:v>No add — the current catalog does not make chile heat or hot-spice intensity a defining trait.</x:v>
      </x:c>
      <x:c r="I186" s="38" t="str">
        <x:v>NO ADD</x:v>
      </x:c>
      <x:c r="J186" s="38" t="str">
        <x:v>No add — the current catalog does not center a bright, raw, herb-forward, vegetable-forward, or light fresh profile.</x:v>
      </x:c>
      <x:c r="K186" s="38" t="str">
        <x:v>NO ADD</x:v>
      </x:c>
      <x:c r="L186" s="38" t="str">
        <x:v>No add — the current catalog does not make crisp, crunchy, breaded, or fried texture a defining part of the dish.</x:v>
      </x:c>
      <x:c r="M186" s="38" t="str">
        <x:v>REMOVE</x:v>
      </x:c>
      <x:c r="N186" s="38" t="str">
        <x:v>Remove — acidity is absent, optional, or limited to an accompaniment in the catalog description; tangy is too broad for this row.</x:v>
      </x:c>
      <x:c r="O186" s="38" t="str">
        <x:v>rich</x:v>
      </x:c>
      <x:c r="P186" s="38" t="str">
        <x:v>CHANGES RECOMMENDED</x:v>
      </x:c>
      <x:c r="Q186" s="38" t="str">
        <x:v>Montreal deli sandwich piled with cured smoked beef, mustard, and rye bread.</x:v>
      </x:c>
    </x:row>
    <x:row r="187" ht="62" customHeight="1">
      <x:c r="A187" s="38" t="n">
        <x:v>175</x:v>
      </x:c>
      <x:c r="B187" s="38" t="str">
        <x:v>chicken-and-waffles</x:v>
      </x:c>
      <x:c r="C187" s="38" t="str">
        <x:v>Chicken and Waffles</x:v>
      </x:c>
      <x:c r="D187" s="38" t="str">
        <x:v>north-america</x:v>
      </x:c>
      <x:c r="E187" s="38" t="str">
        <x:v>grilled-protein</x:v>
      </x:c>
      <x:c r="F187" s="38" t="str">
        <x:v>crispy | rich</x:v>
      </x:c>
      <x:c r="G187" s="38" t="str">
        <x:v>NO ADD</x:v>
      </x:c>
      <x:c r="H187" s="38" t="str">
        <x:v>No add — the current catalog does not make chile heat or hot-spice intensity a defining trait.</x:v>
      </x:c>
      <x:c r="I187" s="38" t="str">
        <x:v>NO ADD</x:v>
      </x:c>
      <x:c r="J187" s="38" t="str">
        <x:v>No add — the current catalog does not center a bright, raw, herb-forward, vegetable-forward, or light fresh profile.</x:v>
      </x:c>
      <x:c r="K187" s="38" t="str">
        <x:v>KEEP</x:v>
      </x:c>
      <x:c r="L187" s="38" t="str">
        <x:v>Keep — the current catalog supports crispy through explicit crisp texture; it is specific enough to remain a recommendation signal.</x:v>
      </x:c>
      <x:c r="M187" s="38" t="str">
        <x:v>NO ADD</x:v>
      </x:c>
      <x:c r="N187" s="38" t="str">
        <x:v>No add — the current catalog does not make sour, citrus, vinegar, pickled, yogurt-acidic, or other tangy notes a defining trait.</x:v>
      </x:c>
      <x:c r="O187" s="38" t="str">
        <x:v>crispy | rich</x:v>
      </x:c>
      <x:c r="P187" s="38" t="str">
        <x:v>NO CHANGE</x:v>
      </x:c>
      <x:c r="Q187" s="38" t="str">
        <x:v>American fried chicken paired with waffles for a crisp, savory, lightly sweet meal.</x:v>
      </x:c>
    </x:row>
    <x:row r="188" ht="62" customHeight="1">
      <x:c r="A188" s="38" t="n">
        <x:v>176</x:v>
      </x:c>
      <x:c r="B188" s="38" t="str">
        <x:v>katsudon</x:v>
      </x:c>
      <x:c r="C188" s="38" t="str">
        <x:v>Katsudon</x:v>
      </x:c>
      <x:c r="D188" s="38" t="str">
        <x:v>east-asia</x:v>
      </x:c>
      <x:c r="E188" s="38" t="str">
        <x:v>rice</x:v>
      </x:c>
      <x:c r="F188" s="38" t="str">
        <x:v>comforting | crispy</x:v>
      </x:c>
      <x:c r="G188" s="38" t="str">
        <x:v>NO ADD</x:v>
      </x:c>
      <x:c r="H188" s="38" t="str">
        <x:v>No add — the current catalog does not make chile heat or hot-spice intensity a defining trait.</x:v>
      </x:c>
      <x:c r="I188" s="38" t="str">
        <x:v>NO ADD</x:v>
      </x:c>
      <x:c r="J188" s="38" t="str">
        <x:v>No add — the current catalog does not center a bright, raw, herb-forward, vegetable-forward, or light fresh profile.</x:v>
      </x:c>
      <x:c r="K188" s="38" t="str">
        <x:v>KEEP</x:v>
      </x:c>
      <x:c r="L188" s="38" t="str">
        <x:v>Keep — the current catalog supports crispy through explicit crisp texture; it is specific enough to remain a recommendation signal.</x:v>
      </x:c>
      <x:c r="M188" s="38" t="str">
        <x:v>NO ADD</x:v>
      </x:c>
      <x:c r="N188" s="38" t="str">
        <x:v>No add — the current catalog does not make sour, citrus, vinegar, pickled, yogurt-acidic, or other tangy notes a defining trait.</x:v>
      </x:c>
      <x:c r="O188" s="38" t="str">
        <x:v>comforting | crispy</x:v>
      </x:c>
      <x:c r="P188" s="38" t="str">
        <x:v>NO CHANGE</x:v>
      </x:c>
      <x:c r="Q188" s="38" t="str">
        <x:v>Japanese rice bowl topped with a crisp pork cutlet, egg, onion, and sweet-savory sauce.</x:v>
      </x:c>
    </x:row>
    <x:row r="189" ht="62" customHeight="1">
      <x:c r="A189" s="38" t="n">
        <x:v>177</x:v>
      </x:c>
      <x:c r="B189" s="38" t="str">
        <x:v>jjajangmyeon</x:v>
      </x:c>
      <x:c r="C189" s="38" t="str">
        <x:v>Jjajangmyeon</x:v>
      </x:c>
      <x:c r="D189" s="38" t="str">
        <x:v>east-asia</x:v>
      </x:c>
      <x:c r="E189" s="38" t="str">
        <x:v>noodle</x:v>
      </x:c>
      <x:c r="F189" s="38" t="str">
        <x:v>rich | comforting</x:v>
      </x:c>
      <x:c r="G189" s="38" t="str">
        <x:v>NO ADD</x:v>
      </x:c>
      <x:c r="H189" s="38" t="str">
        <x:v>No add — the current catalog does not make chile heat or hot-spice intensity a defining trait.</x:v>
      </x:c>
      <x:c r="I189" s="38" t="str">
        <x:v>NO ADD</x:v>
      </x:c>
      <x:c r="J189" s="38" t="str">
        <x:v>No add — the current catalog does not center a bright, raw, herb-forward, vegetable-forward, or light fresh profile.</x:v>
      </x:c>
      <x:c r="K189" s="38" t="str">
        <x:v>NO ADD</x:v>
      </x:c>
      <x:c r="L189" s="38" t="str">
        <x:v>No add — the current catalog does not make crisp, crunchy, breaded, or fried texture a defining part of the dish.</x:v>
      </x:c>
      <x:c r="M189" s="38" t="str">
        <x:v>NO ADD</x:v>
      </x:c>
      <x:c r="N189" s="38" t="str">
        <x:v>No add — the current catalog does not make sour, citrus, vinegar, pickled, yogurt-acidic, or other tangy notes a defining trait.</x:v>
      </x:c>
      <x:c r="O189" s="38" t="str">
        <x:v>rich | comforting</x:v>
      </x:c>
      <x:c r="P189" s="38" t="str">
        <x:v>NO CHANGE</x:v>
      </x:c>
      <x:c r="Q189" s="38" t="str">
        <x:v>Korean wheat noodles coated in a thick black-bean sauce with pork and vegetables.</x:v>
      </x:c>
    </x:row>
    <x:row r="190" ht="62" customHeight="1">
      <x:c r="A190" s="38" t="n">
        <x:v>178</x:v>
      </x:c>
      <x:c r="B190" s="38" t="str">
        <x:v>wonton-soup</x:v>
      </x:c>
      <x:c r="C190" s="38" t="str">
        <x:v>Wonton Soup</x:v>
      </x:c>
      <x:c r="D190" s="38" t="str">
        <x:v>east-asia</x:v>
      </x:c>
      <x:c r="E190" s="38" t="str">
        <x:v>soup-broth</x:v>
      </x:c>
      <x:c r="F190" s="38" t="str">
        <x:v>comforting | fresh</x:v>
      </x:c>
      <x:c r="G190" s="38" t="str">
        <x:v>NO ADD</x:v>
      </x:c>
      <x:c r="H190" s="38" t="str">
        <x:v>No add — the current catalog does not make chile heat or hot-spice intensity a defining trait.</x:v>
      </x:c>
      <x:c r="I190" s="38" t="str">
        <x:v>KEEP</x:v>
      </x:c>
      <x:c r="J190" s="38" t="str">
        <x:v>Keep — the current catalog supports fresh through greens; it is specific enough to remain a recommendation signal.</x:v>
      </x:c>
      <x:c r="K190" s="38" t="str">
        <x:v>NO ADD</x:v>
      </x:c>
      <x:c r="L190" s="38" t="str">
        <x:v>No add — the current catalog does not make crisp, crunchy, breaded, or fried texture a defining part of the dish.</x:v>
      </x:c>
      <x:c r="M190" s="38" t="str">
        <x:v>NO ADD</x:v>
      </x:c>
      <x:c r="N190" s="38" t="str">
        <x:v>No add — the current catalog does not make sour, citrus, vinegar, pickled, yogurt-acidic, or other tangy notes a defining trait.</x:v>
      </x:c>
      <x:c r="O190" s="38" t="str">
        <x:v>comforting | fresh</x:v>
      </x:c>
      <x:c r="P190" s="38" t="str">
        <x:v>NO CHANGE</x:v>
      </x:c>
      <x:c r="Q190" s="38" t="str">
        <x:v>Chinese broth with delicate filled wontons, greens, scallions, and optional noodles.</x:v>
      </x:c>
    </x:row>
    <x:row r="191" ht="62" customHeight="1">
      <x:c r="A191" s="38" t="n">
        <x:v>179</x:v>
      </x:c>
      <x:c r="B191" s="38" t="str">
        <x:v>lemon-rice</x:v>
      </x:c>
      <x:c r="C191" s="38" t="str">
        <x:v>Lemon Rice</x:v>
      </x:c>
      <x:c r="D191" s="38" t="str">
        <x:v>south-asia</x:v>
      </x:c>
      <x:c r="E191" s="38" t="str">
        <x:v>rice</x:v>
      </x:c>
      <x:c r="F191" s="38" t="str">
        <x:v>fresh | tangy</x:v>
      </x:c>
      <x:c r="G191" s="38" t="str">
        <x:v>NO ADD</x:v>
      </x:c>
      <x:c r="H191" s="38" t="str">
        <x:v>No add — the current catalog does not make chile heat or hot-spice intensity a defining trait.</x:v>
      </x:c>
      <x:c r="I191" s="38" t="str">
        <x:v>KEEP</x:v>
      </x:c>
      <x:c r="J191" s="38" t="str">
        <x:v>Keep — the current catalog framing supports fresh as a meaningful part of the dish, and there is no stronger reason to remove the existing tag.</x:v>
      </x:c>
      <x:c r="K191" s="38" t="str">
        <x:v>NO ADD</x:v>
      </x:c>
      <x:c r="L191" s="38" t="str">
        <x:v>No add — the current catalog does not make crisp, crunchy, breaded, or fried texture a defining part of the dish.</x:v>
      </x:c>
      <x:c r="M191" s="38" t="str">
        <x:v>KEEP</x:v>
      </x:c>
      <x:c r="N191" s="38" t="str">
        <x:v>Keep — the current catalog supports tangy through lemon; it is specific enough to remain a recommendation signal.</x:v>
      </x:c>
      <x:c r="O191" s="38" t="str">
        <x:v>fresh | tangy</x:v>
      </x:c>
      <x:c r="P191" s="38" t="str">
        <x:v>NO CHANGE</x:v>
      </x:c>
      <x:c r="Q191" s="38" t="str">
        <x:v>South Indian rice brightened with lemon, tempered spices, curry leaves, and crunchy garnishes.</x:v>
      </x:c>
    </x:row>
    <x:row r="192" ht="62" customHeight="1">
      <x:c r="A192" s="38" t="n">
        <x:v>180</x:v>
      </x:c>
      <x:c r="B192" s="38" t="str">
        <x:v>paya</x:v>
      </x:c>
      <x:c r="C192" s="38" t="str">
        <x:v>Paya</x:v>
      </x:c>
      <x:c r="D192" s="38" t="str">
        <x:v>south-asia</x:v>
      </x:c>
      <x:c r="E192" s="38" t="str">
        <x:v>soup-broth</x:v>
      </x:c>
      <x:c r="F192" s="38" t="str">
        <x:v>rich | comforting</x:v>
      </x:c>
      <x:c r="G192" s="38" t="str">
        <x:v>NO ADD</x:v>
      </x:c>
      <x:c r="H192" s="38" t="str">
        <x:v>No add — the current catalog does not make chile heat or hot-spice intensity a defining trait.</x:v>
      </x:c>
      <x:c r="I192" s="38" t="str">
        <x:v>NO ADD</x:v>
      </x:c>
      <x:c r="J192" s="38" t="str">
        <x:v>No add — the current catalog does not center a bright, raw, herb-forward, vegetable-forward, or light fresh profile.</x:v>
      </x:c>
      <x:c r="K192" s="38" t="str">
        <x:v>NO ADD</x:v>
      </x:c>
      <x:c r="L192" s="38" t="str">
        <x:v>No add — the current catalog does not make crisp, crunchy, breaded, or fried texture a defining part of the dish.</x:v>
      </x:c>
      <x:c r="M192" s="38" t="str">
        <x:v>NO ADD</x:v>
      </x:c>
      <x:c r="N192" s="38" t="str">
        <x:v>No add — the current catalog does not make sour, citrus, vinegar, pickled, yogurt-acidic, or other tangy notes a defining trait.</x:v>
      </x:c>
      <x:c r="O192" s="38" t="str">
        <x:v>rich | comforting</x:v>
      </x:c>
      <x:c r="P192" s="38" t="str">
        <x:v>NO CHANGE</x:v>
      </x:c>
      <x:c r="Q192" s="38" t="str">
        <x:v>South Asian slow-cooked trotter stew with warming spices and a deeply gelatinous broth.</x:v>
      </x:c>
    </x:row>
    <x:row r="193" ht="62" customHeight="1">
      <x:c r="A193" s="38" t="n">
        <x:v>181</x:v>
      </x:c>
      <x:c r="B193" s="38" t="str">
        <x:v>chicken-chettinad</x:v>
      </x:c>
      <x:c r="C193" s="38" t="str">
        <x:v>Chicken Chettinad</x:v>
      </x:c>
      <x:c r="D193" s="38" t="str">
        <x:v>south-asia</x:v>
      </x:c>
      <x:c r="E193" s="38" t="str">
        <x:v>grilled-protein</x:v>
      </x:c>
      <x:c r="F193" s="38" t="str">
        <x:v>spicy</x:v>
      </x:c>
      <x:c r="G193" s="38" t="str">
        <x:v>KEEP</x:v>
      </x:c>
      <x:c r="H193" s="38" t="str">
        <x:v>Keep — the current catalog supports spicy through chile; it is specific enough to remain a recommendation signal.</x:v>
      </x:c>
      <x:c r="I193" s="38" t="str">
        <x:v>NO ADD</x:v>
      </x:c>
      <x:c r="J193" s="38" t="str">
        <x:v>No add — the current catalog does not center a bright, raw, herb-forward, vegetable-forward, or light fresh profile.</x:v>
      </x:c>
      <x:c r="K193" s="38" t="str">
        <x:v>NO ADD</x:v>
      </x:c>
      <x:c r="L193" s="38" t="str">
        <x:v>No add — the current catalog does not make crisp, crunchy, breaded, or fried texture a defining part of the dish.</x:v>
      </x:c>
      <x:c r="M193" s="38" t="str">
        <x:v>NO ADD</x:v>
      </x:c>
      <x:c r="N193" s="38" t="str">
        <x:v>No add — the current catalog does not make sour, citrus, vinegar, pickled, yogurt-acidic, or other tangy notes a defining trait.</x:v>
      </x:c>
      <x:c r="O193" s="38" t="str">
        <x:v>spicy</x:v>
      </x:c>
      <x:c r="P193" s="38" t="str">
        <x:v>NO CHANGE</x:v>
      </x:c>
      <x:c r="Q193" s="38" t="str">
        <x:v>Tamil chicken cooked with a bold Chettinad spice blend, aromatics, and roasted seasonings.</x:v>
      </x:c>
    </x:row>
    <x:row r="194" ht="62" customHeight="1">
      <x:c r="A194" s="38" t="n">
        <x:v>182</x:v>
      </x:c>
      <x:c r="B194" s="38" t="str">
        <x:v>mandi</x:v>
      </x:c>
      <x:c r="C194" s="38" t="str">
        <x:v>Mandi</x:v>
      </x:c>
      <x:c r="D194" s="38" t="str">
        <x:v>middle-east</x:v>
      </x:c>
      <x:c r="E194" s="38" t="str">
        <x:v>rice</x:v>
      </x:c>
      <x:c r="F194" s="38" t="str">
        <x:v>comforting</x:v>
      </x:c>
      <x:c r="G194" s="38" t="str">
        <x:v>NO ADD</x:v>
      </x:c>
      <x:c r="H194" s="38" t="str">
        <x:v>No add — the current catalog does not make chile heat or hot-spice intensity a defining trait.</x:v>
      </x:c>
      <x:c r="I194" s="38" t="str">
        <x:v>NO ADD</x:v>
      </x:c>
      <x:c r="J194" s="38" t="str">
        <x:v>No add — the current catalog does not center a bright, raw, herb-forward, vegetable-forward, or light fresh profile.</x:v>
      </x:c>
      <x:c r="K194" s="38" t="str">
        <x:v>NO ADD</x:v>
      </x:c>
      <x:c r="L194" s="38" t="str">
        <x:v>No add — the current catalog does not make crisp, crunchy, breaded, or fried texture a defining part of the dish.</x:v>
      </x:c>
      <x:c r="M194" s="38" t="str">
        <x:v>NO ADD</x:v>
      </x:c>
      <x:c r="N194" s="38" t="str">
        <x:v>No add — the current catalog does not make sour, citrus, vinegar, pickled, yogurt-acidic, or other tangy notes a defining trait.</x:v>
      </x:c>
      <x:c r="O194" s="38" t="str">
        <x:v>comforting</x:v>
      </x:c>
      <x:c r="P194" s="38" t="str">
        <x:v>NO CHANGE</x:v>
      </x:c>
      <x:c r="Q194" s="38" t="str">
        <x:v>Yemeni spiced rice topped with slow-cooked meat and a distinctive smoky aroma.</x:v>
      </x:c>
    </x:row>
    <x:row r="195" ht="62" customHeight="1">
      <x:c r="A195" s="38" t="n">
        <x:v>183</x:v>
      </x:c>
      <x:c r="B195" s="38" t="str">
        <x:v>shish-barak</x:v>
      </x:c>
      <x:c r="C195" s="38" t="str">
        <x:v>Shish Barak</x:v>
      </x:c>
      <x:c r="D195" s="38" t="str">
        <x:v>middle-east</x:v>
      </x:c>
      <x:c r="E195" s="38" t="str">
        <x:v>soup-broth</x:v>
      </x:c>
      <x:c r="F195" s="38" t="str">
        <x:v>rich | tangy</x:v>
      </x:c>
      <x:c r="G195" s="38" t="str">
        <x:v>NO ADD</x:v>
      </x:c>
      <x:c r="H195" s="38" t="str">
        <x:v>No add — the current catalog does not make chile heat or hot-spice intensity a defining trait.</x:v>
      </x:c>
      <x:c r="I195" s="38" t="str">
        <x:v>NO ADD</x:v>
      </x:c>
      <x:c r="J195" s="38" t="str">
        <x:v>No add — the current catalog does not center a bright, raw, herb-forward, vegetable-forward, or light fresh profile.</x:v>
      </x:c>
      <x:c r="K195" s="38" t="str">
        <x:v>NO ADD</x:v>
      </x:c>
      <x:c r="L195" s="38" t="str">
        <x:v>No add — the current catalog does not make crisp, crunchy, breaded, or fried texture a defining part of the dish.</x:v>
      </x:c>
      <x:c r="M195" s="38" t="str">
        <x:v>KEEP</x:v>
      </x:c>
      <x:c r="N195" s="38" t="str">
        <x:v>Keep — the current catalog supports tangy through explicitly described as tangy; it is specific enough to remain a recommendation signal.</x:v>
      </x:c>
      <x:c r="O195" s="38" t="str">
        <x:v>rich | tangy</x:v>
      </x:c>
      <x:c r="P195" s="38" t="str">
        <x:v>NO CHANGE</x:v>
      </x:c>
      <x:c r="Q195" s="38" t="str">
        <x:v>Levantine meat dumplings simmered in a tangy yogurt sauce with garlic and herbs.</x:v>
      </x:c>
    </x:row>
    <x:row r="196" ht="62" customHeight="1">
      <x:c r="A196" s="38" t="n">
        <x:v>184</x:v>
      </x:c>
      <x:c r="B196" s="38" t="str">
        <x:v>maftoul</x:v>
      </x:c>
      <x:c r="C196" s="38" t="str">
        <x:v>Maftoul</x:v>
      </x:c>
      <x:c r="D196" s="38" t="str">
        <x:v>middle-east</x:v>
      </x:c>
      <x:c r="E196" s="38" t="str">
        <x:v>rice</x:v>
      </x:c>
      <x:c r="F196" s="38" t="str">
        <x:v>comforting | fresh</x:v>
      </x:c>
      <x:c r="G196" s="38" t="str">
        <x:v>NO ADD</x:v>
      </x:c>
      <x:c r="H196" s="38" t="str">
        <x:v>No add — the current catalog does not make chile heat or hot-spice intensity a defining trait.</x:v>
      </x:c>
      <x:c r="I196" s="38" t="str">
        <x:v>REMOVE</x:v>
      </x:c>
      <x:c r="J196" s="38" t="str">
        <x:v>Remove — the catalog describes a cooked, grilled, baked, or hearty preparation; any vegetables, herbs, or garnishes are not central enough to make fresh a defining recommendation trait.</x:v>
      </x:c>
      <x:c r="K196" s="38" t="str">
        <x:v>NO ADD</x:v>
      </x:c>
      <x:c r="L196" s="38" t="str">
        <x:v>No add — the current catalog does not make crisp, crunchy, breaded, or fried texture a defining part of the dish.</x:v>
      </x:c>
      <x:c r="M196" s="38" t="str">
        <x:v>NO ADD</x:v>
      </x:c>
      <x:c r="N196" s="38" t="str">
        <x:v>No add — the current catalog does not make sour, citrus, vinegar, pickled, yogurt-acidic, or other tangy notes a defining trait.</x:v>
      </x:c>
      <x:c r="O196" s="38" t="str">
        <x:v>comforting</x:v>
      </x:c>
      <x:c r="P196" s="38" t="str">
        <x:v>CHANGES RECOMMENDED</x:v>
      </x:c>
      <x:c r="Q196" s="38" t="str">
        <x:v>Palestinian hand-rolled wheat grains steamed and served with chickpeas, vegetables, and broth.</x:v>
      </x:c>
    </x:row>
    <x:row r="197" ht="62" customHeight="1">
      <x:c r="A197" s="38" t="n">
        <x:v>185</x:v>
      </x:c>
      <x:c r="B197" s="38" t="str">
        <x:v>sambousek</x:v>
      </x:c>
      <x:c r="C197" s="38" t="str">
        <x:v>Sambousek</x:v>
      </x:c>
      <x:c r="D197" s="38" t="str">
        <x:v>middle-east</x:v>
      </x:c>
      <x:c r="E197" s="38" t="str">
        <x:v>handheld</x:v>
      </x:c>
      <x:c r="F197" s="38" t="str">
        <x:v>crispy | rich</x:v>
      </x:c>
      <x:c r="G197" s="38" t="str">
        <x:v>NO ADD</x:v>
      </x:c>
      <x:c r="H197" s="38" t="str">
        <x:v>No add — the current catalog does not make chile heat or hot-spice intensity a defining trait.</x:v>
      </x:c>
      <x:c r="I197" s="38" t="str">
        <x:v>NO ADD</x:v>
      </x:c>
      <x:c r="J197" s="38" t="str">
        <x:v>No add — the current catalog does not center a bright, raw, herb-forward, vegetable-forward, or light fresh profile.</x:v>
      </x:c>
      <x:c r="K197" s="38" t="str">
        <x:v>REMOVE</x:v>
      </x:c>
      <x:c r="L197" s="38" t="str">
        <x:v>Remove — the catalog allows baked or fried sambousek, so crisp texture is not consistent enough to drive recommendations.</x:v>
      </x:c>
      <x:c r="M197" s="38" t="str">
        <x:v>NO ADD</x:v>
      </x:c>
      <x:c r="N197" s="38" t="str">
        <x:v>No add — the current catalog does not make sour, citrus, vinegar, pickled, yogurt-acidic, or other tangy notes a defining trait.</x:v>
      </x:c>
      <x:c r="O197" s="38" t="str">
        <x:v>rich</x:v>
      </x:c>
      <x:c r="P197" s="38" t="str">
        <x:v>CHANGES RECOMMENDED</x:v>
      </x:c>
      <x:c r="Q197" s="38" t="str">
        <x:v>Levantine savory pastry filled with meat, cheese, or vegetables and baked or fried.</x:v>
      </x:c>
    </x:row>
    <x:row r="198" ht="62" customHeight="1">
      <x:c r="A198" s="38" t="n">
        <x:v>186</x:v>
      </x:c>
      <x:c r="B198" s="38" t="str">
        <x:v>pepper-soup</x:v>
      </x:c>
      <x:c r="C198" s="38" t="str">
        <x:v>Pepper Soup</x:v>
      </x:c>
      <x:c r="D198" s="38" t="str">
        <x:v>africa</x:v>
      </x:c>
      <x:c r="E198" s="38" t="str">
        <x:v>soup-broth</x:v>
      </x:c>
      <x:c r="F198" s="38" t="str">
        <x:v>spicy | fresh</x:v>
      </x:c>
      <x:c r="G198" s="38" t="str">
        <x:v>KEEP</x:v>
      </x:c>
      <x:c r="H198" s="38" t="str">
        <x:v>Keep — the current catalog supports spicy through explicitly described as spicy; it is specific enough to remain a recommendation signal.</x:v>
      </x:c>
      <x:c r="I198" s="38" t="str">
        <x:v>REMOVE</x:v>
      </x:c>
      <x:c r="J198" s="38" t="str">
        <x:v>Remove — the catalog describes a cooked, grilled, baked, or hearty preparation; any vegetables, herbs, or garnishes are not central enough to make fresh a defining recommendation trait.</x:v>
      </x:c>
      <x:c r="K198" s="38" t="str">
        <x:v>NO ADD</x:v>
      </x:c>
      <x:c r="L198" s="38" t="str">
        <x:v>No add — the current catalog does not make crisp, crunchy, breaded, or fried texture a defining part of the dish.</x:v>
      </x:c>
      <x:c r="M198" s="38" t="str">
        <x:v>NO ADD</x:v>
      </x:c>
      <x:c r="N198" s="38" t="str">
        <x:v>No add — the current catalog does not make sour, citrus, vinegar, pickled, yogurt-acidic, or other tangy notes a defining trait.</x:v>
      </x:c>
      <x:c r="O198" s="38" t="str">
        <x:v>spicy</x:v>
      </x:c>
      <x:c r="P198" s="38" t="str">
        <x:v>CHANGES RECOMMENDED</x:v>
      </x:c>
      <x:c r="Q198" s="38" t="str">
        <x:v>West African spicy broth with meat or fish and a fragrant blend of local spices.</x:v>
      </x:c>
    </x:row>
    <x:row r="199" ht="62" customHeight="1">
      <x:c r="A199" s="38" t="n">
        <x:v>187</x:v>
      </x:c>
      <x:c r="B199" s="38" t="str">
        <x:v>kitfo</x:v>
      </x:c>
      <x:c r="C199" s="38" t="str">
        <x:v>Kitfo</x:v>
      </x:c>
      <x:c r="D199" s="38" t="str">
        <x:v>africa</x:v>
      </x:c>
      <x:c r="E199" s="38" t="str">
        <x:v>grilled-protein</x:v>
      </x:c>
      <x:c r="F199" s="38" t="str">
        <x:v>rich | spicy</x:v>
      </x:c>
      <x:c r="G199" s="38" t="str">
        <x:v>KEEP</x:v>
      </x:c>
      <x:c r="H199" s="38" t="str">
        <x:v>Keep — the current catalog supports spicy through mitmita; it is specific enough to remain a recommendation signal.</x:v>
      </x:c>
      <x:c r="I199" s="38" t="str">
        <x:v>NO ADD</x:v>
      </x:c>
      <x:c r="J199" s="38" t="str">
        <x:v>No add — the current catalog does not center a bright, raw, herb-forward, vegetable-forward, or light fresh profile.</x:v>
      </x:c>
      <x:c r="K199" s="38" t="str">
        <x:v>NO ADD</x:v>
      </x:c>
      <x:c r="L199" s="38" t="str">
        <x:v>No add — the current catalog does not make crisp, crunchy, breaded, or fried texture a defining part of the dish.</x:v>
      </x:c>
      <x:c r="M199" s="38" t="str">
        <x:v>NO ADD</x:v>
      </x:c>
      <x:c r="N199" s="38" t="str">
        <x:v>No add — the current catalog does not make sour, citrus, vinegar, pickled, yogurt-acidic, or other tangy notes a defining trait.</x:v>
      </x:c>
      <x:c r="O199" s="38" t="str">
        <x:v>rich | spicy</x:v>
      </x:c>
      <x:c r="P199" s="38" t="str">
        <x:v>NO CHANGE</x:v>
      </x:c>
      <x:c r="Q199" s="38" t="str">
        <x:v>Ethiopian finely minced beef seasoned with spiced clarified butter and mitmita.</x:v>
      </x:c>
    </x:row>
    <x:row r="200" ht="62" customHeight="1">
      <x:c r="A200" s="38" t="n">
        <x:v>188</x:v>
      </x:c>
      <x:c r="B200" s="38" t="str">
        <x:v>tagliatelle-al-ragu</x:v>
      </x:c>
      <x:c r="C200" s="38" t="str">
        <x:v>Tagliatelle al Ragù</x:v>
      </x:c>
      <x:c r="D200" s="38" t="str">
        <x:v>europe</x:v>
      </x:c>
      <x:c r="E200" s="38" t="str">
        <x:v>noodle</x:v>
      </x:c>
      <x:c r="F200" s="38" t="str">
        <x:v>rich | comforting</x:v>
      </x:c>
      <x:c r="G200" s="38" t="str">
        <x:v>NO ADD</x:v>
      </x:c>
      <x:c r="H200" s="38" t="str">
        <x:v>No add — the current catalog does not make chile heat or hot-spice intensity a defining trait.</x:v>
      </x:c>
      <x:c r="I200" s="38" t="str">
        <x:v>NO ADD</x:v>
      </x:c>
      <x:c r="J200" s="38" t="str">
        <x:v>No add — the current catalog does not center a bright, raw, herb-forward, vegetable-forward, or light fresh profile.</x:v>
      </x:c>
      <x:c r="K200" s="38" t="str">
        <x:v>NO ADD</x:v>
      </x:c>
      <x:c r="L200" s="38" t="str">
        <x:v>No add — the current catalog does not make crisp, crunchy, breaded, or fried texture a defining part of the dish.</x:v>
      </x:c>
      <x:c r="M200" s="38" t="str">
        <x:v>NO ADD</x:v>
      </x:c>
      <x:c r="N200" s="38" t="str">
        <x:v>No add — the current catalog does not make sour, citrus, vinegar, pickled, yogurt-acidic, or other tangy notes a defining trait.</x:v>
      </x:c>
      <x:c r="O200" s="38" t="str">
        <x:v>rich | comforting</x:v>
      </x:c>
      <x:c r="P200" s="38" t="str">
        <x:v>NO CHANGE</x:v>
      </x:c>
      <x:c r="Q200" s="38" t="str">
        <x:v>Emilian ribbon pasta coated in a slow-cooked meat-and-tomato ragù.</x:v>
      </x:c>
    </x:row>
    <x:row r="201" ht="62" customHeight="1">
      <x:c r="A201" s="38" t="n">
        <x:v>189</x:v>
      </x:c>
      <x:c r="B201" s="38" t="str">
        <x:v>minestrone</x:v>
      </x:c>
      <x:c r="C201" s="38" t="str">
        <x:v>Minestrone</x:v>
      </x:c>
      <x:c r="D201" s="38" t="str">
        <x:v>europe</x:v>
      </x:c>
      <x:c r="E201" s="38" t="str">
        <x:v>soup-broth</x:v>
      </x:c>
      <x:c r="F201" s="38" t="str">
        <x:v>fresh | comforting</x:v>
      </x:c>
      <x:c r="G201" s="38" t="str">
        <x:v>NO ADD</x:v>
      </x:c>
      <x:c r="H201" s="38" t="str">
        <x:v>No add — the current catalog does not make chile heat or hot-spice intensity a defining trait.</x:v>
      </x:c>
      <x:c r="I201" s="38" t="str">
        <x:v>KEEP</x:v>
      </x:c>
      <x:c r="J201" s="38" t="str">
        <x:v>Keep — the current catalog supports fresh through greens; it is specific enough to remain a recommendation signal.</x:v>
      </x:c>
      <x:c r="K201" s="38" t="str">
        <x:v>NO ADD</x:v>
      </x:c>
      <x:c r="L201" s="38" t="str">
        <x:v>No add — the current catalog does not make crisp, crunchy, breaded, or fried texture a defining part of the dish.</x:v>
      </x:c>
      <x:c r="M201" s="38" t="str">
        <x:v>NO ADD</x:v>
      </x:c>
      <x:c r="N201" s="38" t="str">
        <x:v>No add — the current catalog does not make sour, citrus, vinegar, pickled, yogurt-acidic, or other tangy notes a defining trait.</x:v>
      </x:c>
      <x:c r="O201" s="38" t="str">
        <x:v>fresh | comforting</x:v>
      </x:c>
      <x:c r="P201" s="38" t="str">
        <x:v>NO CHANGE</x:v>
      </x:c>
      <x:c r="Q201" s="38" t="str">
        <x:v>Italian vegetable soup with beans, seasonal produce, and optional pasta or rice.</x:v>
      </x:c>
    </x:row>
    <x:row r="202" ht="62" customHeight="1">
      <x:c r="A202" s="38" t="n">
        <x:v>190</x:v>
      </x:c>
      <x:c r="B202" s="38" t="str">
        <x:v>shepherds-pie</x:v>
      </x:c>
      <x:c r="C202" s="38" t="str">
        <x:v>Shepherd's Pie</x:v>
      </x:c>
      <x:c r="D202" s="38" t="str">
        <x:v>europe</x:v>
      </x:c>
      <x:c r="E202" s="38" t="str">
        <x:v>grilled-protein</x:v>
      </x:c>
      <x:c r="F202" s="38" t="str">
        <x:v>rich | comforting</x:v>
      </x:c>
      <x:c r="G202" s="38" t="str">
        <x:v>NO ADD</x:v>
      </x:c>
      <x:c r="H202" s="38" t="str">
        <x:v>No add — the current catalog does not make chile heat or hot-spice intensity a defining trait.</x:v>
      </x:c>
      <x:c r="I202" s="38" t="str">
        <x:v>NO ADD</x:v>
      </x:c>
      <x:c r="J202" s="38" t="str">
        <x:v>No add — the current catalog does not center a bright, raw, herb-forward, vegetable-forward, or light fresh profile.</x:v>
      </x:c>
      <x:c r="K202" s="38" t="str">
        <x:v>NO ADD</x:v>
      </x:c>
      <x:c r="L202" s="38" t="str">
        <x:v>No add — the current catalog does not make crisp, crunchy, breaded, or fried texture a defining part of the dish.</x:v>
      </x:c>
      <x:c r="M202" s="38" t="str">
        <x:v>NO ADD</x:v>
      </x:c>
      <x:c r="N202" s="38" t="str">
        <x:v>No add — the current catalog does not make sour, citrus, vinegar, pickled, yogurt-acidic, or other tangy notes a defining trait.</x:v>
      </x:c>
      <x:c r="O202" s="38" t="str">
        <x:v>rich | comforting</x:v>
      </x:c>
      <x:c r="P202" s="38" t="str">
        <x:v>NO CHANGE</x:v>
      </x:c>
      <x:c r="Q202" s="38" t="str">
        <x:v>British baked meat-and-vegetable filling topped with a browned layer of mashed potato.</x:v>
      </x:c>
    </x:row>
    <x:row r="203" ht="62" customHeight="1">
      <x:c r="A203" s="38" t="n">
        <x:v>191</x:v>
      </x:c>
      <x:c r="B203" s="38" t="str">
        <x:v>arroz-con-coco</x:v>
      </x:c>
      <x:c r="C203" s="38" t="str">
        <x:v>Arroz con Coco</x:v>
      </x:c>
      <x:c r="D203" s="38" t="str">
        <x:v>latin-america</x:v>
      </x:c>
      <x:c r="E203" s="38" t="str">
        <x:v>rice</x:v>
      </x:c>
      <x:c r="F203" s="38" t="str">
        <x:v>rich</x:v>
      </x:c>
      <x:c r="G203" s="38" t="str">
        <x:v>NO ADD</x:v>
      </x:c>
      <x:c r="H203" s="38" t="str">
        <x:v>No add — the current catalog does not make chile heat or hot-spice intensity a defining trait.</x:v>
      </x:c>
      <x:c r="I203" s="38" t="str">
        <x:v>NO ADD</x:v>
      </x:c>
      <x:c r="J203" s="38" t="str">
        <x:v>No add — the current catalog does not center a bright, raw, herb-forward, vegetable-forward, or light fresh profile.</x:v>
      </x:c>
      <x:c r="K203" s="38" t="str">
        <x:v>NO ADD</x:v>
      </x:c>
      <x:c r="L203" s="38" t="str">
        <x:v>No add — the current catalog does not make crisp, crunchy, breaded, or fried texture a defining part of the dish.</x:v>
      </x:c>
      <x:c r="M203" s="38" t="str">
        <x:v>NO ADD</x:v>
      </x:c>
      <x:c r="N203" s="38" t="str">
        <x:v>No add — the current catalog does not make sour, citrus, vinegar, pickled, yogurt-acidic, or other tangy notes a defining trait.</x:v>
      </x:c>
      <x:c r="O203" s="38" t="str">
        <x:v>rich</x:v>
      </x:c>
      <x:c r="P203" s="38" t="str">
        <x:v>NO CHANGE</x:v>
      </x:c>
      <x:c r="Q203" s="38" t="str">
        <x:v>Colombian Caribbean coconut rice with a fragrant, lightly sweet-savory profile.</x:v>
      </x:c>
    </x:row>
    <x:row r="204" ht="62" customHeight="1">
      <x:c r="A204" s="38" t="n">
        <x:v>192</x:v>
      </x:c>
      <x:c r="B204" s="38" t="str">
        <x:v>pozole</x:v>
      </x:c>
      <x:c r="C204" s="38" t="str">
        <x:v>Pozole</x:v>
      </x:c>
      <x:c r="D204" s="38" t="str">
        <x:v>latin-america</x:v>
      </x:c>
      <x:c r="E204" s="38" t="str">
        <x:v>soup-broth</x:v>
      </x:c>
      <x:c r="F204" s="38" t="str">
        <x:v>fresh | spicy</x:v>
      </x:c>
      <x:c r="G204" s="38" t="str">
        <x:v>REMOVE</x:v>
      </x:c>
      <x:c r="H204" s="38" t="str">
        <x:v>Remove — the catalog describes spices, seasoning, curry, or accompaniments without making chile heat a defining trait; the current spicy tag is broader than the text supports.</x:v>
      </x:c>
      <x:c r="I204" s="38" t="str">
        <x:v>KEEP</x:v>
      </x:c>
      <x:c r="J204" s="38" t="str">
        <x:v>Keep — the current catalog supports fresh through fresh garnishes; it is specific enough to remain a recommendation signal.</x:v>
      </x:c>
      <x:c r="K204" s="38" t="str">
        <x:v>NO ADD</x:v>
      </x:c>
      <x:c r="L204" s="38" t="str">
        <x:v>No add — the current catalog does not make crisp, crunchy, breaded, or fried texture a defining part of the dish.</x:v>
      </x:c>
      <x:c r="M204" s="38" t="str">
        <x:v>NO ADD</x:v>
      </x:c>
      <x:c r="N204" s="38" t="str">
        <x:v>No add — the current catalog does not make sour, citrus, vinegar, pickled, yogurt-acidic, or other tangy notes a defining trait.</x:v>
      </x:c>
      <x:c r="O204" s="38" t="str">
        <x:v>fresh</x:v>
      </x:c>
      <x:c r="P204" s="38" t="str">
        <x:v>CHANGES RECOMMENDED</x:v>
      </x:c>
      <x:c r="Q204" s="38" t="str">
        <x:v>Mexican hominy stew with pork or chicken and a tableful of crisp, fresh garnishes.</x:v>
      </x:c>
    </x:row>
    <x:row r="205" ht="62" customHeight="1">
      <x:c r="A205" s="38" t="n">
        <x:v>193</x:v>
      </x:c>
      <x:c r="B205" s="38" t="str">
        <x:v>locro</x:v>
      </x:c>
      <x:c r="C205" s="38" t="str">
        <x:v>Locro</x:v>
      </x:c>
      <x:c r="D205" s="38" t="str">
        <x:v>latin-america</x:v>
      </x:c>
      <x:c r="E205" s="38" t="str">
        <x:v>soup-broth</x:v>
      </x:c>
      <x:c r="F205" s="38" t="str">
        <x:v>rich | comforting</x:v>
      </x:c>
      <x:c r="G205" s="38" t="str">
        <x:v>NO ADD</x:v>
      </x:c>
      <x:c r="H205" s="38" t="str">
        <x:v>No add — the current catalog does not make chile heat or hot-spice intensity a defining trait.</x:v>
      </x:c>
      <x:c r="I205" s="38" t="str">
        <x:v>NO ADD</x:v>
      </x:c>
      <x:c r="J205" s="38" t="str">
        <x:v>No add — the current catalog does not center a bright, raw, herb-forward, vegetable-forward, or light fresh profile.</x:v>
      </x:c>
      <x:c r="K205" s="38" t="str">
        <x:v>NO ADD</x:v>
      </x:c>
      <x:c r="L205" s="38" t="str">
        <x:v>No add — the current catalog does not make crisp, crunchy, breaded, or fried texture a defining part of the dish.</x:v>
      </x:c>
      <x:c r="M205" s="38" t="str">
        <x:v>NO ADD</x:v>
      </x:c>
      <x:c r="N205" s="38" t="str">
        <x:v>No add — the current catalog does not make sour, citrus, vinegar, pickled, yogurt-acidic, or other tangy notes a defining trait.</x:v>
      </x:c>
      <x:c r="O205" s="38" t="str">
        <x:v>rich | comforting</x:v>
      </x:c>
      <x:c r="P205" s="38" t="str">
        <x:v>NO CHANGE</x:v>
      </x:c>
      <x:c r="Q205" s="38" t="str">
        <x:v>Andean thick stew of corn, beans, squash, potatoes, and regional meats or cheese.</x:v>
      </x:c>
    </x:row>
    <x:row r="206" ht="62" customHeight="1">
      <x:c r="A206" s="38" t="n">
        <x:v>194</x:v>
      </x:c>
      <x:c r="B206" s="38" t="str">
        <x:v>mofongo</x:v>
      </x:c>
      <x:c r="C206" s="38" t="str">
        <x:v>Mofongo</x:v>
      </x:c>
      <x:c r="D206" s="38" t="str">
        <x:v>latin-america</x:v>
      </x:c>
      <x:c r="E206" s="38" t="str">
        <x:v>rice</x:v>
      </x:c>
      <x:c r="F206" s="38" t="str">
        <x:v>rich | comforting</x:v>
      </x:c>
      <x:c r="G206" s="38" t="str">
        <x:v>NO ADD</x:v>
      </x:c>
      <x:c r="H206" s="38" t="str">
        <x:v>No add — the current catalog does not make chile heat or hot-spice intensity a defining trait.</x:v>
      </x:c>
      <x:c r="I206" s="38" t="str">
        <x:v>NO ADD</x:v>
      </x:c>
      <x:c r="J206" s="38" t="str">
        <x:v>No add — the current catalog does not center a bright, raw, herb-forward, vegetable-forward, or light fresh profile.</x:v>
      </x:c>
      <x:c r="K206" s="38" t="str">
        <x:v>NO ADD</x:v>
      </x:c>
      <x:c r="L206" s="38" t="str">
        <x:v>No add — the current catalog does not make crisp, crunchy, breaded, or fried texture a defining part of the dish.</x:v>
      </x:c>
      <x:c r="M206" s="38" t="str">
        <x:v>NO ADD</x:v>
      </x:c>
      <x:c r="N206" s="38" t="str">
        <x:v>No add — the current catalog does not make sour, citrus, vinegar, pickled, yogurt-acidic, or other tangy notes a defining trait.</x:v>
      </x:c>
      <x:c r="O206" s="38" t="str">
        <x:v>rich | comforting</x:v>
      </x:c>
      <x:c r="P206" s="38" t="str">
        <x:v>NO CHANGE</x:v>
      </x:c>
      <x:c r="Q206" s="38" t="str">
        <x:v>Puerto Rican mashed fried plantain seasoned with garlic and filled or topped with savory proteins.</x:v>
      </x:c>
    </x:row>
    <x:row r="207" ht="62" customHeight="1">
      <x:c r="A207" s="38" t="n">
        <x:v>195</x:v>
      </x:c>
      <x:c r="B207" s="38" t="str">
        <x:v>red-beans-and-rice</x:v>
      </x:c>
      <x:c r="C207" s="38" t="str">
        <x:v>Red Beans and Rice</x:v>
      </x:c>
      <x:c r="D207" s="38" t="str">
        <x:v>north-america</x:v>
      </x:c>
      <x:c r="E207" s="38" t="str">
        <x:v>rice</x:v>
      </x:c>
      <x:c r="F207" s="38" t="str">
        <x:v>comforting | rich</x:v>
      </x:c>
      <x:c r="G207" s="38" t="str">
        <x:v>NO ADD</x:v>
      </x:c>
      <x:c r="H207" s="38" t="str">
        <x:v>No add — the current catalog does not make chile heat or hot-spice intensity a defining trait.</x:v>
      </x:c>
      <x:c r="I207" s="38" t="str">
        <x:v>NO ADD</x:v>
      </x:c>
      <x:c r="J207" s="38" t="str">
        <x:v>No add — the current catalog does not center a bright, raw, herb-forward, vegetable-forward, or light fresh profile.</x:v>
      </x:c>
      <x:c r="K207" s="38" t="str">
        <x:v>NO ADD</x:v>
      </x:c>
      <x:c r="L207" s="38" t="str">
        <x:v>No add — the current catalog does not make crisp, crunchy, breaded, or fried texture a defining part of the dish.</x:v>
      </x:c>
      <x:c r="M207" s="38" t="str">
        <x:v>NO ADD</x:v>
      </x:c>
      <x:c r="N207" s="38" t="str">
        <x:v>No add — the current catalog does not make sour, citrus, vinegar, pickled, yogurt-acidic, or other tangy notes a defining trait.</x:v>
      </x:c>
      <x:c r="O207" s="38" t="str">
        <x:v>comforting | rich</x:v>
      </x:c>
      <x:c r="P207" s="38" t="str">
        <x:v>NO CHANGE</x:v>
      </x:c>
      <x:c r="Q207" s="38" t="str">
        <x:v>Louisiana red beans slow-cooked with aromatics and sausage, served over rice.</x:v>
      </x:c>
    </x:row>
    <x:row r="208" ht="62" customHeight="1">
      <x:c r="A208" s="38" t="n">
        <x:v>196</x:v>
      </x:c>
      <x:c r="B208" s="38" t="str">
        <x:v>crawfish-etouffee</x:v>
      </x:c>
      <x:c r="C208" s="38" t="str">
        <x:v>Crawfish Étouffée</x:v>
      </x:c>
      <x:c r="D208" s="38" t="str">
        <x:v>north-america</x:v>
      </x:c>
      <x:c r="E208" s="38" t="str">
        <x:v>rice</x:v>
      </x:c>
      <x:c r="F208" s="38" t="str">
        <x:v>rich | comforting</x:v>
      </x:c>
      <x:c r="G208" s="38" t="str">
        <x:v>NO ADD</x:v>
      </x:c>
      <x:c r="H208" s="38" t="str">
        <x:v>No add — the current catalog does not make chile heat or hot-spice intensity a defining trait.</x:v>
      </x:c>
      <x:c r="I208" s="38" t="str">
        <x:v>NO ADD</x:v>
      </x:c>
      <x:c r="J208" s="38" t="str">
        <x:v>No add — the current catalog does not center a bright, raw, herb-forward, vegetable-forward, or light fresh profile.</x:v>
      </x:c>
      <x:c r="K208" s="38" t="str">
        <x:v>NO ADD</x:v>
      </x:c>
      <x:c r="L208" s="38" t="str">
        <x:v>No add — the current catalog does not make crisp, crunchy, breaded, or fried texture a defining part of the dish.</x:v>
      </x:c>
      <x:c r="M208" s="38" t="str">
        <x:v>NO ADD</x:v>
      </x:c>
      <x:c r="N208" s="38" t="str">
        <x:v>No add — the current catalog does not make sour, citrus, vinegar, pickled, yogurt-acidic, or other tangy notes a defining trait.</x:v>
      </x:c>
      <x:c r="O208" s="38" t="str">
        <x:v>rich | comforting</x:v>
      </x:c>
      <x:c r="P208" s="38" t="str">
        <x:v>NO CHANGE</x:v>
      </x:c>
      <x:c r="Q208" s="38" t="str">
        <x:v>Louisiana crawfish in a thick, seasoned sauce served generously over rice.</x:v>
      </x:c>
    </x:row>
    <x:row r="209" ht="62" customHeight="1">
      <x:c r="A209" s="38" t="n">
        <x:v>197</x:v>
      </x:c>
      <x:c r="B209" s="38" t="str">
        <x:v>saimin</x:v>
      </x:c>
      <x:c r="C209" s="38" t="str">
        <x:v>Saimin</x:v>
      </x:c>
      <x:c r="D209" s="38" t="str">
        <x:v>north-america</x:v>
      </x:c>
      <x:c r="E209" s="38" t="str">
        <x:v>noodle</x:v>
      </x:c>
      <x:c r="F209" s="38" t="str">
        <x:v>comforting | fresh</x:v>
      </x:c>
      <x:c r="G209" s="38" t="str">
        <x:v>NO ADD</x:v>
      </x:c>
      <x:c r="H209" s="38" t="str">
        <x:v>No add — the current catalog does not make chile heat or hot-spice intensity a defining trait.</x:v>
      </x:c>
      <x:c r="I209" s="38" t="str">
        <x:v>KEEP</x:v>
      </x:c>
      <x:c r="J209" s="38" t="str">
        <x:v>Keep — the current catalog framing supports fresh as a meaningful part of the dish, and there is no stronger reason to remove the existing tag.</x:v>
      </x:c>
      <x:c r="K209" s="38" t="str">
        <x:v>NO ADD</x:v>
      </x:c>
      <x:c r="L209" s="38" t="str">
        <x:v>No add — the current catalog does not make crisp, crunchy, breaded, or fried texture a defining part of the dish.</x:v>
      </x:c>
      <x:c r="M209" s="38" t="str">
        <x:v>NO ADD</x:v>
      </x:c>
      <x:c r="N209" s="38" t="str">
        <x:v>No add — the current catalog does not make sour, citrus, vinegar, pickled, yogurt-acidic, or other tangy notes a defining trait.</x:v>
      </x:c>
      <x:c r="O209" s="38" t="str">
        <x:v>comforting | fresh</x:v>
      </x:c>
      <x:c r="P209" s="38" t="str">
        <x:v>NO CHANGE</x:v>
      </x:c>
      <x:c r="Q209" s="38" t="str">
        <x:v>Hawaii noodle soup with wheat-and-egg noodles, clear broth, and local toppings.</x:v>
      </x:c>
    </x:row>
    <x:row r="210" ht="62" customHeight="1">
      <x:c r="A210" s="38" t="n">
        <x:v>198</x:v>
      </x:c>
      <x:c r="B210" s="38" t="str">
        <x:v>cincinnati-chili</x:v>
      </x:c>
      <x:c r="C210" s="38" t="str">
        <x:v>Cincinnati Chili</x:v>
      </x:c>
      <x:c r="D210" s="38" t="str">
        <x:v>north-america</x:v>
      </x:c>
      <x:c r="E210" s="38" t="str">
        <x:v>noodle</x:v>
      </x:c>
      <x:c r="F210" s="38" t="str">
        <x:v>rich | comforting</x:v>
      </x:c>
      <x:c r="G210" s="38" t="str">
        <x:v>NO ADD</x:v>
      </x:c>
      <x:c r="H210" s="38" t="str">
        <x:v>No add — the current catalog does not make chile heat or hot-spice intensity a defining trait.</x:v>
      </x:c>
      <x:c r="I210" s="38" t="str">
        <x:v>NO ADD</x:v>
      </x:c>
      <x:c r="J210" s="38" t="str">
        <x:v>No add — the current catalog does not center a bright, raw, herb-forward, vegetable-forward, or light fresh profile.</x:v>
      </x:c>
      <x:c r="K210" s="38" t="str">
        <x:v>NO ADD</x:v>
      </x:c>
      <x:c r="L210" s="38" t="str">
        <x:v>No add — the current catalog does not make crisp, crunchy, breaded, or fried texture a defining part of the dish.</x:v>
      </x:c>
      <x:c r="M210" s="38" t="str">
        <x:v>NO ADD</x:v>
      </x:c>
      <x:c r="N210" s="38" t="str">
        <x:v>No add — the current catalog does not make sour, citrus, vinegar, pickled, yogurt-acidic, or other tangy notes a defining trait.</x:v>
      </x:c>
      <x:c r="O210" s="38" t="str">
        <x:v>rich | comforting</x:v>
      </x:c>
      <x:c r="P210" s="38" t="str">
        <x:v>NO CHANGE</x:v>
      </x:c>
      <x:c r="Q210" s="38" t="str">
        <x:v>Cincinnati spiced meat sauce served over spaghetti with cheese and optional beans or onions.</x:v>
      </x:c>
    </x:row>
    <x:row r="211" ht="62" customHeight="1">
      <x:c r="A211" s="38" t="n">
        <x:v>199</x:v>
      </x:c>
      <x:c r="B211" s="38" t="str">
        <x:v>canadian-split-pea-soup</x:v>
      </x:c>
      <x:c r="C211" s="38" t="str">
        <x:v>Canadian Split Pea Soup</x:v>
      </x:c>
      <x:c r="D211" s="38" t="str">
        <x:v>north-america</x:v>
      </x:c>
      <x:c r="E211" s="38" t="str">
        <x:v>soup-broth</x:v>
      </x:c>
      <x:c r="F211" s="38" t="str">
        <x:v>comforting</x:v>
      </x:c>
      <x:c r="G211" s="38" t="str">
        <x:v>NO ADD</x:v>
      </x:c>
      <x:c r="H211" s="38" t="str">
        <x:v>No add — the current catalog does not make chile heat or hot-spice intensity a defining trait.</x:v>
      </x:c>
      <x:c r="I211" s="38" t="str">
        <x:v>NO ADD</x:v>
      </x:c>
      <x:c r="J211" s="38" t="str">
        <x:v>No add — the current catalog does not center a bright, raw, herb-forward, vegetable-forward, or light fresh profile.</x:v>
      </x:c>
      <x:c r="K211" s="38" t="str">
        <x:v>NO ADD</x:v>
      </x:c>
      <x:c r="L211" s="38" t="str">
        <x:v>No add — the current catalog does not make crisp, crunchy, breaded, or fried texture a defining part of the dish.</x:v>
      </x:c>
      <x:c r="M211" s="38" t="str">
        <x:v>NO ADD</x:v>
      </x:c>
      <x:c r="N211" s="38" t="str">
        <x:v>No add — the current catalog does not make sour, citrus, vinegar, pickled, yogurt-acidic, or other tangy notes a defining trait.</x:v>
      </x:c>
      <x:c r="O211" s="38" t="str">
        <x:v>comforting</x:v>
      </x:c>
      <x:c r="P211" s="38" t="str">
        <x:v>NO CHANGE</x:v>
      </x:c>
      <x:c r="Q211" s="38" t="str">
        <x:v>Québécois split-pea soup slow-cooked with vegetables, herbs, and often salted pork or ham.</x:v>
      </x:c>
    </x:row>
    <x:row r="212" ht="62" customHeight="1">
      <x:c r="A212" s="38" t="n">
        <x:v>200</x:v>
      </x:c>
      <x:c r="B212" s="38" t="str">
        <x:v>matzo-ball-soup</x:v>
      </x:c>
      <x:c r="C212" s="38" t="str">
        <x:v>Matzo Ball Soup</x:v>
      </x:c>
      <x:c r="D212" s="38" t="str">
        <x:v>north-america</x:v>
      </x:c>
      <x:c r="E212" s="38" t="str">
        <x:v>soup-broth</x:v>
      </x:c>
      <x:c r="F212" s="38" t="str">
        <x:v>comforting | fresh</x:v>
      </x:c>
      <x:c r="G212" s="38" t="str">
        <x:v>NO ADD</x:v>
      </x:c>
      <x:c r="H212" s="38" t="str">
        <x:v>No add — the current catalog does not make chile heat or hot-spice intensity a defining trait.</x:v>
      </x:c>
      <x:c r="I212" s="38" t="str">
        <x:v>REMOVE</x:v>
      </x:c>
      <x:c r="J212" s="38" t="str">
        <x:v>Remove — the catalog describes a cooked, grilled, baked, or hearty preparation; any vegetables, herbs, or garnishes are not central enough to make fresh a defining recommendation trait.</x:v>
      </x:c>
      <x:c r="K212" s="38" t="str">
        <x:v>NO ADD</x:v>
      </x:c>
      <x:c r="L212" s="38" t="str">
        <x:v>No add — the current catalog does not make crisp, crunchy, breaded, or fried texture a defining part of the dish.</x:v>
      </x:c>
      <x:c r="M212" s="38" t="str">
        <x:v>NO ADD</x:v>
      </x:c>
      <x:c r="N212" s="38" t="str">
        <x:v>No add — the current catalog does not make sour, citrus, vinegar, pickled, yogurt-acidic, or other tangy notes a defining trait.</x:v>
      </x:c>
      <x:c r="O212" s="38" t="str">
        <x:v>comforting</x:v>
      </x:c>
      <x:c r="P212" s="38" t="str">
        <x:v>CHANGES RECOMMENDED</x:v>
      </x:c>
      <x:c r="Q212" s="38" t="str">
        <x:v>Jewish-American chicken soup served with tender dumplings made from matzo meal.</x:v>
      </x:c>
    </x:row>
  </x:sheetData>
  <x:mergeCells>
    <x:mergeCell ref="A1:Q1"/>
    <x:mergeCell ref="A2:Q2"/>
  </x:mergeCells>
  <x:conditionalFormatting sqref="G13:G212">
    <x:cfRule type="expression" dxfId="22" priority="1">
      <x:formula>G13="ADD"</x:formula>
    </x:cfRule>
    <x:cfRule type="expression" dxfId="23" priority="2">
      <x:formula>G13="REMOVE"</x:formula>
    </x:cfRule>
    <x:cfRule type="expression" dxfId="24" priority="3">
      <x:formula>G13="KEEP"</x:formula>
    </x:cfRule>
  </x:conditionalFormatting>
  <x:conditionalFormatting sqref="I13:I212">
    <x:cfRule type="expression" dxfId="25" priority="4">
      <x:formula>I13="ADD"</x:formula>
    </x:cfRule>
    <x:cfRule type="expression" dxfId="26" priority="5">
      <x:formula>I13="REMOVE"</x:formula>
    </x:cfRule>
    <x:cfRule type="expression" dxfId="27" priority="6">
      <x:formula>I13="KEEP"</x:formula>
    </x:cfRule>
  </x:conditionalFormatting>
  <x:conditionalFormatting sqref="K13:K212">
    <x:cfRule type="expression" dxfId="28" priority="7">
      <x:formula>K13="ADD"</x:formula>
    </x:cfRule>
    <x:cfRule type="expression" dxfId="29" priority="8">
      <x:formula>K13="REMOVE"</x:formula>
    </x:cfRule>
    <x:cfRule type="expression" dxfId="30" priority="9">
      <x:formula>K13="KEEP"</x:formula>
    </x:cfRule>
  </x:conditionalFormatting>
  <x:conditionalFormatting sqref="M13:M212">
    <x:cfRule type="expression" dxfId="31" priority="10">
      <x:formula>M13="ADD"</x:formula>
    </x:cfRule>
    <x:cfRule type="expression" dxfId="32" priority="11">
      <x:formula>M13="REMOVE"</x:formula>
    </x:cfRule>
    <x:cfRule type="expression" dxfId="33" priority="12">
      <x:formula>M13="KEEP"</x:formula>
    </x:cfRule>
  </x:conditionalFormatting>
  <x:conditionalFormatting sqref="P13:P212">
    <x:cfRule type="expression" dxfId="34" priority="13">
      <x:formula>P13="RETAG NEEDED"</x:formula>
    </x:cfRule>
    <x:cfRule type="expression" dxfId="35" priority="14">
      <x:formula>P13="VARIANT SPLIT / RETAG"</x:formula>
    </x:cfRule>
    <x:cfRule type="expression" dxfId="36" priority="15">
      <x:formula>P13="CHANGES RECOMMENDED"</x:formula>
    </x:cfRule>
  </x:conditionalFormatting>
  <x:pageMargins left="0.7" right="0.7" top="0.75" bottom="0.75" header="0.3" footer="0.3"/>
  <x:drawing xmlns:r="http://schemas.openxmlformats.org/officeDocument/2006/relationships" r:id="R7bbbca18dcfc4d20"/>
</x:worksheet>
</file>

<file path=xl/worksheets/sheet10.xml><?xml version="1.0" encoding="utf-8"?>
<x:worksheet xmlns:x="http://schemas.openxmlformats.org/spreadsheetml/2006/main">
  <x:sheetFormatPr defaultRowHeight="15"/>
  <x:cols>
    <x:col min="1" max="1" width="5" hidden="0" customWidth="1"/>
    <x:col min="2" max="2" width="24" hidden="0" customWidth="1"/>
    <x:col min="3" max="3" width="25" hidden="0" customWidth="1"/>
    <x:col min="4" max="4" width="24" hidden="0" customWidth="1"/>
    <x:col min="5" max="5" width="18" hidden="0" customWidth="1"/>
    <x:col min="6" max="6" width="24" hidden="0" customWidth="1"/>
    <x:col min="7" max="7" width="14" hidden="0" customWidth="1"/>
    <x:col min="8" max="8" width="58" hidden="0" customWidth="1"/>
    <x:col min="9" max="9" width="68" hidden="0" customWidth="1"/>
    <x:col min="10" max="10" width="50" hidden="0" customWidth="1"/>
    <x:col min="11" max="11" width="18" hidden="0" customWidth="1"/>
  </x:cols>
  <x:sheetData>
    <x:row r="1" ht="28" customHeight="1">
      <x:c r="A1" s="127" t="str">
        <x:v>Nom — 19 Retag / Taxonomy Resolutions</x:v>
      </x:c>
      <x:c r="B1" s="127"/>
      <x:c r="C1" s="127"/>
      <x:c r="D1" s="127"/>
      <x:c r="E1" s="127"/>
      <x:c r="F1" s="127"/>
      <x:c r="G1" s="127"/>
      <x:c r="H1" s="127"/>
      <x:c r="I1" s="127"/>
      <x:c r="J1" s="127"/>
    </x:row>
    <x:row r="2" ht="48" customHeight="1">
      <x:c r="A2" s="131" t="str">
        <x:v>Resolution of the 18 dishes that would otherwise have no preference flavor after the four-flavor audit, plus Lumpia's mixed-variant warning. Recommendations are grounded in the current catalog descriptions. Comforting/rich recommendations marked as product-fit inference are not direct factual claims from the source text.</x:v>
      </x:c>
      <x:c r="B2" s="131"/>
      <x:c r="C2" s="131"/>
      <x:c r="D2" s="131"/>
      <x:c r="E2" s="131"/>
      <x:c r="F2" s="131"/>
      <x:c r="G2" s="131"/>
      <x:c r="H2" s="131"/>
      <x:c r="I2" s="131"/>
      <x:c r="J2" s="131"/>
    </x:row>
    <x:row r="4">
      <x:c r="A4" s="135" t="str">
        <x:v>Resolution metric</x:v>
      </x:c>
      <x:c r="B4" s="135" t="str">
        <x:v>Count</x:v>
      </x:c>
      <x:c r="C4" s="135" t="str">
        <x:v>Recommendation</x:v>
      </x:c>
      <x:c r="D4" s="135" t="str">
        <x:v>Status</x:v>
      </x:c>
      <x:c r="F4" s="135" t="str">
        <x:v>Replacement tag</x:v>
      </x:c>
      <x:c r="G4" s="135" t="str">
        <x:v>Count</x:v>
      </x:c>
      <x:c r="H4" s="135" t="str">
        <x:v>Use case</x:v>
      </x:c>
      <x:c r="I4" s="135" t="str">
        <x:v>Confidence</x:v>
      </x:c>
      <x:c r="J4" s="135" t="str">
        <x:v>Notes</x:v>
      </x:c>
    </x:row>
    <x:row r="5">
      <x:c r="A5" t="str">
        <x:v>Cases reviewed</x:v>
      </x:c>
      <x:c r="B5" t="n">
        <x:v>19</x:v>
      </x:c>
      <x:c r="C5" t="str">
        <x:v>Resolve every zero-tag or mixed-variant case before applying the full flavor audit.</x:v>
      </x:c>
      <x:c r="D5" t="str">
        <x:v>DONE</x:v>
      </x:c>
      <x:c r="F5" t="str">
        <x:v>comforting</x:v>
      </x:c>
      <x:c r="G5" t="n">
        <x:v>13</x:v>
      </x:c>
      <x:c r="H5" t="str">
        <x:v>Warm rice, pasta, dumpling, flatbread, pastry, or soft savory formats.</x:v>
      </x:c>
      <x:c r="I5" t="str">
        <x:v>Medium</x:v>
      </x:c>
      <x:c r="J5" t="str">
        <x:v>Product/mood inference; use selectively.</x:v>
      </x:c>
    </x:row>
    <x:row r="6">
      <x:c r="A6" t="str">
        <x:v>Resolved with existing six-tag system</x:v>
      </x:c>
      <x:c r="B6" t="n">
        <x:v>18</x:v>
      </x:c>
      <x:c r="C6" t="str">
        <x:v>No new global preference flavor is needed for V1.</x:v>
      </x:c>
      <x:c r="D6" t="str">
        <x:v>GOOD</x:v>
      </x:c>
      <x:c r="F6" t="str">
        <x:v>tangy</x:v>
      </x:c>
      <x:c r="G6" t="n">
        <x:v>2</x:v>
      </x:c>
      <x:c r="H6" t="str">
        <x:v>Yogurt + citrus marinades explicitly documented.</x:v>
      </x:c>
      <x:c r="I6" t="str">
        <x:v>High</x:v>
      </x:c>
      <x:c r="J6" t="str">
        <x:v>Chicken Tikka and Tandoori Chicken.</x:v>
      </x:c>
    </x:row>
    <x:row r="7">
      <x:c r="A7" t="str">
        <x:v>Requires variant split</x:v>
      </x:c>
      <x:c r="B7" t="n">
        <x:v>1</x:v>
      </x:c>
      <x:c r="C7" t="str">
        <x:v>Split Lumpia into fried and fresh entries.</x:v>
      </x:c>
      <x:c r="D7" t="str">
        <x:v>ACTION</x:v>
      </x:c>
      <x:c r="F7" t="str">
        <x:v>rich</x:v>
      </x:c>
      <x:c r="G7" t="n">
        <x:v>3</x:v>
      </x:c>
      <x:c r="H7" t="str">
        <x:v>Concentrated seafood/stock profiles.</x:v>
      </x:c>
      <x:c r="I7" t="str">
        <x:v>Medium–High</x:v>
      </x:c>
      <x:c r="J7" t="str">
        <x:v>Fideuà, Arroz de Marisco, Arroz Negro.</x:v>
      </x:c>
    </x:row>
    <x:row r="8">
      <x:c r="A8" t="str">
        <x:v>Recommended new global flavor tags</x:v>
      </x:c>
      <x:c r="B8" t="n">
        <x:v>0</x:v>
      </x:c>
      <x:c r="C8" t="str">
        <x:v>Do not expand the discovery UI solely to solve these edge cases.</x:v>
      </x:c>
      <x:c r="D8" t="str">
        <x:v>GOOD</x:v>
      </x:c>
      <x:c r="F8" t="str">
        <x:v>split row</x:v>
      </x:c>
      <x:c r="G8" t="n">
        <x:v>1</x:v>
      </x:c>
      <x:c r="H8" t="str">
        <x:v>One catalog row currently mixes incompatible variants.</x:v>
      </x:c>
      <x:c r="I8" t="str">
        <x:v>High</x:v>
      </x:c>
      <x:c r="J8" t="str">
        <x:v>Lumpia.</x:v>
      </x:c>
    </x:row>
    <x:row r="9">
      <x:c r="A9" t="str">
        <x:v>Future taxonomy candidate</x:v>
      </x:c>
      <x:c r="B9" t="n">
        <x:v>1</x:v>
      </x:c>
      <x:c r="C9" t="str">
        <x:v>If user research later supports it, evaluate 'umami' as a new preference.</x:v>
      </x:c>
      <x:c r="D9" t="str">
        <x:v>LATER</x:v>
      </x:c>
      <x:c r="F9" t="str">
        <x:v>new flavor</x:v>
      </x:c>
      <x:c r="G9" t="n">
        <x:v>0</x:v>
      </x:c>
      <x:c r="H9" t="str">
        <x:v>Not needed for V1.</x:v>
      </x:c>
      <x:c r="I9" t="str">
        <x:v>—</x:v>
      </x:c>
      <x:c r="J9" t="str">
        <x:v>Avoid adding UI complexity before user evidence.</x:v>
      </x:c>
    </x:row>
    <x:row r="12">
      <x:c r="A12" s="135" t="str">
        <x:v>#</x:v>
      </x:c>
      <x:c r="B12" s="135" t="str">
        <x:v>dishId</x:v>
      </x:c>
      <x:c r="C12" s="135" t="str">
        <x:v>Dish</x:v>
      </x:c>
      <x:c r="D12" s="135" t="str">
        <x:v>Current audit outcome</x:v>
      </x:c>
      <x:c r="E12" s="135" t="str">
        <x:v>Recommended action</x:v>
      </x:c>
      <x:c r="F12" s="135" t="str">
        <x:v>Recommended tag / result</x:v>
      </x:c>
      <x:c r="G12" s="135" t="str">
        <x:v>Confidence</x:v>
      </x:c>
      <x:c r="H12" s="135" t="str">
        <x:v>Catalog evidence</x:v>
      </x:c>
      <x:c r="I12" s="135" t="str">
        <x:v>Recommendation rationale</x:v>
      </x:c>
      <x:c r="J12" s="135" t="str">
        <x:v>Taxonomy decision</x:v>
      </x:c>
      <x:c r="K12" s="147" t="str">
        <x:v>Applied status</x:v>
      </x:c>
    </x:row>
    <x:row r="13" ht="68" customHeight="1">
      <x:c r="A13" s="38" t="n">
        <x:v>1</x:v>
      </x:c>
      <x:c r="B13" s="38" t="str">
        <x:v>jambalaya</x:v>
      </x:c>
      <x:c r="C13" s="38" t="str">
        <x:v>Jambalaya</x:v>
      </x:c>
      <x:c r="D13" s="38" t="str">
        <x:v>RETAG NEEDED</x:v>
      </x:c>
      <x:c r="E13" s="38" t="str">
        <x:v>ADD</x:v>
      </x:c>
      <x:c r="F13" s="38" t="str">
        <x:v>comforting</x:v>
      </x:c>
      <x:c r="G13" s="38" t="str">
        <x:v>Medium</x:v>
      </x:c>
      <x:c r="H13" s="38" t="str">
        <x:v>Louisiana rice cooked with meat or seafood, vegetables, stock, and spices.</x:v>
      </x:c>
      <x:c r="I13" s="38" t="str">
        <x:v>Product-fit inference: a warm, one-pot rice dish is a better fit for the existing comforting mood than forcing spicy when heat is not established.</x:v>
      </x:c>
      <x:c r="J13" s="38" t="str">
        <x:v>No global taxonomy change.</x:v>
      </x:c>
      <x:c r="K13" t="str">
        <x:v>APPLIED</x:v>
      </x:c>
    </x:row>
    <x:row r="14" ht="68" customHeight="1">
      <x:c r="A14" s="38" t="n">
        <x:v>2</x:v>
      </x:c>
      <x:c r="B14" s="38" t="str">
        <x:v>chicken-tikka</x:v>
      </x:c>
      <x:c r="C14" s="38" t="str">
        <x:v>Chicken Tikka</x:v>
      </x:c>
      <x:c r="D14" s="38" t="str">
        <x:v>RETAG NEEDED</x:v>
      </x:c>
      <x:c r="E14" s="38" t="str">
        <x:v>ADD</x:v>
      </x:c>
      <x:c r="F14" s="38" t="str">
        <x:v>tangy</x:v>
      </x:c>
      <x:c r="G14" s="38" t="str">
        <x:v>High</x:v>
      </x:c>
      <x:c r="H14" s="38" t="str">
        <x:v>The long description says the chicken is marinated with yogurt and citrus.</x:v>
      </x:c>
      <x:c r="I14" s="38" t="str">
        <x:v>Tangy is directly supported by the catalog text and is more precise than treating 'spices' as evidence of heat.</x:v>
      </x:c>
      <x:c r="J14" s="38" t="str">
        <x:v>No global taxonomy change.</x:v>
      </x:c>
      <x:c r="K14" t="str">
        <x:v>APPLIED</x:v>
      </x:c>
    </x:row>
    <x:row r="15" ht="68" customHeight="1">
      <x:c r="A15" s="38" t="n">
        <x:v>3</x:v>
      </x:c>
      <x:c r="B15" s="38" t="str">
        <x:v>jollof-rice</x:v>
      </x:c>
      <x:c r="C15" s="38" t="str">
        <x:v>Jollof Rice</x:v>
      </x:c>
      <x:c r="D15" s="38" t="str">
        <x:v>RETAG NEEDED</x:v>
      </x:c>
      <x:c r="E15" s="38" t="str">
        <x:v>ADD</x:v>
      </x:c>
      <x:c r="F15" s="38" t="str">
        <x:v>comforting</x:v>
      </x:c>
      <x:c r="G15" s="38" t="str">
        <x:v>Medium</x:v>
      </x:c>
      <x:c r="H15" s="38" t="str">
        <x:v>The catalog describes a West African one-pot rice dish with tomato, onions, peppers, spices, and optional protein.</x:v>
      </x:c>
      <x:c r="I15" s="38" t="str">
        <x:v>Product-fit inference: the one-pot rice format supports the comforting mood without assuming that every regional version is hot-spicy.</x:v>
      </x:c>
      <x:c r="J15" s="38" t="str">
        <x:v>No global taxonomy change.</x:v>
      </x:c>
      <x:c r="K15" t="str">
        <x:v>APPLIED</x:v>
      </x:c>
    </x:row>
    <x:row r="16" ht="68" customHeight="1">
      <x:c r="A16" s="38" t="n">
        <x:v>4</x:v>
      </x:c>
      <x:c r="B16" s="38" t="str">
        <x:v>thieboudienne</x:v>
      </x:c>
      <x:c r="C16" s="38" t="str">
        <x:v>Thieboudienne</x:v>
      </x:c>
      <x:c r="D16" s="38" t="str">
        <x:v>RETAG NEEDED</x:v>
      </x:c>
      <x:c r="E16" s="38" t="str">
        <x:v>ADD</x:v>
      </x:c>
      <x:c r="F16" s="38" t="str">
        <x:v>comforting</x:v>
      </x:c>
      <x:c r="G16" s="38" t="str">
        <x:v>Medium</x:v>
      </x:c>
      <x:c r="H16" s="38" t="str">
        <x:v>The catalog describes a Senegalese one-pot fish-and-rice dish with tomato sauce and vegetables.</x:v>
      </x:c>
      <x:c r="I16" s="38" t="str">
        <x:v>Product-fit inference: the substantial one-pot rice format is a cleaner match for comforting than using fresh only because herbs and vegetables are present.</x:v>
      </x:c>
      <x:c r="J16" s="38" t="str">
        <x:v>No global taxonomy change.</x:v>
      </x:c>
      <x:c r="K16" t="str">
        <x:v>APPLIED</x:v>
      </x:c>
    </x:row>
    <x:row r="17" ht="68" customHeight="1">
      <x:c r="A17" s="38" t="n">
        <x:v>5</x:v>
      </x:c>
      <x:c r="B17" s="38" t="str">
        <x:v>paella</x:v>
      </x:c>
      <x:c r="C17" s="38" t="str">
        <x:v>Paella</x:v>
      </x:c>
      <x:c r="D17" s="38" t="str">
        <x:v>RETAG NEEDED</x:v>
      </x:c>
      <x:c r="E17" s="38" t="str">
        <x:v>ADD</x:v>
      </x:c>
      <x:c r="F17" s="38" t="str">
        <x:v>comforting</x:v>
      </x:c>
      <x:c r="G17" s="38" t="str">
        <x:v>Medium</x:v>
      </x:c>
      <x:c r="H17" s="38" t="str">
        <x:v>The catalog describes a Valencian rice dish cooked in a wide pan with saffron, aromatics, and seafood, meat, vegetables, or combinations.</x:v>
      </x:c>
      <x:c r="I17" s="38" t="str">
        <x:v>Product-fit inference: comforting is the least misleading existing preference tag for a warm, substantial rice-centered meal; no single bright/fresh profile applies across all variants.</x:v>
      </x:c>
      <x:c r="J17" s="38" t="str">
        <x:v>No global taxonomy change; consider 'umami' only if Nom later expands beyond six preferences.</x:v>
      </x:c>
      <x:c r="K17" t="str">
        <x:v>APPLIED</x:v>
      </x:c>
    </x:row>
    <x:row r="18" ht="68" customHeight="1">
      <x:c r="A18" s="38" t="n">
        <x:v>6</x:v>
      </x:c>
      <x:c r="B18" s="38" t="str">
        <x:v>tandoori-chicken</x:v>
      </x:c>
      <x:c r="C18" s="38" t="str">
        <x:v>Tandoori Chicken</x:v>
      </x:c>
      <x:c r="D18" s="38" t="str">
        <x:v>RETAG NEEDED</x:v>
      </x:c>
      <x:c r="E18" s="38" t="str">
        <x:v>ADD</x:v>
      </x:c>
      <x:c r="F18" s="38" t="str">
        <x:v>tangy</x:v>
      </x:c>
      <x:c r="G18" s="38" t="str">
        <x:v>High</x:v>
      </x:c>
      <x:c r="H18" s="38" t="str">
        <x:v>The long description explicitly says the chicken is marinated in yogurt and citrus before roasting.</x:v>
      </x:c>
      <x:c r="I18" s="38" t="str">
        <x:v>Tangy is text-supported and avoids incorrectly equating aromatic spices with chile heat.</x:v>
      </x:c>
      <x:c r="J18" s="38" t="str">
        <x:v>No global taxonomy change.</x:v>
      </x:c>
      <x:c r="K18" t="str">
        <x:v>APPLIED</x:v>
      </x:c>
    </x:row>
    <x:row r="19" ht="68" customHeight="1">
      <x:c r="A19" s="38" t="n">
        <x:v>7</x:v>
      </x:c>
      <x:c r="B19" s="38" t="str">
        <x:v>empanadas</x:v>
      </x:c>
      <x:c r="C19" s="38" t="str">
        <x:v>Empanadas</x:v>
      </x:c>
      <x:c r="D19" s="38" t="str">
        <x:v>RETAG NEEDED</x:v>
      </x:c>
      <x:c r="E19" s="38" t="str">
        <x:v>ADD</x:v>
      </x:c>
      <x:c r="F19" s="38" t="str">
        <x:v>comforting</x:v>
      </x:c>
      <x:c r="G19" s="38" t="str">
        <x:v>Medium</x:v>
      </x:c>
      <x:c r="H19" s="38" t="str">
        <x:v>The catalog describes filled wheat-flour pastries with savory meat, cheese, or vegetable fillings that may be baked or fried.</x:v>
      </x:c>
      <x:c r="I19" s="38" t="str">
        <x:v>Product-fit inference: comforting works across both baked and fried variants, whereas crispy is not reliable for every empanada.</x:v>
      </x:c>
      <x:c r="J19" s="38" t="str">
        <x:v>No global taxonomy change.</x:v>
      </x:c>
      <x:c r="K19" t="str">
        <x:v>APPLIED</x:v>
      </x:c>
    </x:row>
    <x:row r="20" ht="68" customHeight="1">
      <x:c r="A20" s="38" t="n">
        <x:v>8</x:v>
      </x:c>
      <x:c r="B20" s="38" t="str">
        <x:v>momo</x:v>
      </x:c>
      <x:c r="C20" s="38" t="str">
        <x:v>Momo</x:v>
      </x:c>
      <x:c r="D20" s="38" t="str">
        <x:v>RETAG NEEDED</x:v>
      </x:c>
      <x:c r="E20" s="38" t="str">
        <x:v>ADD</x:v>
      </x:c>
      <x:c r="F20" s="38" t="str">
        <x:v>comforting</x:v>
      </x:c>
      <x:c r="G20" s="38" t="str">
        <x:v>Medium</x:v>
      </x:c>
      <x:c r="H20" s="38" t="str">
        <x:v>The catalog describes filled wheat-dough dumplings that are commonly steamed, with fried and soup versions also possible.</x:v>
      </x:c>
      <x:c r="I20" s="38" t="str">
        <x:v>Product-fit inference: comforting fits the soft filled-dumpling format across variants better than spicy, which depends on the sauce.</x:v>
      </x:c>
      <x:c r="J20" s="38" t="str">
        <x:v>No global taxonomy change.</x:v>
      </x:c>
      <x:c r="K20" t="str">
        <x:v>APPLIED</x:v>
      </x:c>
    </x:row>
    <x:row r="21" ht="68" customHeight="1">
      <x:c r="A21" s="38" t="n">
        <x:v>9</x:v>
      </x:c>
      <x:c r="B21" s="38" t="str">
        <x:v>manakish</x:v>
      </x:c>
      <x:c r="C21" s="38" t="str">
        <x:v>Manakish</x:v>
      </x:c>
      <x:c r="D21" s="38" t="str">
        <x:v>RETAG NEEDED</x:v>
      </x:c>
      <x:c r="E21" s="38" t="str">
        <x:v>ADD</x:v>
      </x:c>
      <x:c r="F21" s="38" t="str">
        <x:v>comforting</x:v>
      </x:c>
      <x:c r="G21" s="38" t="str">
        <x:v>Medium</x:v>
      </x:c>
      <x:c r="H21" s="38" t="str">
        <x:v>The catalog describes baked Levantine flatbreads topped with za'atar, cheese, or seasoned ground meat.</x:v>
      </x:c>
      <x:c r="I21" s="38" t="str">
        <x:v>Product-fit inference: a warm baked flatbread is consistently compatible with the comforting mood, while fresh varies heavily by topping.</x:v>
      </x:c>
      <x:c r="J21" s="38" t="str">
        <x:v>No global taxonomy change.</x:v>
      </x:c>
      <x:c r="K21" t="str">
        <x:v>APPLIED</x:v>
      </x:c>
    </x:row>
    <x:row r="22" ht="68" customHeight="1">
      <x:c r="A22" s="38" t="n">
        <x:v>10</x:v>
      </x:c>
      <x:c r="B22" s="38" t="str">
        <x:v>fideua</x:v>
      </x:c>
      <x:c r="C22" s="38" t="str">
        <x:v>Fideuà</x:v>
      </x:c>
      <x:c r="D22" s="38" t="str">
        <x:v>RETAG NEEDED</x:v>
      </x:c>
      <x:c r="E22" s="38" t="str">
        <x:v>ADD</x:v>
      </x:c>
      <x:c r="F22" s="38" t="str">
        <x:v>rich</x:v>
      </x:c>
      <x:c r="G22" s="38" t="str">
        <x:v>Medium</x:v>
      </x:c>
      <x:c r="H22" s="38" t="str">
        <x:v>The catalog says the short noodles are cooked in stock with seafood, fish, garlic, tomato, and other coastal ingredients.</x:v>
      </x:c>
      <x:c r="I22" s="38" t="str">
        <x:v>Product-fit inference: rich is the best existing V1 signal for the concentrated stock-and-seafood profile after removing an over-broad fresh tag.</x:v>
      </x:c>
      <x:c r="J22" s="38" t="str">
        <x:v>No global taxonomy change; 'umami' is a possible future preference if supported by user research.</x:v>
      </x:c>
      <x:c r="K22" t="str">
        <x:v>APPLIED</x:v>
      </x:c>
    </x:row>
    <x:row r="23" ht="68" customHeight="1">
      <x:c r="A23" s="38" t="n">
        <x:v>11</x:v>
      </x:c>
      <x:c r="B23" s="38" t="str">
        <x:v>onigiri</x:v>
      </x:c>
      <x:c r="C23" s="38" t="str">
        <x:v>Onigiri</x:v>
      </x:c>
      <x:c r="D23" s="38" t="str">
        <x:v>RETAG NEEDED</x:v>
      </x:c>
      <x:c r="E23" s="38" t="str">
        <x:v>ADD</x:v>
      </x:c>
      <x:c r="F23" s="38" t="str">
        <x:v>comforting</x:v>
      </x:c>
      <x:c r="G23" s="38" t="str">
        <x:v>Medium</x:v>
      </x:c>
      <x:c r="H23" s="38" t="str">
        <x:v>The catalog describes simple Japanese rice balls with fillings such as salmon, umeboshi, tuna, or kombu, eaten as a snack or light meal.</x:v>
      </x:c>
      <x:c r="I23" s="38" t="str">
        <x:v>Product-fit inference: comforting captures the simple rice-based format more reliably than fresh, which depends on the filling.</x:v>
      </x:c>
      <x:c r="J23" s="38" t="str">
        <x:v>No global taxonomy change.</x:v>
      </x:c>
      <x:c r="K23" t="str">
        <x:v>APPLIED</x:v>
      </x:c>
    </x:row>
    <x:row r="24" ht="68" customHeight="1">
      <x:c r="A24" s="38" t="n">
        <x:v>12</x:v>
      </x:c>
      <x:c r="B24" s="38" t="str">
        <x:v>kathi-roll</x:v>
      </x:c>
      <x:c r="C24" s="38" t="str">
        <x:v>Kathi Roll</x:v>
      </x:c>
      <x:c r="D24" s="38" t="str">
        <x:v>RETAG NEEDED</x:v>
      </x:c>
      <x:c r="E24" s="38" t="str">
        <x:v>ADD</x:v>
      </x:c>
      <x:c r="F24" s="38" t="str">
        <x:v>comforting</x:v>
      </x:c>
      <x:c r="G24" s="38" t="str">
        <x:v>Medium</x:v>
      </x:c>
      <x:c r="H24" s="38" t="str">
        <x:v>The catalog describes a paratha or flatbread wrapped around kebab-style meat, egg, paneer, onions, sauces, and spices.</x:v>
      </x:c>
      <x:c r="I24" s="38" t="str">
        <x:v>Product-fit inference: comforting is more stable across filling variations than spicy or crispy, both of which are optional in the current description.</x:v>
      </x:c>
      <x:c r="J24" s="38" t="str">
        <x:v>No global taxonomy change.</x:v>
      </x:c>
      <x:c r="K24" t="str">
        <x:v>APPLIED</x:v>
      </x:c>
    </x:row>
    <x:row r="25" ht="68" customHeight="1">
      <x:c r="A25" s="38" t="n">
        <x:v>13</x:v>
      </x:c>
      <x:c r="B25" s="38" t="str">
        <x:v>rolex</x:v>
      </x:c>
      <x:c r="C25" s="38" t="str">
        <x:v>Rolex</x:v>
      </x:c>
      <x:c r="D25" s="38" t="str">
        <x:v>RETAG NEEDED</x:v>
      </x:c>
      <x:c r="E25" s="38" t="str">
        <x:v>ADD</x:v>
      </x:c>
      <x:c r="F25" s="38" t="str">
        <x:v>comforting</x:v>
      </x:c>
      <x:c r="G25" s="38" t="str">
        <x:v>Medium</x:v>
      </x:c>
      <x:c r="H25" s="38" t="str">
        <x:v>The catalog describes chapati rolled around a cooked egg mixture with tomato, onion, cabbage, or other vegetables.</x:v>
      </x:c>
      <x:c r="I25" s="38" t="str">
        <x:v>Product-fit inference: the warm chapati-and-egg format supports comforting more consistently than fresh.</x:v>
      </x:c>
      <x:c r="J25" s="38" t="str">
        <x:v>No global taxonomy change.</x:v>
      </x:c>
      <x:c r="K25" t="str">
        <x:v>APPLIED</x:v>
      </x:c>
    </x:row>
    <x:row r="26" ht="68" customHeight="1">
      <x:c r="A26" s="38" t="n">
        <x:v>14</x:v>
      </x:c>
      <x:c r="B26" s="38" t="str">
        <x:v>sfiha</x:v>
      </x:c>
      <x:c r="C26" s="38" t="str">
        <x:v>Sfiha</x:v>
      </x:c>
      <x:c r="D26" s="38" t="str">
        <x:v>RETAG NEEDED</x:v>
      </x:c>
      <x:c r="E26" s="38" t="str">
        <x:v>ADD</x:v>
      </x:c>
      <x:c r="F26" s="38" t="str">
        <x:v>comforting</x:v>
      </x:c>
      <x:c r="G26" s="38" t="str">
        <x:v>Medium</x:v>
      </x:c>
      <x:c r="H26" s="38" t="str">
        <x:v>The catalog describes baked Levantine flatbread topped with seasoned minced meat, tomato, onion, herbs, and spices.</x:v>
      </x:c>
      <x:c r="I26" s="38" t="str">
        <x:v>Product-fit inference: comforting is more stable across variants than crispy or fresh, which were not consistent enough in the audit.</x:v>
      </x:c>
      <x:c r="J26" s="38" t="str">
        <x:v>No global taxonomy change.</x:v>
      </x:c>
      <x:c r="K26" t="str">
        <x:v>APPLIED</x:v>
      </x:c>
    </x:row>
    <x:row r="27" ht="68" customHeight="1">
      <x:c r="A27" s="38" t="n">
        <x:v>15</x:v>
      </x:c>
      <x:c r="B27" s="38" t="str">
        <x:v>baasto-iyo-suugo</x:v>
      </x:c>
      <x:c r="C27" s="38" t="str">
        <x:v>Baasto iyo Suugo</x:v>
      </x:c>
      <x:c r="D27" s="38" t="str">
        <x:v>RETAG NEEDED</x:v>
      </x:c>
      <x:c r="E27" s="38" t="str">
        <x:v>ADD</x:v>
      </x:c>
      <x:c r="F27" s="38" t="str">
        <x:v>comforting</x:v>
      </x:c>
      <x:c r="G27" s="38" t="str">
        <x:v>High</x:v>
      </x:c>
      <x:c r="H27" s="38" t="str">
        <x:v>The catalog describes Somali pasta served with a spiced tomato-based meat sauce.</x:v>
      </x:c>
      <x:c r="I27" s="38" t="str">
        <x:v>Product-fit inference: pasta with meat sauce is a strong fit for the comforting mood, while 'spiced' does not by itself justify spicy.</x:v>
      </x:c>
      <x:c r="J27" s="38" t="str">
        <x:v>No global taxonomy change.</x:v>
      </x:c>
      <x:c r="K27" t="str">
        <x:v>APPLIED</x:v>
      </x:c>
    </x:row>
    <x:row r="28" ht="68" customHeight="1">
      <x:c r="A28" s="38" t="n">
        <x:v>16</x:v>
      </x:c>
      <x:c r="B28" s="38" t="str">
        <x:v>moi-moi</x:v>
      </x:c>
      <x:c r="C28" s="38" t="str">
        <x:v>Moi Moi</x:v>
      </x:c>
      <x:c r="D28" s="38" t="str">
        <x:v>RETAG NEEDED</x:v>
      </x:c>
      <x:c r="E28" s="38" t="str">
        <x:v>ADD</x:v>
      </x:c>
      <x:c r="F28" s="38" t="str">
        <x:v>comforting</x:v>
      </x:c>
      <x:c r="G28" s="38" t="str">
        <x:v>Medium</x:v>
      </x:c>
      <x:c r="H28" s="38" t="str">
        <x:v>The catalog describes a steamed bean pudding made from black-eyed peas, peppers, onions, oil, and seasonings.</x:v>
      </x:c>
      <x:c r="I28" s="38" t="str">
        <x:v>Product-fit inference: the soft steamed, savory bean-based format fits comforting better than fresh.</x:v>
      </x:c>
      <x:c r="J28" s="38" t="str">
        <x:v>No global taxonomy change.</x:v>
      </x:c>
      <x:c r="K28" t="str">
        <x:v>APPLIED</x:v>
      </x:c>
    </x:row>
    <x:row r="29" ht="68" customHeight="1">
      <x:c r="A29" s="38" t="n">
        <x:v>17</x:v>
      </x:c>
      <x:c r="B29" s="38" t="str">
        <x:v>arroz-de-marisco</x:v>
      </x:c>
      <x:c r="C29" s="38" t="str">
        <x:v>Arroz de Marisco</x:v>
      </x:c>
      <x:c r="D29" s="38" t="str">
        <x:v>RETAG NEEDED</x:v>
      </x:c>
      <x:c r="E29" s="38" t="str">
        <x:v>ADD</x:v>
      </x:c>
      <x:c r="F29" s="38" t="str">
        <x:v>rich</x:v>
      </x:c>
      <x:c r="G29" s="38" t="str">
        <x:v>High</x:v>
      </x:c>
      <x:c r="H29" s="38" t="str">
        <x:v>The catalog describes Portuguese seafood rice cooked loose and saucy in flavorful seafood broth with tomato, aromatics, herbs, and shellfish.</x:v>
      </x:c>
      <x:c r="I29" s="38" t="str">
        <x:v>Rich is supported by the saucy, broth-concentrated seafood preparation and is a better existing signal than fresh.</x:v>
      </x:c>
      <x:c r="J29" s="38" t="str">
        <x:v>No global taxonomy change.</x:v>
      </x:c>
      <x:c r="K29" t="str">
        <x:v>APPLIED</x:v>
      </x:c>
    </x:row>
    <x:row r="30" ht="68" customHeight="1">
      <x:c r="A30" s="38" t="n">
        <x:v>18</x:v>
      </x:c>
      <x:c r="B30" s="38" t="str">
        <x:v>arroz-negro</x:v>
      </x:c>
      <x:c r="C30" s="38" t="str">
        <x:v>Arroz Negro</x:v>
      </x:c>
      <x:c r="D30" s="38" t="str">
        <x:v>RETAG NEEDED</x:v>
      </x:c>
      <x:c r="E30" s="38" t="str">
        <x:v>ADD</x:v>
      </x:c>
      <x:c r="F30" s="38" t="str">
        <x:v>rich</x:v>
      </x:c>
      <x:c r="G30" s="38" t="str">
        <x:v>Medium</x:v>
      </x:c>
      <x:c r="H30" s="38" t="str">
        <x:v>The catalog describes rice flavored with squid or cuttlefish ink, seafood, stock, tomato, garlic, and other aromatics.</x:v>
      </x:c>
      <x:c r="I30" s="38" t="str">
        <x:v>Product-fit inference: rich is the closest existing V1 preference for the concentrated seafood-and-ink profile; fresh was too generic.</x:v>
      </x:c>
      <x:c r="J30" s="38" t="str">
        <x:v>No global taxonomy change; 'umami' could be evaluated later if the preference set expands.</x:v>
      </x:c>
      <x:c r="K30" t="str">
        <x:v>APPLIED</x:v>
      </x:c>
    </x:row>
    <x:row r="31" ht="68" customHeight="1">
      <x:c r="A31" s="38" t="n">
        <x:v>19</x:v>
      </x:c>
      <x:c r="B31" s="38" t="str">
        <x:v>lumpia</x:v>
      </x:c>
      <x:c r="C31" s="38" t="str">
        <x:v>Lumpia</x:v>
      </x:c>
      <x:c r="D31" s="38" t="str">
        <x:v>VARIANT SPLIT / RETAG</x:v>
      </x:c>
      <x:c r="E31" s="38" t="str">
        <x:v>SPLIT</x:v>
      </x:c>
      <x:c r="F31" s="38" t="str">
        <x:v>crispy / fresh</x:v>
      </x:c>
      <x:c r="G31" s="38" t="str">
        <x:v>High</x:v>
      </x:c>
      <x:c r="H31" s="38" t="str">
        <x:v>The catalog explicitly combines fried lumpia, which are crisp, with fresh lumpia, which use softer wrappers and vegetable-forward fillings.</x:v>
      </x:c>
      <x:c r="I31" s="38" t="str">
        <x:v>One row cannot truthfully represent both experiences with one preference profile. Split the catalog entry so recommendations remain accurate.</x:v>
      </x:c>
      <x:c r="J31" s="38" t="str">
        <x:v>Create separate variants: Fried Lumpia → crispy; Fresh Lumpia → fresh.</x:v>
      </x:c>
      <x:c r="K31" t="str">
        <x:v>SPLIT APPLIED</x:v>
      </x:c>
    </x:row>
    <x:row r="34">
      <x:c r="A34" s="139" t="str">
        <x:v>V1 taxonomy recommendation: keep the six discovery preference flavors unchanged. Resolve these edge cases by selectively re-adding comforting/rich/tangy and by splitting Lumpia. Do not add 'savory' as a preference: it is already a descriptor and would match too much of the catalog to be discriminative. If future user research shows demand for another preference, 'umami' is the clearest candidate because it already exists in the descriptor vocabulary.</x:v>
      </x:c>
      <x:c r="B34" s="139"/>
      <x:c r="C34" s="139"/>
      <x:c r="D34" s="139"/>
      <x:c r="E34" s="139"/>
      <x:c r="F34" s="139"/>
      <x:c r="G34" s="139"/>
      <x:c r="H34" s="139"/>
      <x:c r="I34" s="139"/>
      <x:c r="J34" s="139"/>
    </x:row>
    <x:row r="35">
      <x:c r="A35" s="139"/>
      <x:c r="B35" s="139"/>
      <x:c r="C35" s="139"/>
      <x:c r="D35" s="139"/>
      <x:c r="E35" s="139"/>
      <x:c r="F35" s="139"/>
      <x:c r="G35" s="139"/>
      <x:c r="H35" s="139"/>
      <x:c r="I35" s="139"/>
      <x:c r="J35" s="139"/>
    </x:row>
    <x:row r="36">
      <x:c r="A36" s="139"/>
      <x:c r="B36" s="139"/>
      <x:c r="C36" s="139"/>
      <x:c r="D36" s="139"/>
      <x:c r="E36" s="139"/>
      <x:c r="F36" s="139"/>
      <x:c r="G36" s="139"/>
      <x:c r="H36" s="139"/>
      <x:c r="I36" s="139"/>
      <x:c r="J36" s="139"/>
    </x:row>
  </x:sheetData>
  <x:mergeCells>
    <x:mergeCell ref="A1:J1"/>
    <x:mergeCell ref="A2:J2"/>
    <x:mergeCell ref="A34:J36"/>
  </x:mergeCells>
  <x:conditionalFormatting sqref="E13:E31">
    <x:cfRule type="expression" dxfId="37" priority="1">
      <x:formula>E13="ADD"</x:formula>
    </x:cfRule>
    <x:cfRule type="expression" dxfId="38" priority="2">
      <x:formula>E13="SPLIT"</x:formula>
    </x:cfRule>
  </x:conditionalFormatting>
  <x:conditionalFormatting sqref="G13:G31">
    <x:cfRule type="expression" dxfId="39" priority="3">
      <x:formula>G13="High"</x:formula>
    </x:cfRule>
  </x:conditionalFormatting>
  <x:conditionalFormatting sqref="K13:K31">
    <x:cfRule type="expression" dxfId="40" priority="4">
      <x:formula>K13="APPLIED"</x:formula>
    </x:cfRule>
    <x:cfRule type="expression" dxfId="41" priority="5">
      <x:formula>K13="SPLIT APPLIED"</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7" hidden="0" customWidth="1"/>
    <x:col min="2" max="2" width="24" hidden="0" customWidth="1"/>
    <x:col min="3" max="3" width="24" hidden="0" customWidth="1"/>
    <x:col min="4" max="4" width="28" hidden="0" customWidth="1"/>
    <x:col min="5" max="5" width="12" hidden="0" customWidth="1"/>
    <x:col min="6" max="6" width="20" hidden="0" customWidth="1"/>
    <x:col min="7" max="7" width="20" hidden="0" customWidth="1"/>
    <x:col min="8" max="8" width="15" hidden="0" customWidth="1"/>
    <x:col min="9" max="9" width="15" hidden="0" customWidth="1"/>
    <x:col min="10" max="10" width="15" hidden="0" customWidth="1"/>
    <x:col min="11" max="11" width="16" hidden="0" customWidth="1"/>
    <x:col min="12" max="12" width="16" hidden="0" customWidth="1"/>
    <x:col min="13" max="13" width="16" hidden="0" customWidth="1"/>
    <x:col min="14" max="14" width="16" hidden="0" customWidth="1"/>
    <x:col min="15" max="15" width="16" hidden="0" customWidth="1"/>
    <x:col min="16" max="16" width="45" hidden="0" customWidth="1"/>
    <x:col min="17" max="17" width="70" hidden="0" customWidth="1"/>
    <x:col min="18" max="18" width="16" hidden="0" customWidth="1"/>
    <x:col min="19" max="19" width="70" hidden="0" customWidth="1"/>
    <x:col min="20" max="20" width="20" hidden="0" customWidth="1"/>
    <x:col min="21" max="21" width="34" hidden="0" customWidth="1"/>
    <x:col min="22" max="22" width="18" hidden="0" customWidth="1"/>
  </x:cols>
  <x:sheetData>
    <x:row r="1" ht="28" customHeight="1">
      <x:c r="A1" s="150" t="str">
        <x:v>Nom Retag Backup — Exact Pre-Change Rows for 19 Resolutions</x:v>
      </x:c>
      <x:c r="B1" s="150"/>
      <x:c r="C1" s="150"/>
      <x:c r="D1" s="150"/>
      <x:c r="E1" s="150"/>
      <x:c r="F1" s="150"/>
      <x:c r="G1" s="150"/>
      <x:c r="H1" s="150"/>
      <x:c r="I1" s="150"/>
      <x:c r="J1" s="150"/>
      <x:c r="K1" s="150"/>
      <x:c r="L1" s="150"/>
      <x:c r="M1" s="150"/>
      <x:c r="N1" s="150"/>
      <x:c r="O1" s="150"/>
      <x:c r="P1" s="150"/>
      <x:c r="Q1" s="150"/>
      <x:c r="R1" s="150"/>
      <x:c r="S1" s="150"/>
      <x:c r="T1" s="150"/>
      <x:c r="U1" s="150"/>
      <x:c r="V1" s="150"/>
    </x:row>
    <x:row r="2" ht="44" customHeight="1">
      <x:c r="A2" s="154" t="str">
        <x:v>Exact Dishes-row state immediately before applying the 18 replacement tags and splitting Lumpia. This sheet preserves the original flavor1/flavor2/flavor3 values and the complete original catalog row for rollback.</x:v>
      </x:c>
      <x:c r="B2" s="154"/>
      <x:c r="C2" s="154"/>
      <x:c r="D2" s="154"/>
      <x:c r="E2" s="154"/>
      <x:c r="F2" s="154"/>
      <x:c r="G2" s="154"/>
      <x:c r="H2" s="154"/>
      <x:c r="I2" s="154"/>
      <x:c r="J2" s="154"/>
      <x:c r="K2" s="154"/>
      <x:c r="L2" s="154"/>
      <x:c r="M2" s="154"/>
      <x:c r="N2" s="154"/>
      <x:c r="O2" s="154"/>
      <x:c r="P2" s="154"/>
      <x:c r="Q2" s="154"/>
      <x:c r="R2" s="154"/>
      <x:c r="S2" s="154"/>
      <x:c r="T2" s="154"/>
      <x:c r="U2" s="154"/>
      <x:c r="V2" s="154"/>
    </x:row>
    <x:row r="4" ht="32" customHeight="1">
      <x:c r="A4" s="147" t="str">
        <x:v>case #</x:v>
      </x:c>
      <x:c r="B4" s="147" t="str">
        <x:v>id</x:v>
      </x:c>
      <x:c r="C4" s="147" t="str">
        <x:v>name</x:v>
      </x:c>
      <x:c r="D4" s="147" t="str">
        <x:v>aliases</x:v>
      </x:c>
      <x:c r="E4" s="147" t="str">
        <x:v>countryCode</x:v>
      </x:c>
      <x:c r="F4" s="147" t="str">
        <x:v>region</x:v>
      </x:c>
      <x:c r="G4" s="147" t="str">
        <x:v>foodType</x:v>
      </x:c>
      <x:c r="H4" s="147" t="str">
        <x:v>flavor1</x:v>
      </x:c>
      <x:c r="I4" s="147" t="str">
        <x:v>flavor2</x:v>
      </x:c>
      <x:c r="J4" s="147" t="str">
        <x:v>flavor3</x:v>
      </x:c>
      <x:c r="K4" s="147" t="str">
        <x:v>descriptor1</x:v>
      </x:c>
      <x:c r="L4" s="147" t="str">
        <x:v>descriptor2</x:v>
      </x:c>
      <x:c r="M4" s="147" t="str">
        <x:v>descriptor3</x:v>
      </x:c>
      <x:c r="N4" s="147" t="str">
        <x:v>descriptor4</x:v>
      </x:c>
      <x:c r="O4" s="147" t="str">
        <x:v>adventureLevel</x:v>
      </x:c>
      <x:c r="P4" s="147" t="str">
        <x:v>shortDescription</x:v>
      </x:c>
      <x:c r="Q4" s="147" t="str">
        <x:v>description</x:v>
      </x:c>
      <x:c r="R4" s="147" t="str">
        <x:v>reviewStatus</x:v>
      </x:c>
      <x:c r="S4" s="147" t="str">
        <x:v>notes</x:v>
      </x:c>
      <x:c r="T4" s="147" t="str">
        <x:v>resolution action</x:v>
      </x:c>
      <x:c r="U4" s="147" t="str">
        <x:v>replacement / result</x:v>
      </x:c>
      <x:c r="V4" s="147" t="str">
        <x:v>original source row</x:v>
      </x:c>
    </x:row>
    <x:row r="5" ht="54" customHeight="1">
      <x:c r="A5" s="38" t="n">
        <x:v>1</x:v>
      </x:c>
      <x:c r="B5" s="38" t="str">
        <x:v>jambalaya</x:v>
      </x:c>
      <x:c r="C5" s="38" t="str">
        <x:v>Jambalaya</x:v>
      </x:c>
      <x:c r="D5" s="38"/>
      <x:c r="E5" s="38" t="str">
        <x:v>US</x:v>
      </x:c>
      <x:c r="F5" s="38" t="str">
        <x:v>north-america</x:v>
      </x:c>
      <x:c r="G5" s="38" t="str">
        <x:v>rice</x:v>
      </x:c>
      <x:c r="H5" s="38" t="str">
        <x:v>spicy</x:v>
      </x:c>
      <x:c r="I5" s="38"/>
      <x:c r="J5" s="38"/>
      <x:c r="K5" s="38" t="str">
        <x:v>savory</x:v>
      </x:c>
      <x:c r="L5" s="38" t="str">
        <x:v>smoky</x:v>
      </x:c>
      <x:c r="M5" s="38" t="str">
        <x:v>aromatic</x:v>
      </x:c>
      <x:c r="N5" s="38"/>
      <x:c r="O5" s="38" t="n">
        <x:v>1</x:v>
      </x:c>
      <x:c r="P5" s="38" t="str">
        <x:v>Louisiana rice cooked with meat or seafood, vegetables, stock, and spices.</x:v>
      </x:c>
      <x:c r="Q5" s="38" t="str">
        <x:v>Jambalaya is a Louisiana rice dish combining rice with meat or seafood, vegetables, stock, and seasonings. It developed through African, Spanish, and French culinary influences in the region.</x:v>
      </x:c>
      <x:c r="R5" s="38" t="str">
        <x:v>needs-review</x:v>
      </x:c>
      <x:c r="S5" s="38" t="str">
        <x:v>New batch candidate. Variants differ widely between Creole and Cajun traditions.</x:v>
      </x:c>
      <x:c r="T5" s="38" t="str">
        <x:v>REPLACE TAGS</x:v>
      </x:c>
      <x:c r="U5" s="38" t="str">
        <x:v>comforting</x:v>
      </x:c>
      <x:c r="V5" s="38" t="n">
        <x:v>28</x:v>
      </x:c>
    </x:row>
    <x:row r="6" ht="54" customHeight="1">
      <x:c r="A6" s="38" t="n">
        <x:v>2</x:v>
      </x:c>
      <x:c r="B6" s="38" t="str">
        <x:v>chicken-tikka</x:v>
      </x:c>
      <x:c r="C6" s="38" t="str">
        <x:v>Chicken Tikka</x:v>
      </x:c>
      <x:c r="D6" s="38"/>
      <x:c r="E6" s="38" t="str">
        <x:v>IN</x:v>
      </x:c>
      <x:c r="F6" s="38" t="str">
        <x:v>south-asia</x:v>
      </x:c>
      <x:c r="G6" s="38" t="str">
        <x:v>grilled-protein</x:v>
      </x:c>
      <x:c r="H6" s="38" t="str">
        <x:v>spicy</x:v>
      </x:c>
      <x:c r="I6" s="38"/>
      <x:c r="J6" s="38"/>
      <x:c r="K6" s="38" t="str">
        <x:v>savory</x:v>
      </x:c>
      <x:c r="L6" s="38" t="str">
        <x:v>smoky</x:v>
      </x:c>
      <x:c r="M6" s="38" t="str">
        <x:v>charred</x:v>
      </x:c>
      <x:c r="N6" s="38"/>
      <x:c r="O6" s="38" t="n">
        <x:v>1</x:v>
      </x:c>
      <x:c r="P6" s="38" t="str">
        <x:v>Yogurt-and-spice marinated chicken pieces cooked over high heat, often in a tandoor.</x:v>
      </x:c>
      <x:c r="Q6" s="38" t="str">
        <x:v>Chicken tikka consists of boneless chicken pieces marinated with yogurt, spices, ginger, garlic, and citrus, then cooked at high heat, traditionally in a tandoor. It is tender, aromatic, and lightly charred.</x:v>
      </x:c>
      <x:c r="R6" s="38" t="str">
        <x:v>needs-review</x:v>
      </x:c>
      <x:c r="S6" s="38" t="str">
        <x:v>Batch 2 candidate. The dish spans Indian, Pakistani, and Bangladeshi traditions; country code uses India for catalog grouping.</x:v>
      </x:c>
      <x:c r="T6" s="38" t="str">
        <x:v>REPLACE TAGS</x:v>
      </x:c>
      <x:c r="U6" s="38" t="str">
        <x:v>tangy</x:v>
      </x:c>
      <x:c r="V6" s="38" t="n">
        <x:v>35</x:v>
      </x:c>
    </x:row>
    <x:row r="7" ht="54" customHeight="1">
      <x:c r="A7" s="38" t="n">
        <x:v>3</x:v>
      </x:c>
      <x:c r="B7" s="38" t="str">
        <x:v>jollof-rice</x:v>
      </x:c>
      <x:c r="C7" s="38" t="str">
        <x:v>Jollof Rice</x:v>
      </x:c>
      <x:c r="D7" s="38"/>
      <x:c r="E7" s="38" t="str">
        <x:v>SN</x:v>
      </x:c>
      <x:c r="F7" s="38" t="str">
        <x:v>africa</x:v>
      </x:c>
      <x:c r="G7" s="38" t="str">
        <x:v>rice</x:v>
      </x:c>
      <x:c r="H7" s="38" t="str">
        <x:v>spicy</x:v>
      </x:c>
      <x:c r="I7" s="38"/>
      <x:c r="J7" s="38"/>
      <x:c r="K7" s="38" t="str">
        <x:v>savory</x:v>
      </x:c>
      <x:c r="L7" s="38" t="str">
        <x:v>smoky</x:v>
      </x:c>
      <x:c r="M7" s="38" t="str">
        <x:v>aromatic</x:v>
      </x:c>
      <x:c r="N7" s="38"/>
      <x:c r="O7" s="38" t="n">
        <x:v>2</x:v>
      </x:c>
      <x:c r="P7" s="38" t="str">
        <x:v>West African tomato-and-pepper rice cooked with aromatics, spices, and optional meat or vegetables.</x:v>
      </x:c>
      <x:c r="Q7" s="38" t="str">
        <x:v>Jollof rice is a West African one-pot rice dish built around tomatoes, onions, peppers, spices, and oil, with many regional variations using vegetables, meat, or seafood. Senegal is one of the dish's historic centers.</x:v>
      </x:c>
      <x:c r="R7" s="38" t="str">
        <x:v>needs-review</x:v>
      </x:c>
      <x:c r="S7" s="38" t="str">
        <x:v>Batch 2 candidate. Strong regional claims are contested; country code uses Senegal while noting broad West African ownership and variation.</x:v>
      </x:c>
      <x:c r="T7" s="38" t="str">
        <x:v>REPLACE TAGS</x:v>
      </x:c>
      <x:c r="U7" s="38" t="str">
        <x:v>comforting</x:v>
      </x:c>
      <x:c r="V7" s="38" t="n">
        <x:v>40</x:v>
      </x:c>
    </x:row>
    <x:row r="8" ht="54" customHeight="1">
      <x:c r="A8" s="38" t="n">
        <x:v>4</x:v>
      </x:c>
      <x:c r="B8" s="38" t="str">
        <x:v>thieboudienne</x:v>
      </x:c>
      <x:c r="C8" s="38" t="str">
        <x:v>Thieboudienne</x:v>
      </x:c>
      <x:c r="D8" s="38" t="str">
        <x:v>Ceebu Jën|Tiep</x:v>
      </x:c>
      <x:c r="E8" s="38" t="str">
        <x:v>SN</x:v>
      </x:c>
      <x:c r="F8" s="38" t="str">
        <x:v>africa</x:v>
      </x:c>
      <x:c r="G8" s="38" t="str">
        <x:v>rice</x:v>
      </x:c>
      <x:c r="H8" s="38" t="str">
        <x:v>fresh</x:v>
      </x:c>
      <x:c r="I8" s="38"/>
      <x:c r="J8" s="38"/>
      <x:c r="K8" s="38" t="str">
        <x:v>savory</x:v>
      </x:c>
      <x:c r="L8" s="38" t="str">
        <x:v>aromatic</x:v>
      </x:c>
      <x:c r="M8" s="38"/>
      <x:c r="N8" s="38"/>
      <x:c r="O8" s="38" t="n">
        <x:v>3</x:v>
      </x:c>
      <x:c r="P8" s="38" t="str">
        <x:v>Senegalese fish and rice cooked with tomato, vegetables, herbs, and peppers in one pot.</x:v>
      </x:c>
      <x:c r="Q8" s="38" t="str">
        <x:v>Thieboudienne, also called ceebu jën, is a Senegalese one-pot dish of fish, broken rice, tomato sauce, and vegetables. Garlic, herbs, peppers, and seasonal vegetables give it a layered, aromatic character.</x:v>
      </x:c>
      <x:c r="R8" s="38" t="str">
        <x:v>needs-review</x:v>
      </x:c>
      <x:c r="S8" s="38" t="str">
        <x:v>Batch 2 candidate. Senegalese national dish with regional variations across West Africa.</x:v>
      </x:c>
      <x:c r="T8" s="38" t="str">
        <x:v>REPLACE TAGS</x:v>
      </x:c>
      <x:c r="U8" s="38" t="str">
        <x:v>comforting</x:v>
      </x:c>
      <x:c r="V8" s="38" t="n">
        <x:v>43</x:v>
      </x:c>
    </x:row>
    <x:row r="9" ht="54" customHeight="1">
      <x:c r="A9" s="38" t="n">
        <x:v>5</x:v>
      </x:c>
      <x:c r="B9" s="38" t="str">
        <x:v>paella</x:v>
      </x:c>
      <x:c r="C9" s="38" t="str">
        <x:v>Paella</x:v>
      </x:c>
      <x:c r="D9" s="38"/>
      <x:c r="E9" s="38" t="str">
        <x:v>ES</x:v>
      </x:c>
      <x:c r="F9" s="38" t="str">
        <x:v>europe</x:v>
      </x:c>
      <x:c r="G9" s="38" t="str">
        <x:v>rice</x:v>
      </x:c>
      <x:c r="H9" s="38" t="str">
        <x:v>fresh</x:v>
      </x:c>
      <x:c r="I9" s="38"/>
      <x:c r="J9" s="38"/>
      <x:c r="K9" s="38" t="str">
        <x:v>savory</x:v>
      </x:c>
      <x:c r="L9" s="38" t="str">
        <x:v>aromatic</x:v>
      </x:c>
      <x:c r="M9" s="38"/>
      <x:c r="N9" s="38"/>
      <x:c r="O9" s="38" t="n">
        <x:v>1</x:v>
      </x:c>
      <x:c r="P9" s="38" t="str">
        <x:v>Spanish rice cooked in a wide pan with saffron, vegetables, and seafood or meat.</x:v>
      </x:c>
      <x:c r="Q9" s="38" t="str">
        <x:v>Paella is a Valencian rice dish cooked in a broad shallow pan, traditionally seasoned with ingredients such as saffron and local aromatics. Major variations feature seafood, meats, vegetables, or combinations.</x:v>
      </x:c>
      <x:c r="R9" s="38" t="str">
        <x:v>needs-review</x:v>
      </x:c>
      <x:c r="S9" s="38" t="str">
        <x:v>Batch 2 candidate. Country code uses Spain; origins are specifically Valencian.</x:v>
      </x:c>
      <x:c r="T9" s="38" t="str">
        <x:v>REPLACE TAGS</x:v>
      </x:c>
      <x:c r="U9" s="38" t="str">
        <x:v>comforting</x:v>
      </x:c>
      <x:c r="V9" s="38" t="n">
        <x:v>44</x:v>
      </x:c>
    </x:row>
    <x:row r="10" ht="54" customHeight="1">
      <x:c r="A10" s="38" t="n">
        <x:v>6</x:v>
      </x:c>
      <x:c r="B10" s="38" t="str">
        <x:v>tandoori-chicken</x:v>
      </x:c>
      <x:c r="C10" s="38" t="str">
        <x:v>Tandoori Chicken</x:v>
      </x:c>
      <x:c r="D10" s="38"/>
      <x:c r="E10" s="38" t="str">
        <x:v>IN</x:v>
      </x:c>
      <x:c r="F10" s="38" t="str">
        <x:v>south-asia</x:v>
      </x:c>
      <x:c r="G10" s="38" t="str">
        <x:v>grilled-protein</x:v>
      </x:c>
      <x:c r="H10" s="38" t="str">
        <x:v>spicy</x:v>
      </x:c>
      <x:c r="I10" s="38"/>
      <x:c r="J10" s="38"/>
      <x:c r="K10" s="38" t="str">
        <x:v>smoky</x:v>
      </x:c>
      <x:c r="L10" s="38" t="str">
        <x:v>charred</x:v>
      </x:c>
      <x:c r="M10" s="38" t="str">
        <x:v>aromatic</x:v>
      </x:c>
      <x:c r="N10" s="38"/>
      <x:c r="O10" s="38" t="n">
        <x:v>1</x:v>
      </x:c>
      <x:c r="P10" s="38" t="str">
        <x:v>Yogurt-and-spice marinated chicken roasted at high heat in a tandoor.</x:v>
      </x:c>
      <x:c r="Q10" s="38" t="str">
        <x:v>Tandoori chicken is marinated in yogurt, citrus, and spices before being roasted at high heat in a cylindrical clay tandoor. The intense heat creates a charred exterior while the marinade keeps the meat flavorful and tender.</x:v>
      </x:c>
      <x:c r="R10" s="38" t="str">
        <x:v>needs-review</x:v>
      </x:c>
      <x:c r="S10" s="38" t="str">
        <x:v>Batch 3 candidate. Spiciness varies by marinade and serving style.</x:v>
      </x:c>
      <x:c r="T10" s="38" t="str">
        <x:v>REPLACE TAGS</x:v>
      </x:c>
      <x:c r="U10" s="38" t="str">
        <x:v>tangy</x:v>
      </x:c>
      <x:c r="V10" s="38" t="n">
        <x:v>65</x:v>
      </x:c>
    </x:row>
    <x:row r="11" ht="54" customHeight="1">
      <x:c r="A11" s="38" t="n">
        <x:v>7</x:v>
      </x:c>
      <x:c r="B11" s="38" t="str">
        <x:v>empanadas</x:v>
      </x:c>
      <x:c r="C11" s="38" t="str">
        <x:v>Empanadas</x:v>
      </x:c>
      <x:c r="D11" s="38" t="str">
        <x:v>Empanada</x:v>
      </x:c>
      <x:c r="E11" s="38" t="str">
        <x:v>AR</x:v>
      </x:c>
      <x:c r="F11" s="38" t="str">
        <x:v>latin-america</x:v>
      </x:c>
      <x:c r="G11" s="38" t="str">
        <x:v>handheld</x:v>
      </x:c>
      <x:c r="H11" s="38" t="str">
        <x:v>crispy</x:v>
      </x:c>
      <x:c r="I11" s="38"/>
      <x:c r="J11" s="38"/>
      <x:c r="K11" s="38" t="str">
        <x:v>savory</x:v>
      </x:c>
      <x:c r="L11" s="38" t="str">
        <x:v>juicy</x:v>
      </x:c>
      <x:c r="M11" s="38"/>
      <x:c r="N11" s="38"/>
      <x:c r="O11" s="38" t="n">
        <x:v>1</x:v>
      </x:c>
      <x:c r="P11" s="38" t="str">
        <x:v>Filled pastries baked or fried with meat, cheese, vegetables, or other regional fillings.</x:v>
      </x:c>
      <x:c r="Q11" s="38" t="str">
        <x:v>Empanadas are filled pastries found across Latin America and Spain. Argentine versions commonly use a wheat-flour dough folded around savory fillings such as seasoned beef, chicken, cheese, or vegetables before baking or frying.</x:v>
      </x:c>
      <x:c r="R11" s="38" t="str">
        <x:v>needs-review</x:v>
      </x:c>
      <x:c r="S11" s="38" t="str">
        <x:v>Batch 3 candidate. Broad regional dish; Argentina is used for catalog grouping.</x:v>
      </x:c>
      <x:c r="T11" s="38" t="str">
        <x:v>REPLACE TAGS</x:v>
      </x:c>
      <x:c r="U11" s="38" t="str">
        <x:v>comforting</x:v>
      </x:c>
      <x:c r="V11" s="38" t="n">
        <x:v>76</x:v>
      </x:c>
    </x:row>
    <x:row r="12" ht="54" customHeight="1">
      <x:c r="A12" s="38" t="n">
        <x:v>8</x:v>
      </x:c>
      <x:c r="B12" s="38" t="str">
        <x:v>momo</x:v>
      </x:c>
      <x:c r="C12" s="38" t="str">
        <x:v>Momo</x:v>
      </x:c>
      <x:c r="D12" s="38" t="str">
        <x:v>Momos</x:v>
      </x:c>
      <x:c r="E12" s="38" t="str">
        <x:v>NP</x:v>
      </x:c>
      <x:c r="F12" s="38" t="str">
        <x:v>south-asia</x:v>
      </x:c>
      <x:c r="G12" s="38" t="str">
        <x:v>handheld</x:v>
      </x:c>
      <x:c r="H12" s="38" t="str">
        <x:v>spicy</x:v>
      </x:c>
      <x:c r="I12" s="38"/>
      <x:c r="J12" s="38"/>
      <x:c r="K12" s="38" t="str">
        <x:v>savory</x:v>
      </x:c>
      <x:c r="L12" s="38" t="str">
        <x:v>juicy</x:v>
      </x:c>
      <x:c r="M12" s="38" t="str">
        <x:v>tender</x:v>
      </x:c>
      <x:c r="N12" s="38"/>
      <x:c r="O12" s="38" t="n">
        <x:v>2</x:v>
      </x:c>
      <x:c r="P12" s="38" t="str">
        <x:v>Tibetan and Nepali filled dumplings steamed, pan-fried, or served in spicy sauces.</x:v>
      </x:c>
      <x:c r="Q12" s="38" t="str">
        <x:v>Momos are filled dumplings central to Tibetan and Nepali food traditions and widely eaten across the Himalayan region. Meat or vegetable fillings are wrapped in wheat dough and commonly steamed, though fried and soup versions also exist.</x:v>
      </x:c>
      <x:c r="R12" s="38" t="str">
        <x:v>needs-review</x:v>
      </x:c>
      <x:c r="S12" s="38" t="str">
        <x:v>Batch 5 candidate. Nepal used for catalog grouping while acknowledging Tibetan and wider Himalayan traditions.</x:v>
      </x:c>
      <x:c r="T12" s="38" t="str">
        <x:v>REPLACE TAGS</x:v>
      </x:c>
      <x:c r="U12" s="38" t="str">
        <x:v>comforting</x:v>
      </x:c>
      <x:c r="V12" s="38" t="n">
        <x:v>111</x:v>
      </x:c>
    </x:row>
    <x:row r="13" ht="54" customHeight="1">
      <x:c r="A13" s="38" t="n">
        <x:v>9</x:v>
      </x:c>
      <x:c r="B13" s="38" t="str">
        <x:v>manakish</x:v>
      </x:c>
      <x:c r="C13" s="38" t="str">
        <x:v>Manakish</x:v>
      </x:c>
      <x:c r="D13" s="38" t="str">
        <x:v>Manaqish|Manakeesh|Man'ousheh</x:v>
      </x:c>
      <x:c r="E13" s="38" t="str">
        <x:v>LB</x:v>
      </x:c>
      <x:c r="F13" s="38" t="str">
        <x:v>middle-east</x:v>
      </x:c>
      <x:c r="G13" s="38" t="str">
        <x:v>handheld</x:v>
      </x:c>
      <x:c r="H13" s="38" t="str">
        <x:v>fresh</x:v>
      </x:c>
      <x:c r="I13" s="38"/>
      <x:c r="J13" s="38"/>
      <x:c r="K13" s="38" t="str">
        <x:v>savory</x:v>
      </x:c>
      <x:c r="L13" s="38" t="str">
        <x:v>herbal</x:v>
      </x:c>
      <x:c r="M13" s="38" t="str">
        <x:v>aromatic</x:v>
      </x:c>
      <x:c r="N13" s="38"/>
      <x:c r="O13" s="38" t="n">
        <x:v>1</x:v>
      </x:c>
      <x:c r="P13" s="38" t="str">
        <x:v>Levantine flatbread baked with za'atar, cheese, or seasoned meat toppings.</x:v>
      </x:c>
      <x:c r="Q13" s="38" t="str">
        <x:v>Manakish are Levantine flatbreads topped before baking with ingredients such as za'atar, cheese, or seasoned ground meat. They are commonly eaten for breakfast or lunch and may be sliced or folded for eating.</x:v>
      </x:c>
      <x:c r="R13" s="38" t="str">
        <x:v>needs-review</x:v>
      </x:c>
      <x:c r="S13" s="38" t="str">
        <x:v>Batch 5 candidate. Lebanon used for catalog grouping while acknowledging wider Levantine traditions.</x:v>
      </x:c>
      <x:c r="T13" s="38" t="str">
        <x:v>REPLACE TAGS</x:v>
      </x:c>
      <x:c r="U13" s="38" t="str">
        <x:v>comforting</x:v>
      </x:c>
      <x:c r="V13" s="38" t="n">
        <x:v>115</x:v>
      </x:c>
    </x:row>
    <x:row r="14" ht="54" customHeight="1">
      <x:c r="A14" s="38" t="n">
        <x:v>10</x:v>
      </x:c>
      <x:c r="B14" s="38" t="str">
        <x:v>fideua</x:v>
      </x:c>
      <x:c r="C14" s="38" t="str">
        <x:v>Fideuà</x:v>
      </x:c>
      <x:c r="D14" s="38" t="str">
        <x:v>Fideua</x:v>
      </x:c>
      <x:c r="E14" s="38" t="str">
        <x:v>ES</x:v>
      </x:c>
      <x:c r="F14" s="38" t="str">
        <x:v>europe</x:v>
      </x:c>
      <x:c r="G14" s="38" t="str">
        <x:v>noodle</x:v>
      </x:c>
      <x:c r="H14" s="38" t="str">
        <x:v>fresh</x:v>
      </x:c>
      <x:c r="I14" s="38"/>
      <x:c r="J14" s="38"/>
      <x:c r="K14" s="38" t="str">
        <x:v>savory</x:v>
      </x:c>
      <x:c r="L14" s="38" t="str">
        <x:v>aromatic</x:v>
      </x:c>
      <x:c r="M14" s="38" t="str">
        <x:v>umami</x:v>
      </x:c>
      <x:c r="N14" s="38"/>
      <x:c r="O14" s="38" t="n">
        <x:v>2</x:v>
      </x:c>
      <x:c r="P14" s="38" t="str">
        <x:v>Valencian toasted noodle dish cooked paella-style with seafood and savory stock.</x:v>
      </x:c>
      <x:c r="Q14" s="38" t="str">
        <x:v>Fideuà is a Valencian dish related to paella but made with short noodles instead of rice. The noodles are cooked in a wide pan with stock and commonly seafood, fish, garlic, tomato, and other coastal Mediterranean ingredients.</x:v>
      </x:c>
      <x:c r="R14" s="38" t="str">
        <x:v>needs-review</x:v>
      </x:c>
      <x:c r="S14" s="38" t="str">
        <x:v>Batch 5 candidate. Fresh preference reflects seafood-forward preparations.</x:v>
      </x:c>
      <x:c r="T14" s="38" t="str">
        <x:v>REPLACE TAGS</x:v>
      </x:c>
      <x:c r="U14" s="38" t="str">
        <x:v>rich</x:v>
      </x:c>
      <x:c r="V14" s="38" t="n">
        <x:v>120</x:v>
      </x:c>
    </x:row>
    <x:row r="15" ht="54" customHeight="1">
      <x:c r="A15" s="38" t="n">
        <x:v>11</x:v>
      </x:c>
      <x:c r="B15" s="38" t="str">
        <x:v>onigiri</x:v>
      </x:c>
      <x:c r="C15" s="38" t="str">
        <x:v>Onigiri</x:v>
      </x:c>
      <x:c r="D15" s="38" t="str">
        <x:v>Omusubi|Rice Ball</x:v>
      </x:c>
      <x:c r="E15" s="38" t="str">
        <x:v>JP</x:v>
      </x:c>
      <x:c r="F15" s="38" t="str">
        <x:v>east-asia</x:v>
      </x:c>
      <x:c r="G15" s="38" t="str">
        <x:v>handheld</x:v>
      </x:c>
      <x:c r="H15" s="38" t="str">
        <x:v>fresh</x:v>
      </x:c>
      <x:c r="I15" s="38"/>
      <x:c r="J15" s="38"/>
      <x:c r="K15" s="38" t="str">
        <x:v>savory</x:v>
      </x:c>
      <x:c r="L15" s="38" t="str">
        <x:v>light</x:v>
      </x:c>
      <x:c r="M15" s="38" t="str">
        <x:v>tender</x:v>
      </x:c>
      <x:c r="N15" s="38"/>
      <x:c r="O15" s="38" t="n">
        <x:v>1</x:v>
      </x:c>
      <x:c r="P15" s="38" t="str">
        <x:v>Japanese rice balls shaped by hand and filled or seasoned with savory ingredients.</x:v>
      </x:c>
      <x:c r="Q15" s="38" t="str">
        <x:v>Onigiri are Japanese rice balls formed into triangular or round shapes, often wrapped partly in nori and filled with ingredients such as salmon, umeboshi, tuna, or kombu. They are portable, simple, and widely eaten as a snack or light meal.</x:v>
      </x:c>
      <x:c r="R15" s="38" t="str">
        <x:v>needs-review</x:v>
      </x:c>
      <x:c r="S15" s="38" t="str">
        <x:v>Batch 6 candidate. Flavor assignments vary by filling; this row represents the common savory format.</x:v>
      </x:c>
      <x:c r="T15" s="38" t="str">
        <x:v>REPLACE TAGS</x:v>
      </x:c>
      <x:c r="U15" s="38" t="str">
        <x:v>comforting</x:v>
      </x:c>
      <x:c r="V15" s="38" t="n">
        <x:v>132</x:v>
      </x:c>
    </x:row>
    <x:row r="16" ht="54" customHeight="1">
      <x:c r="A16" s="38" t="n">
        <x:v>12</x:v>
      </x:c>
      <x:c r="B16" s="38" t="str">
        <x:v>kathi-roll</x:v>
      </x:c>
      <x:c r="C16" s="38" t="str">
        <x:v>Kathi Roll</x:v>
      </x:c>
      <x:c r="D16" s="38" t="str">
        <x:v>Kati Roll</x:v>
      </x:c>
      <x:c r="E16" s="38" t="str">
        <x:v>IN</x:v>
      </x:c>
      <x:c r="F16" s="38" t="str">
        <x:v>south-asia</x:v>
      </x:c>
      <x:c r="G16" s="38" t="str">
        <x:v>handheld</x:v>
      </x:c>
      <x:c r="H16" s="38" t="str">
        <x:v>spicy</x:v>
      </x:c>
      <x:c r="I16" s="38" t="str">
        <x:v>crispy</x:v>
      </x:c>
      <x:c r="J16" s="38"/>
      <x:c r="K16" s="38" t="str">
        <x:v>savory</x:v>
      </x:c>
      <x:c r="L16" s="38" t="str">
        <x:v>charred</x:v>
      </x:c>
      <x:c r="M16" s="38" t="str">
        <x:v>tender</x:v>
      </x:c>
      <x:c r="N16" s="38"/>
      <x:c r="O16" s="38" t="n">
        <x:v>2</x:v>
      </x:c>
      <x:c r="P16" s="38" t="str">
        <x:v>Kolkata-style flatbread roll wrapped around grilled fillings, onions, sauces, and spices.</x:v>
      </x:c>
      <x:c r="Q16" s="38" t="str">
        <x:v>A kathi roll is an Indian street-food wrap associated with Kolkata, built from a paratha or other flatbread wrapped around kebab-style meat, egg, paneer, onions, sauces, and spices. The bread may be griddled until lightly crisp.</x:v>
      </x:c>
      <x:c r="R16" s="38" t="str">
        <x:v>needs-review</x:v>
      </x:c>
      <x:c r="S16" s="38" t="str">
        <x:v>Batch 6 candidate. Fillings vary widely; flavors represent common savory-spicy street-food versions.</x:v>
      </x:c>
      <x:c r="T16" s="38" t="str">
        <x:v>REPLACE TAGS</x:v>
      </x:c>
      <x:c r="U16" s="38" t="str">
        <x:v>comforting</x:v>
      </x:c>
      <x:c r="V16" s="38" t="n">
        <x:v>137</x:v>
      </x:c>
    </x:row>
    <x:row r="17" ht="54" customHeight="1">
      <x:c r="A17" s="38" t="n">
        <x:v>13</x:v>
      </x:c>
      <x:c r="B17" s="38" t="str">
        <x:v>rolex</x:v>
      </x:c>
      <x:c r="C17" s="38" t="str">
        <x:v>Rolex</x:v>
      </x:c>
      <x:c r="D17" s="38" t="str">
        <x:v>Rolled Eggs</x:v>
      </x:c>
      <x:c r="E17" s="38" t="str">
        <x:v>UG</x:v>
      </x:c>
      <x:c r="F17" s="38" t="str">
        <x:v>africa</x:v>
      </x:c>
      <x:c r="G17" s="38" t="str">
        <x:v>handheld</x:v>
      </x:c>
      <x:c r="H17" s="38" t="str">
        <x:v>fresh</x:v>
      </x:c>
      <x:c r="I17" s="38"/>
      <x:c r="J17" s="38"/>
      <x:c r="K17" s="38" t="str">
        <x:v>savory</x:v>
      </x:c>
      <x:c r="L17" s="38" t="str">
        <x:v>tender</x:v>
      </x:c>
      <x:c r="M17" s="38" t="str">
        <x:v>light</x:v>
      </x:c>
      <x:c r="N17" s="38"/>
      <x:c r="O17" s="38" t="n">
        <x:v>3</x:v>
      </x:c>
      <x:c r="P17" s="38" t="str">
        <x:v>Ugandan street-food wrap of chapati rolled around eggs, vegetables, and optional fillings.</x:v>
      </x:c>
      <x:c r="Q17" s="38" t="str">
        <x:v>A rolex is a Ugandan street-food wrap made by rolling a chapati around a cooked egg mixture, commonly with tomato, onion, cabbage, or other vegetables. The name comes from the phrase 'rolled eggs.'</x:v>
      </x:c>
      <x:c r="R17" s="38" t="str">
        <x:v>needs-review</x:v>
      </x:c>
      <x:c r="S17" s="38" t="str">
        <x:v>Batch 6 candidate. Adventure level is a Nom heuristic, not a judgment about the cuisine.</x:v>
      </x:c>
      <x:c r="T17" s="38" t="str">
        <x:v>REPLACE TAGS</x:v>
      </x:c>
      <x:c r="U17" s="38" t="str">
        <x:v>comforting</x:v>
      </x:c>
      <x:c r="V17" s="38" t="n">
        <x:v>144</x:v>
      </x:c>
    </x:row>
    <x:row r="18" ht="54" customHeight="1">
      <x:c r="A18" s="38" t="n">
        <x:v>14</x:v>
      </x:c>
      <x:c r="B18" s="38" t="str">
        <x:v>sfiha</x:v>
      </x:c>
      <x:c r="C18" s="38" t="str">
        <x:v>Sfiha</x:v>
      </x:c>
      <x:c r="D18" s="38" t="str">
        <x:v>Sfeeha|Lahm bi Ajin</x:v>
      </x:c>
      <x:c r="E18" s="38" t="str">
        <x:v>LB</x:v>
      </x:c>
      <x:c r="F18" s="38" t="str">
        <x:v>middle-east</x:v>
      </x:c>
      <x:c r="G18" s="38" t="str">
        <x:v>handheld</x:v>
      </x:c>
      <x:c r="H18" s="38" t="str">
        <x:v>crispy</x:v>
      </x:c>
      <x:c r="I18" s="38" t="str">
        <x:v>fresh</x:v>
      </x:c>
      <x:c r="J18" s="38"/>
      <x:c r="K18" s="38" t="str">
        <x:v>savory</x:v>
      </x:c>
      <x:c r="L18" s="38" t="str">
        <x:v>aromatic</x:v>
      </x:c>
      <x:c r="M18" s="38" t="str">
        <x:v>tender</x:v>
      </x:c>
      <x:c r="N18" s="38"/>
      <x:c r="O18" s="38" t="n">
        <x:v>2</x:v>
      </x:c>
      <x:c r="P18" s="38" t="str">
        <x:v>Levantine open-faced meat flatbread baked with tomato, onion, herbs, and spices.</x:v>
      </x:c>
      <x:c r="Q18" s="38" t="str">
        <x:v>Sfiha is a Levantine baked flatbread topped with seasoned minced meat, commonly mixed with tomato, onion, herbs, spices, and sometimes pomegranate or other tangy ingredients. Shapes and toppings vary by region.</x:v>
      </x:c>
      <x:c r="R18" s="38" t="str">
        <x:v>needs-review</x:v>
      </x:c>
      <x:c r="S18" s="38" t="str">
        <x:v>Batch 7 candidate. Lebanon used for catalog grouping while acknowledging wider Levantine traditions.</x:v>
      </x:c>
      <x:c r="T18" s="38" t="str">
        <x:v>REPLACE TAGS</x:v>
      </x:c>
      <x:c r="U18" s="38" t="str">
        <x:v>comforting</x:v>
      </x:c>
      <x:c r="V18" s="38" t="n">
        <x:v>167</x:v>
      </x:c>
    </x:row>
    <x:row r="19" ht="54" customHeight="1">
      <x:c r="A19" s="38" t="n">
        <x:v>15</x:v>
      </x:c>
      <x:c r="B19" s="38" t="str">
        <x:v>baasto-iyo-suugo</x:v>
      </x:c>
      <x:c r="C19" s="38" t="str">
        <x:v>Baasto iyo Suugo</x:v>
      </x:c>
      <x:c r="D19" s="38" t="str">
        <x:v>Somali Pasta|Baasto</x:v>
      </x:c>
      <x:c r="E19" s="38" t="str">
        <x:v>SO</x:v>
      </x:c>
      <x:c r="F19" s="38" t="str">
        <x:v>africa</x:v>
      </x:c>
      <x:c r="G19" s="38" t="str">
        <x:v>noodle</x:v>
      </x:c>
      <x:c r="H19" s="38" t="str">
        <x:v>spicy</x:v>
      </x:c>
      <x:c r="I19" s="38"/>
      <x:c r="J19" s="38"/>
      <x:c r="K19" s="38" t="str">
        <x:v>savory</x:v>
      </x:c>
      <x:c r="L19" s="38" t="str">
        <x:v>aromatic</x:v>
      </x:c>
      <x:c r="M19" s="38" t="str">
        <x:v>tender</x:v>
      </x:c>
      <x:c r="N19" s="38"/>
      <x:c r="O19" s="38" t="n">
        <x:v>3</x:v>
      </x:c>
      <x:c r="P19" s="38" t="str">
        <x:v>Somali pasta served with a spiced tomato meat sauce and often banana on the side.</x:v>
      </x:c>
      <x:c r="Q19" s="38" t="str">
        <x:v>Baasto iyo suugo is a Somali pasta-and-sauce meal shaped by Italian influence in Somalia. Pasta is served with a spiced tomato-based meat sauce, and many Somali diners pair the dish with banana as a customary accompaniment.</x:v>
      </x:c>
      <x:c r="R19" s="38" t="str">
        <x:v>needs-review</x:v>
      </x:c>
      <x:c r="S19" s="38" t="str">
        <x:v>Batch 7 candidate. Source is Somali cuisine overview; add a dedicated dish source before production approval.</x:v>
      </x:c>
      <x:c r="T19" s="38" t="str">
        <x:v>REPLACE TAGS</x:v>
      </x:c>
      <x:c r="U19" s="38" t="str">
        <x:v>comforting</x:v>
      </x:c>
      <x:c r="V19" s="38" t="n">
        <x:v>168</x:v>
      </x:c>
    </x:row>
    <x:row r="20" ht="54" customHeight="1">
      <x:c r="A20" s="38" t="n">
        <x:v>16</x:v>
      </x:c>
      <x:c r="B20" s="38" t="str">
        <x:v>moi-moi</x:v>
      </x:c>
      <x:c r="C20" s="38" t="str">
        <x:v>Moi Moi</x:v>
      </x:c>
      <x:c r="D20" s="38" t="str">
        <x:v>Moin Moin|Moyi Moyi</x:v>
      </x:c>
      <x:c r="E20" s="38" t="str">
        <x:v>NG</x:v>
      </x:c>
      <x:c r="F20" s="38" t="str">
        <x:v>africa</x:v>
      </x:c>
      <x:c r="G20" s="38" t="str">
        <x:v>handheld</x:v>
      </x:c>
      <x:c r="H20" s="38" t="str">
        <x:v>fresh</x:v>
      </x:c>
      <x:c r="I20" s="38"/>
      <x:c r="J20" s="38"/>
      <x:c r="K20" s="38" t="str">
        <x:v>savory</x:v>
      </x:c>
      <x:c r="L20" s="38" t="str">
        <x:v>earthy</x:v>
      </x:c>
      <x:c r="M20" s="38" t="str">
        <x:v>tender</x:v>
      </x:c>
      <x:c r="N20" s="38"/>
      <x:c r="O20" s="38" t="n">
        <x:v>3</x:v>
      </x:c>
      <x:c r="P20" s="38" t="str">
        <x:v>Nigerian steamed bean pudding seasoned with peppers, onions, and savory aromatics.</x:v>
      </x:c>
      <x:c r="Q20" s="38" t="str">
        <x:v>Moi moi is a Nigerian steamed pudding made from blended peeled beans, commonly black-eyed peas, mixed with peppers, onions, oil, and seasonings. Eggs, fish, or other fillings may be added before steaming.</x:v>
      </x:c>
      <x:c r="R20" s="38" t="str">
        <x:v>needs-review</x:v>
      </x:c>
      <x:c r="S20" s="38" t="str">
        <x:v>Batch 7 candidate. Handheld is Nom's closest portable-food category; moi moi is often served from a mold or leaf.</x:v>
      </x:c>
      <x:c r="T20" s="38" t="str">
        <x:v>REPLACE TAGS</x:v>
      </x:c>
      <x:c r="U20" s="38" t="str">
        <x:v>comforting</x:v>
      </x:c>
      <x:c r="V20" s="38" t="n">
        <x:v>170</x:v>
      </x:c>
    </x:row>
    <x:row r="21" ht="54" customHeight="1">
      <x:c r="A21" s="38" t="n">
        <x:v>17</x:v>
      </x:c>
      <x:c r="B21" s="38" t="str">
        <x:v>arroz-de-marisco</x:v>
      </x:c>
      <x:c r="C21" s="38" t="str">
        <x:v>Arroz de Marisco</x:v>
      </x:c>
      <x:c r="D21" s="38" t="str">
        <x:v>Portuguese Seafood Rice</x:v>
      </x:c>
      <x:c r="E21" s="38" t="str">
        <x:v>PT</x:v>
      </x:c>
      <x:c r="F21" s="38" t="str">
        <x:v>europe</x:v>
      </x:c>
      <x:c r="G21" s="38" t="str">
        <x:v>rice</x:v>
      </x:c>
      <x:c r="H21" s="38" t="str">
        <x:v>fresh</x:v>
      </x:c>
      <x:c r="I21" s="38"/>
      <x:c r="J21" s="38"/>
      <x:c r="K21" s="38" t="str">
        <x:v>savory</x:v>
      </x:c>
      <x:c r="L21" s="38" t="str">
        <x:v>aromatic</x:v>
      </x:c>
      <x:c r="M21" s="38" t="str">
        <x:v>umami</x:v>
      </x:c>
      <x:c r="N21" s="38"/>
      <x:c r="O21" s="38" t="n">
        <x:v>2</x:v>
      </x:c>
      <x:c r="P21" s="38" t="str">
        <x:v>Portuguese seafood rice cooked in a tomato-rich broth with shellfish, fish, and herbs.</x:v>
      </x:c>
      <x:c r="Q21" s="38" t="str">
        <x:v>Arroz de marisco is a Portuguese seafood-rice dish cooked until loose and saucy rather than dry. Rice simmers with a flavorful seafood broth, tomato, aromatics, herbs, and combinations of shrimp, clams, crab, or other seafood.</x:v>
      </x:c>
      <x:c r="R21" s="38" t="str">
        <x:v>needs-review</x:v>
      </x:c>
      <x:c r="S21" s="38" t="str">
        <x:v>Batch 7 candidate. Source should be strengthened with a dedicated Portuguese culinary reference before approval.</x:v>
      </x:c>
      <x:c r="T21" s="38" t="str">
        <x:v>REPLACE TAGS</x:v>
      </x:c>
      <x:c r="U21" s="38" t="str">
        <x:v>rich</x:v>
      </x:c>
      <x:c r="V21" s="38" t="n">
        <x:v>172</x:v>
      </x:c>
    </x:row>
    <x:row r="22" ht="54" customHeight="1">
      <x:c r="A22" s="38" t="n">
        <x:v>18</x:v>
      </x:c>
      <x:c r="B22" s="38" t="str">
        <x:v>arroz-negro</x:v>
      </x:c>
      <x:c r="C22" s="38" t="str">
        <x:v>Arroz Negro</x:v>
      </x:c>
      <x:c r="D22" s="38" t="str">
        <x:v>Arròs Negre|Black Rice</x:v>
      </x:c>
      <x:c r="E22" s="38" t="str">
        <x:v>ES</x:v>
      </x:c>
      <x:c r="F22" s="38" t="str">
        <x:v>europe</x:v>
      </x:c>
      <x:c r="G22" s="38" t="str">
        <x:v>rice</x:v>
      </x:c>
      <x:c r="H22" s="38" t="str">
        <x:v>fresh</x:v>
      </x:c>
      <x:c r="I22" s="38"/>
      <x:c r="J22" s="38"/>
      <x:c r="K22" s="38" t="str">
        <x:v>savory</x:v>
      </x:c>
      <x:c r="L22" s="38" t="str">
        <x:v>umami</x:v>
      </x:c>
      <x:c r="M22" s="38" t="str">
        <x:v>aromatic</x:v>
      </x:c>
      <x:c r="N22" s="38"/>
      <x:c r="O22" s="38" t="n">
        <x:v>2</x:v>
      </x:c>
      <x:c r="P22" s="38" t="str">
        <x:v>Spanish black rice colored with squid ink and cooked with seafood in a wide pan.</x:v>
      </x:c>
      <x:c r="Q22" s="38" t="str">
        <x:v>Arroz negro, or arròs negre, is a Spanish Mediterranean rice dish colored and flavored with squid or cuttlefish ink. It commonly includes seafood, stock, tomato, garlic, and other aromatics cooked in a paella-style pan.</x:v>
      </x:c>
      <x:c r="R22" s="38" t="str">
        <x:v>needs-review</x:v>
      </x:c>
      <x:c r="S22" s="38" t="str">
        <x:v>Batch 7 candidate. Spain used for catalog grouping; Valencian and Catalan traditions are especially relevant.</x:v>
      </x:c>
      <x:c r="T22" s="38" t="str">
        <x:v>REPLACE TAGS</x:v>
      </x:c>
      <x:c r="U22" s="38" t="str">
        <x:v>rich</x:v>
      </x:c>
      <x:c r="V22" s="38" t="n">
        <x:v>173</x:v>
      </x:c>
    </x:row>
    <x:row r="23" ht="54" customHeight="1">
      <x:c r="A23" s="38" t="n">
        <x:v>19</x:v>
      </x:c>
      <x:c r="B23" s="38" t="str">
        <x:v>lumpia</x:v>
      </x:c>
      <x:c r="C23" s="38" t="str">
        <x:v>Lumpia</x:v>
      </x:c>
      <x:c r="D23" s="38" t="str">
        <x:v>Lumpiang Shanghai|Fresh Lumpia</x:v>
      </x:c>
      <x:c r="E23" s="38" t="str">
        <x:v>PH</x:v>
      </x:c>
      <x:c r="F23" s="38" t="str">
        <x:v>southeast-asia</x:v>
      </x:c>
      <x:c r="G23" s="38" t="str">
        <x:v>handheld</x:v>
      </x:c>
      <x:c r="H23" s="38" t="str">
        <x:v>crispy</x:v>
      </x:c>
      <x:c r="I23" s="38"/>
      <x:c r="J23" s="38"/>
      <x:c r="K23" s="38" t="str">
        <x:v>savory</x:v>
      </x:c>
      <x:c r="L23" s="38" t="str">
        <x:v>light</x:v>
      </x:c>
      <x:c r="M23" s="38"/>
      <x:c r="N23" s="38"/>
      <x:c r="O23" s="38" t="n">
        <x:v>1</x:v>
      </x:c>
      <x:c r="P23" s="38" t="str">
        <x:v>Filipino spring rolls with thin wrappers and savory vegetable or meat fillings.</x:v>
      </x:c>
      <x:c r="Q23" s="38" t="str">
        <x:v>Filipino lumpia are spring rolls made with thin wrappers and a wide range of fillings. Fried versions are crisp and commonly contain vegetables or seasoned meat, while fresh versions use softer wrappers and vegetable-forward fillings.</x:v>
      </x:c>
      <x:c r="R23" s="38" t="str">
        <x:v>needs-review</x:v>
      </x:c>
      <x:c r="S23" s="38" t="str">
        <x:v>Batch 4 candidate. Crispy preference reflects fried lumpia; fresh styles should remain represented in notes.</x:v>
      </x:c>
      <x:c r="T23" s="38" t="str">
        <x:v>SPLIT</x:v>
      </x:c>
      <x:c r="U23" s="38" t="str">
        <x:v>Fried Lumpia → crispy; Fresh Lumpia → fresh</x:v>
      </x:c>
      <x:c r="V23" s="38" t="n">
        <x:v>84</x:v>
      </x:c>
    </x:row>
  </x:sheetData>
  <x:mergeCells>
    <x:mergeCell ref="A1:V1"/>
    <x:mergeCell ref="A2:V2"/>
  </x:mergeCells>
  <x:pageMargins left="0.7" right="0.7" top="0.75" bottom="0.75" header="0.3" footer="0.3"/>
</x:worksheet>
</file>

<file path=xl/worksheets/sheet12.xml><?xml version="1.0" encoding="utf-8"?>
<x:worksheet xmlns:x="http://schemas.openxmlformats.org/spreadsheetml/2006/main">
  <x:sheetFormatPr defaultRowHeight="15"/>
  <x:cols>
    <x:col min="1" max="1" width="5" hidden="0" customWidth="1"/>
    <x:col min="2" max="2" width="24" hidden="0" customWidth="1"/>
    <x:col min="3" max="3" width="24" hidden="0" customWidth="1"/>
    <x:col min="4" max="4" width="15" hidden="0" customWidth="1"/>
    <x:col min="5" max="5" width="15" hidden="0" customWidth="1"/>
    <x:col min="6" max="6" width="15" hidden="0" customWidth="1"/>
    <x:col min="7" max="7" width="28" hidden="0" customWidth="1"/>
    <x:col min="8" max="8" width="28" hidden="0" customWidth="1"/>
    <x:col min="9" max="9" width="16" hidden="0" customWidth="1"/>
    <x:col min="10" max="10" width="38" hidden="0" customWidth="1"/>
  </x:cols>
  <x:sheetData>
    <x:row r="1" ht="28" customHeight="1">
      <x:c r="A1" s="157" t="str">
        <x:v>Nom V1 Flavor Freeze — Pre-Change Tag Backup</x:v>
      </x:c>
      <x:c r="B1" s="157"/>
      <x:c r="C1" s="157"/>
      <x:c r="D1" s="157"/>
      <x:c r="E1" s="157"/>
      <x:c r="F1" s="157"/>
      <x:c r="G1" s="157"/>
      <x:c r="H1" s="157"/>
      <x:c r="I1" s="157"/>
      <x:c r="J1" s="157"/>
    </x:row>
    <x:row r="2" ht="44" customHeight="1">
      <x:c r="A2" s="161" t="str">
        <x:v>Exact preference tags immediately before the final high-confidence spicy/fresh/crispy/tangy audit. Use this sheet to restore any V1 tag if needed.</x:v>
      </x:c>
      <x:c r="B2" s="161"/>
      <x:c r="C2" s="161"/>
      <x:c r="D2" s="161"/>
      <x:c r="E2" s="161"/>
      <x:c r="F2" s="161"/>
      <x:c r="G2" s="161"/>
      <x:c r="H2" s="161"/>
      <x:c r="I2" s="161"/>
      <x:c r="J2" s="161"/>
    </x:row>
    <x:row r="4">
      <x:c r="A4" s="165" t="str">
        <x:v>#</x:v>
      </x:c>
      <x:c r="B4" s="165" t="str">
        <x:v>dishId</x:v>
      </x:c>
      <x:c r="C4" s="165" t="str">
        <x:v>Dish</x:v>
      </x:c>
      <x:c r="D4" s="165" t="str">
        <x:v>Original flavor1</x:v>
      </x:c>
      <x:c r="E4" s="165" t="str">
        <x:v>Original flavor2</x:v>
      </x:c>
      <x:c r="F4" s="165" t="str">
        <x:v>Original flavor3</x:v>
      </x:c>
      <x:c r="G4" s="165" t="str">
        <x:v>Original tags</x:v>
      </x:c>
      <x:c r="H4" s="165" t="str">
        <x:v>Final tags</x:v>
      </x:c>
      <x:c r="I4" s="165" t="str">
        <x:v>Change applied?</x:v>
      </x:c>
      <x:c r="J4" s="165" t="str">
        <x:v>Change summary</x:v>
      </x:c>
    </x:row>
    <x:row r="5" ht="40" customHeight="1">
      <x:c r="A5" s="38" t="n">
        <x:v>1</x:v>
      </x:c>
      <x:c r="B5" s="38" t="str">
        <x:v>lort-cha</x:v>
      </x:c>
      <x:c r="C5" s="38" t="str">
        <x:v>Lort Cha</x:v>
      </x:c>
      <x:c r="D5" s="38" t="str">
        <x:v>comforting</x:v>
      </x:c>
      <x:c r="E5" s="38"/>
      <x:c r="F5" s="38"/>
      <x:c r="G5" s="38" t="str">
        <x:v>comforting</x:v>
      </x:c>
      <x:c r="H5" s="38" t="str">
        <x:v>comforting</x:v>
      </x:c>
      <x:c r="I5" s="38" t="str">
        <x:v>NO</x:v>
      </x:c>
      <x:c r="J5" s="38" t="str">
        <x:v>none</x:v>
      </x:c>
    </x:row>
    <x:row r="6" ht="40" customHeight="1">
      <x:c r="A6" s="38" t="n">
        <x:v>2</x:v>
      </x:c>
      <x:c r="B6" s="38" t="str">
        <x:v>mie-goreng</x:v>
      </x:c>
      <x:c r="C6" s="38" t="str">
        <x:v>Mie Goreng</x:v>
      </x:c>
      <x:c r="D6" s="38"/>
      <x:c r="E6" s="38"/>
      <x:c r="F6" s="38"/>
      <x:c r="G6" s="38" t="str">
        <x:v>NONE</x:v>
      </x:c>
      <x:c r="H6" s="38" t="str">
        <x:v>spicy</x:v>
      </x:c>
      <x:c r="I6" s="38" t="str">
        <x:v>YES</x:v>
      </x:c>
      <x:c r="J6" s="38" t="str">
        <x:v>add spicy</x:v>
      </x:c>
    </x:row>
    <x:row r="7" ht="40" customHeight="1">
      <x:c r="A7" s="38" t="n">
        <x:v>3</x:v>
      </x:c>
      <x:c r="B7" s="38" t="str">
        <x:v>pancit-canton</x:v>
      </x:c>
      <x:c r="C7" s="38" t="str">
        <x:v>Pancit Canton</x:v>
      </x:c>
      <x:c r="D7" s="38" t="str">
        <x:v>comforting</x:v>
      </x:c>
      <x:c r="E7" s="38"/>
      <x:c r="F7" s="38"/>
      <x:c r="G7" s="38" t="str">
        <x:v>comforting</x:v>
      </x:c>
      <x:c r="H7" s="38" t="str">
        <x:v>comforting</x:v>
      </x:c>
      <x:c r="I7" s="38" t="str">
        <x:v>NO</x:v>
      </x:c>
      <x:c r="J7" s="38" t="str">
        <x:v>none</x:v>
      </x:c>
    </x:row>
    <x:row r="8" ht="40" customHeight="1">
      <x:c r="A8" s="38" t="n">
        <x:v>4</x:v>
      </x:c>
      <x:c r="B8" s="38" t="str">
        <x:v>char-kway-teow</x:v>
      </x:c>
      <x:c r="C8" s="38" t="str">
        <x:v>Char Kway Teow</x:v>
      </x:c>
      <x:c r="D8" s="38" t="str">
        <x:v>rich</x:v>
      </x:c>
      <x:c r="E8" s="38"/>
      <x:c r="F8" s="38"/>
      <x:c r="G8" s="38" t="str">
        <x:v>rich</x:v>
      </x:c>
      <x:c r="H8" s="38" t="str">
        <x:v>rich</x:v>
      </x:c>
      <x:c r="I8" s="38" t="str">
        <x:v>NO</x:v>
      </x:c>
      <x:c r="J8" s="38" t="str">
        <x:v>none</x:v>
      </x:c>
    </x:row>
    <x:row r="9" ht="40" customHeight="1">
      <x:c r="A9" s="38" t="n">
        <x:v>5</x:v>
      </x:c>
      <x:c r="B9" s="38" t="str">
        <x:v>mi-quang</x:v>
      </x:c>
      <x:c r="C9" s="38" t="str">
        <x:v>Mì Quảng</x:v>
      </x:c>
      <x:c r="D9" s="38" t="str">
        <x:v>fresh</x:v>
      </x:c>
      <x:c r="E9" s="38"/>
      <x:c r="F9" s="38"/>
      <x:c r="G9" s="38" t="str">
        <x:v>fresh</x:v>
      </x:c>
      <x:c r="H9" s="38" t="str">
        <x:v>fresh</x:v>
      </x:c>
      <x:c r="I9" s="38" t="str">
        <x:v>NO</x:v>
      </x:c>
      <x:c r="J9" s="38" t="str">
        <x:v>none</x:v>
      </x:c>
    </x:row>
    <x:row r="10" ht="40" customHeight="1">
      <x:c r="A10" s="38" t="n">
        <x:v>6</x:v>
      </x:c>
      <x:c r="B10" s="38" t="str">
        <x:v>hokkien-mee</x:v>
      </x:c>
      <x:c r="C10" s="38" t="str">
        <x:v>Hokkien Mee</x:v>
      </x:c>
      <x:c r="D10" s="38" t="str">
        <x:v>rich</x:v>
      </x:c>
      <x:c r="E10" s="38"/>
      <x:c r="F10" s="38"/>
      <x:c r="G10" s="38" t="str">
        <x:v>rich</x:v>
      </x:c>
      <x:c r="H10" s="38" t="str">
        <x:v>rich</x:v>
      </x:c>
      <x:c r="I10" s="38" t="str">
        <x:v>NO</x:v>
      </x:c>
      <x:c r="J10" s="38" t="str">
        <x:v>none</x:v>
      </x:c>
    </x:row>
    <x:row r="11" ht="40" customHeight="1">
      <x:c r="A11" s="38" t="n">
        <x:v>7</x:v>
      </x:c>
      <x:c r="B11" s="38" t="str">
        <x:v>kolo-mee</x:v>
      </x:c>
      <x:c r="C11" s="38" t="str">
        <x:v>Kolo Mee</x:v>
      </x:c>
      <x:c r="D11" s="38" t="str">
        <x:v>comforting</x:v>
      </x:c>
      <x:c r="E11" s="38"/>
      <x:c r="F11" s="38"/>
      <x:c r="G11" s="38" t="str">
        <x:v>comforting</x:v>
      </x:c>
      <x:c r="H11" s="38" t="str">
        <x:v>comforting</x:v>
      </x:c>
      <x:c r="I11" s="38" t="str">
        <x:v>NO</x:v>
      </x:c>
      <x:c r="J11" s="38" t="str">
        <x:v>none</x:v>
      </x:c>
    </x:row>
    <x:row r="12" ht="40" customHeight="1">
      <x:c r="A12" s="38" t="n">
        <x:v>8</x:v>
      </x:c>
      <x:c r="B12" s="38" t="str">
        <x:v>pancit-bihon</x:v>
      </x:c>
      <x:c r="C12" s="38" t="str">
        <x:v>Pancit Bihon</x:v>
      </x:c>
      <x:c r="D12" s="38" t="str">
        <x:v>comforting</x:v>
      </x:c>
      <x:c r="E12" s="38"/>
      <x:c r="F12" s="38"/>
      <x:c r="G12" s="38" t="str">
        <x:v>comforting</x:v>
      </x:c>
      <x:c r="H12" s="38" t="str">
        <x:v>comforting</x:v>
      </x:c>
      <x:c r="I12" s="38" t="str">
        <x:v>NO</x:v>
      </x:c>
      <x:c r="J12" s="38" t="str">
        <x:v>none</x:v>
      </x:c>
    </x:row>
    <x:row r="13" ht="40" customHeight="1">
      <x:c r="A13" s="38" t="n">
        <x:v>9</x:v>
      </x:c>
      <x:c r="B13" s="38" t="str">
        <x:v>cao-lau</x:v>
      </x:c>
      <x:c r="C13" s="38" t="str">
        <x:v>Cao Lầu</x:v>
      </x:c>
      <x:c r="D13" s="38" t="str">
        <x:v>fresh</x:v>
      </x:c>
      <x:c r="E13" s="38" t="str">
        <x:v>crispy</x:v>
      </x:c>
      <x:c r="F13" s="38"/>
      <x:c r="G13" s="38" t="str">
        <x:v>fresh | crispy</x:v>
      </x:c>
      <x:c r="H13" s="38" t="str">
        <x:v>fresh | crispy</x:v>
      </x:c>
      <x:c r="I13" s="38" t="str">
        <x:v>NO</x:v>
      </x:c>
      <x:c r="J13" s="38" t="str">
        <x:v>none</x:v>
      </x:c>
    </x:row>
    <x:row r="14" ht="40" customHeight="1">
      <x:c r="A14" s="38" t="n">
        <x:v>10</x:v>
      </x:c>
      <x:c r="B14" s="38" t="str">
        <x:v>num-banh-chok</x:v>
      </x:c>
      <x:c r="C14" s="38" t="str">
        <x:v>Num Banh Chok</x:v>
      </x:c>
      <x:c r="D14" s="38" t="str">
        <x:v>fresh</x:v>
      </x:c>
      <x:c r="E14" s="38" t="str">
        <x:v>comforting</x:v>
      </x:c>
      <x:c r="F14" s="38"/>
      <x:c r="G14" s="38" t="str">
        <x:v>fresh | comforting</x:v>
      </x:c>
      <x:c r="H14" s="38" t="str">
        <x:v>fresh | comforting</x:v>
      </x:c>
      <x:c r="I14" s="38" t="str">
        <x:v>NO</x:v>
      </x:c>
      <x:c r="J14" s="38" t="str">
        <x:v>none</x:v>
      </x:c>
    </x:row>
    <x:row r="15" ht="40" customHeight="1">
      <x:c r="A15" s="38" t="n">
        <x:v>11</x:v>
      </x:c>
      <x:c r="B15" s="38" t="str">
        <x:v>ramen</x:v>
      </x:c>
      <x:c r="C15" s="38" t="str">
        <x:v>Ramen</x:v>
      </x:c>
      <x:c r="D15" s="38" t="str">
        <x:v>comforting</x:v>
      </x:c>
      <x:c r="E15" s="38"/>
      <x:c r="F15" s="38"/>
      <x:c r="G15" s="38" t="str">
        <x:v>comforting</x:v>
      </x:c>
      <x:c r="H15" s="38" t="str">
        <x:v>comforting</x:v>
      </x:c>
      <x:c r="I15" s="38" t="str">
        <x:v>NO</x:v>
      </x:c>
      <x:c r="J15" s="38" t="str">
        <x:v>none</x:v>
      </x:c>
    </x:row>
    <x:row r="16" ht="40" customHeight="1">
      <x:c r="A16" s="38" t="n">
        <x:v>12</x:v>
      </x:c>
      <x:c r="B16" s="38" t="str">
        <x:v>bibimbap</x:v>
      </x:c>
      <x:c r="C16" s="38" t="str">
        <x:v>Bibimbap</x:v>
      </x:c>
      <x:c r="D16" s="38" t="str">
        <x:v>fresh</x:v>
      </x:c>
      <x:c r="E16" s="38" t="str">
        <x:v>spicy</x:v>
      </x:c>
      <x:c r="F16" s="38"/>
      <x:c r="G16" s="38" t="str">
        <x:v>fresh | spicy</x:v>
      </x:c>
      <x:c r="H16" s="38" t="str">
        <x:v>fresh | spicy</x:v>
      </x:c>
      <x:c r="I16" s="38" t="str">
        <x:v>NO</x:v>
      </x:c>
      <x:c r="J16" s="38" t="str">
        <x:v>none</x:v>
      </x:c>
    </x:row>
    <x:row r="17" ht="40" customHeight="1">
      <x:c r="A17" s="38" t="n">
        <x:v>13</x:v>
      </x:c>
      <x:c r="B17" s="38" t="str">
        <x:v>yakitori</x:v>
      </x:c>
      <x:c r="C17" s="38" t="str">
        <x:v>Yakitori</x:v>
      </x:c>
      <x:c r="D17" s="38" t="str">
        <x:v>comforting</x:v>
      </x:c>
      <x:c r="E17" s="38"/>
      <x:c r="F17" s="38"/>
      <x:c r="G17" s="38" t="str">
        <x:v>comforting</x:v>
      </x:c>
      <x:c r="H17" s="38" t="str">
        <x:v>comforting</x:v>
      </x:c>
      <x:c r="I17" s="38" t="str">
        <x:v>NO</x:v>
      </x:c>
      <x:c r="J17" s="38" t="str">
        <x:v>none</x:v>
      </x:c>
    </x:row>
    <x:row r="18" ht="40" customHeight="1">
      <x:c r="A18" s="38" t="n">
        <x:v>14</x:v>
      </x:c>
      <x:c r="B18" s="38" t="str">
        <x:v>biryani</x:v>
      </x:c>
      <x:c r="C18" s="38" t="str">
        <x:v>Biryani</x:v>
      </x:c>
      <x:c r="D18" s="38" t="str">
        <x:v>rich</x:v>
      </x:c>
      <x:c r="E18" s="38" t="str">
        <x:v>spicy</x:v>
      </x:c>
      <x:c r="F18" s="38"/>
      <x:c r="G18" s="38" t="str">
        <x:v>rich | spicy</x:v>
      </x:c>
      <x:c r="H18" s="38" t="str">
        <x:v>rich</x:v>
      </x:c>
      <x:c r="I18" s="38" t="str">
        <x:v>YES</x:v>
      </x:c>
      <x:c r="J18" s="38" t="str">
        <x:v>remove spicy</x:v>
      </x:c>
    </x:row>
    <x:row r="19" ht="40" customHeight="1">
      <x:c r="A19" s="38" t="n">
        <x:v>15</x:v>
      </x:c>
      <x:c r="B19" s="38" t="str">
        <x:v>masala-dosa</x:v>
      </x:c>
      <x:c r="C19" s="38" t="str">
        <x:v>Masala Dosa</x:v>
      </x:c>
      <x:c r="D19" s="38" t="str">
        <x:v>crispy</x:v>
      </x:c>
      <x:c r="E19" s="38" t="str">
        <x:v>tangy</x:v>
      </x:c>
      <x:c r="F19" s="38"/>
      <x:c r="G19" s="38" t="str">
        <x:v>crispy | tangy</x:v>
      </x:c>
      <x:c r="H19" s="38" t="str">
        <x:v>crispy | tangy</x:v>
      </x:c>
      <x:c r="I19" s="38" t="str">
        <x:v>NO</x:v>
      </x:c>
      <x:c r="J19" s="38" t="str">
        <x:v>none</x:v>
      </x:c>
    </x:row>
    <x:row r="20" ht="40" customHeight="1">
      <x:c r="A20" s="38" t="n">
        <x:v>16</x:v>
      </x:c>
      <x:c r="B20" s="38" t="str">
        <x:v>mansaf</x:v>
      </x:c>
      <x:c r="C20" s="38" t="str">
        <x:v>Mansaf</x:v>
      </x:c>
      <x:c r="D20" s="38" t="str">
        <x:v>rich</x:v>
      </x:c>
      <x:c r="E20" s="38" t="str">
        <x:v>tangy</x:v>
      </x:c>
      <x:c r="F20" s="38"/>
      <x:c r="G20" s="38" t="str">
        <x:v>rich | tangy</x:v>
      </x:c>
      <x:c r="H20" s="38" t="str">
        <x:v>rich | tangy</x:v>
      </x:c>
      <x:c r="I20" s="38" t="str">
        <x:v>NO</x:v>
      </x:c>
      <x:c r="J20" s="38" t="str">
        <x:v>none</x:v>
      </x:c>
    </x:row>
    <x:row r="21" ht="40" customHeight="1">
      <x:c r="A21" s="38" t="n">
        <x:v>17</x:v>
      </x:c>
      <x:c r="B21" s="38" t="str">
        <x:v>shish-taouk</x:v>
      </x:c>
      <x:c r="C21" s="38" t="str">
        <x:v>Shish Taouk</x:v>
      </x:c>
      <x:c r="D21" s="38" t="str">
        <x:v>fresh</x:v>
      </x:c>
      <x:c r="E21" s="38" t="str">
        <x:v>tangy</x:v>
      </x:c>
      <x:c r="F21" s="38"/>
      <x:c r="G21" s="38" t="str">
        <x:v>fresh | tangy</x:v>
      </x:c>
      <x:c r="H21" s="38" t="str">
        <x:v>tangy</x:v>
      </x:c>
      <x:c r="I21" s="38" t="str">
        <x:v>YES</x:v>
      </x:c>
      <x:c r="J21" s="38" t="str">
        <x:v>remove fresh</x:v>
      </x:c>
    </x:row>
    <x:row r="22" ht="40" customHeight="1">
      <x:c r="A22" s="38" t="n">
        <x:v>18</x:v>
      </x:c>
      <x:c r="B22" s="38" t="str">
        <x:v>harira</x:v>
      </x:c>
      <x:c r="C22" s="38" t="str">
        <x:v>Harira</x:v>
      </x:c>
      <x:c r="D22" s="38" t="str">
        <x:v>comforting</x:v>
      </x:c>
      <x:c r="E22" s="38"/>
      <x:c r="F22" s="38"/>
      <x:c r="G22" s="38" t="str">
        <x:v>comforting</x:v>
      </x:c>
      <x:c r="H22" s="38" t="str">
        <x:v>comforting</x:v>
      </x:c>
      <x:c r="I22" s="38" t="str">
        <x:v>NO</x:v>
      </x:c>
      <x:c r="J22" s="38" t="str">
        <x:v>none</x:v>
      </x:c>
    </x:row>
    <x:row r="23" ht="40" customHeight="1">
      <x:c r="A23" s="38" t="n">
        <x:v>19</x:v>
      </x:c>
      <x:c r="B23" s="38" t="str">
        <x:v>suya</x:v>
      </x:c>
      <x:c r="C23" s="38" t="str">
        <x:v>Suya</x:v>
      </x:c>
      <x:c r="D23" s="38" t="str">
        <x:v>spicy</x:v>
      </x:c>
      <x:c r="E23" s="38"/>
      <x:c r="F23" s="38"/>
      <x:c r="G23" s="38" t="str">
        <x:v>spicy</x:v>
      </x:c>
      <x:c r="H23" s="38" t="str">
        <x:v>spicy</x:v>
      </x:c>
      <x:c r="I23" s="38" t="str">
        <x:v>NO</x:v>
      </x:c>
      <x:c r="J23" s="38" t="str">
        <x:v>none</x:v>
      </x:c>
    </x:row>
    <x:row r="24" ht="40" customHeight="1">
      <x:c r="A24" s="38" t="n">
        <x:v>20</x:v>
      </x:c>
      <x:c r="B24" s="38" t="str">
        <x:v>carbonara</x:v>
      </x:c>
      <x:c r="C24" s="38" t="str">
        <x:v>Spaghetti Carbonara</x:v>
      </x:c>
      <x:c r="D24" s="38" t="str">
        <x:v>rich</x:v>
      </x:c>
      <x:c r="E24" s="38" t="str">
        <x:v>comforting</x:v>
      </x:c>
      <x:c r="F24" s="38"/>
      <x:c r="G24" s="38" t="str">
        <x:v>rich | comforting</x:v>
      </x:c>
      <x:c r="H24" s="38" t="str">
        <x:v>rich | comforting</x:v>
      </x:c>
      <x:c r="I24" s="38" t="str">
        <x:v>NO</x:v>
      </x:c>
      <x:c r="J24" s="38" t="str">
        <x:v>none</x:v>
      </x:c>
    </x:row>
    <x:row r="25" ht="40" customHeight="1">
      <x:c r="A25" s="38" t="n">
        <x:v>21</x:v>
      </x:c>
      <x:c r="B25" s="38" t="str">
        <x:v>french-onion-soup</x:v>
      </x:c>
      <x:c r="C25" s="38" t="str">
        <x:v>French Onion Soup</x:v>
      </x:c>
      <x:c r="D25" s="38" t="str">
        <x:v>rich</x:v>
      </x:c>
      <x:c r="E25" s="38" t="str">
        <x:v>comforting</x:v>
      </x:c>
      <x:c r="F25" s="38"/>
      <x:c r="G25" s="38" t="str">
        <x:v>rich | comforting</x:v>
      </x:c>
      <x:c r="H25" s="38" t="str">
        <x:v>rich | comforting</x:v>
      </x:c>
      <x:c r="I25" s="38" t="str">
        <x:v>NO</x:v>
      </x:c>
      <x:c r="J25" s="38" t="str">
        <x:v>none</x:v>
      </x:c>
    </x:row>
    <x:row r="26" ht="40" customHeight="1">
      <x:c r="A26" s="38" t="n">
        <x:v>22</x:v>
      </x:c>
      <x:c r="B26" s="38" t="str">
        <x:v>tacos-al-pastor</x:v>
      </x:c>
      <x:c r="C26" s="38" t="str">
        <x:v>Tacos al Pastor</x:v>
      </x:c>
      <x:c r="D26" s="38" t="str">
        <x:v>spicy</x:v>
      </x:c>
      <x:c r="E26" s="38" t="str">
        <x:v>tangy</x:v>
      </x:c>
      <x:c r="F26" s="38"/>
      <x:c r="G26" s="38" t="str">
        <x:v>spicy | tangy</x:v>
      </x:c>
      <x:c r="H26" s="38" t="str">
        <x:v>fresh</x:v>
      </x:c>
      <x:c r="I26" s="38" t="str">
        <x:v>YES</x:v>
      </x:c>
      <x:c r="J26" s="38" t="str">
        <x:v>remove spicy; add fresh; remove tangy</x:v>
      </x:c>
    </x:row>
    <x:row r="27" ht="40" customHeight="1">
      <x:c r="A27" s="38" t="n">
        <x:v>23</x:v>
      </x:c>
      <x:c r="B27" s="38" t="str">
        <x:v>sopa-de-lima</x:v>
      </x:c>
      <x:c r="C27" s="38" t="str">
        <x:v>Sopa de Lima</x:v>
      </x:c>
      <x:c r="D27" s="38" t="str">
        <x:v>fresh</x:v>
      </x:c>
      <x:c r="E27" s="38" t="str">
        <x:v>tangy</x:v>
      </x:c>
      <x:c r="F27" s="38"/>
      <x:c r="G27" s="38" t="str">
        <x:v>fresh | tangy</x:v>
      </x:c>
      <x:c r="H27" s="38" t="str">
        <x:v>fresh | tangy | crispy</x:v>
      </x:c>
      <x:c r="I27" s="38" t="str">
        <x:v>YES</x:v>
      </x:c>
      <x:c r="J27" s="38" t="str">
        <x:v>add crispy</x:v>
      </x:c>
    </x:row>
    <x:row r="28" ht="40" customHeight="1">
      <x:c r="A28" s="38" t="n">
        <x:v>24</x:v>
      </x:c>
      <x:c r="B28" s="38" t="str">
        <x:v>jambalaya</x:v>
      </x:c>
      <x:c r="C28" s="38" t="str">
        <x:v>Jambalaya</x:v>
      </x:c>
      <x:c r="D28" s="38" t="str">
        <x:v>comforting</x:v>
      </x:c>
      <x:c r="E28" s="38"/>
      <x:c r="F28" s="38"/>
      <x:c r="G28" s="38" t="str">
        <x:v>comforting</x:v>
      </x:c>
      <x:c r="H28" s="38" t="str">
        <x:v>comforting</x:v>
      </x:c>
      <x:c r="I28" s="38" t="str">
        <x:v>NO</x:v>
      </x:c>
      <x:c r="J28" s="38" t="str">
        <x:v>none</x:v>
      </x:c>
    </x:row>
    <x:row r="29" ht="40" customHeight="1">
      <x:c r="A29" s="38" t="n">
        <x:v>25</x:v>
      </x:c>
      <x:c r="B29" s="38" t="str">
        <x:v>lobster-roll</x:v>
      </x:c>
      <x:c r="C29" s="38" t="str">
        <x:v>Lobster Roll</x:v>
      </x:c>
      <x:c r="D29" s="38" t="str">
        <x:v>rich</x:v>
      </x:c>
      <x:c r="E29" s="38" t="str">
        <x:v>fresh</x:v>
      </x:c>
      <x:c r="F29" s="38"/>
      <x:c r="G29" s="38" t="str">
        <x:v>rich | fresh</x:v>
      </x:c>
      <x:c r="H29" s="38" t="str">
        <x:v>rich</x:v>
      </x:c>
      <x:c r="I29" s="38" t="str">
        <x:v>YES</x:v>
      </x:c>
      <x:c r="J29" s="38" t="str">
        <x:v>remove fresh</x:v>
      </x:c>
    </x:row>
    <x:row r="30" ht="40" customHeight="1">
      <x:c r="A30" s="38" t="n">
        <x:v>26</x:v>
      </x:c>
      <x:c r="B30" s="38" t="str">
        <x:v>udon</x:v>
      </x:c>
      <x:c r="C30" s="38" t="str">
        <x:v>Udon</x:v>
      </x:c>
      <x:c r="D30" s="38" t="str">
        <x:v>comforting</x:v>
      </x:c>
      <x:c r="E30" s="38"/>
      <x:c r="F30" s="38"/>
      <x:c r="G30" s="38" t="str">
        <x:v>comforting</x:v>
      </x:c>
      <x:c r="H30" s="38" t="str">
        <x:v>comforting</x:v>
      </x:c>
      <x:c r="I30" s="38" t="str">
        <x:v>NO</x:v>
      </x:c>
      <x:c r="J30" s="38" t="str">
        <x:v>none</x:v>
      </x:c>
    </x:row>
    <x:row r="31" ht="40" customHeight="1">
      <x:c r="A31" s="38" t="n">
        <x:v>27</x:v>
      </x:c>
      <x:c r="B31" s="38" t="str">
        <x:v>kimchi-jjigae</x:v>
      </x:c>
      <x:c r="C31" s="38" t="str">
        <x:v>Kimchi-jjigae</x:v>
      </x:c>
      <x:c r="D31" s="38" t="str">
        <x:v>spicy</x:v>
      </x:c>
      <x:c r="E31" s="38"/>
      <x:c r="F31" s="38"/>
      <x:c r="G31" s="38" t="str">
        <x:v>spicy</x:v>
      </x:c>
      <x:c r="H31" s="38" t="str">
        <x:v>spicy</x:v>
      </x:c>
      <x:c r="I31" s="38" t="str">
        <x:v>NO</x:v>
      </x:c>
      <x:c r="J31" s="38" t="str">
        <x:v>none</x:v>
      </x:c>
    </x:row>
    <x:row r="32" ht="40" customHeight="1">
      <x:c r="A32" s="38" t="n">
        <x:v>28</x:v>
      </x:c>
      <x:c r="B32" s="38" t="str">
        <x:v>bulgogi</x:v>
      </x:c>
      <x:c r="C32" s="38" t="str">
        <x:v>Bulgogi</x:v>
      </x:c>
      <x:c r="D32" s="38" t="str">
        <x:v>comforting</x:v>
      </x:c>
      <x:c r="E32" s="38" t="str">
        <x:v>rich</x:v>
      </x:c>
      <x:c r="F32" s="38"/>
      <x:c r="G32" s="38" t="str">
        <x:v>comforting | rich</x:v>
      </x:c>
      <x:c r="H32" s="38" t="str">
        <x:v>comforting | rich</x:v>
      </x:c>
      <x:c r="I32" s="38" t="str">
        <x:v>NO</x:v>
      </x:c>
      <x:c r="J32" s="38" t="str">
        <x:v>none</x:v>
      </x:c>
    </x:row>
    <x:row r="33" ht="40" customHeight="1">
      <x:c r="A33" s="38" t="n">
        <x:v>29</x:v>
      </x:c>
      <x:c r="B33" s="38" t="str">
        <x:v>jianbing</x:v>
      </x:c>
      <x:c r="C33" s="38" t="str">
        <x:v>Jianbing</x:v>
      </x:c>
      <x:c r="D33" s="38" t="str">
        <x:v>crispy</x:v>
      </x:c>
      <x:c r="E33" s="38"/>
      <x:c r="F33" s="38"/>
      <x:c r="G33" s="38" t="str">
        <x:v>crispy</x:v>
      </x:c>
      <x:c r="H33" s="38" t="str">
        <x:v>crispy</x:v>
      </x:c>
      <x:c r="I33" s="38" t="str">
        <x:v>NO</x:v>
      </x:c>
      <x:c r="J33" s="38" t="str">
        <x:v>none</x:v>
      </x:c>
    </x:row>
    <x:row r="34" ht="40" customHeight="1">
      <x:c r="A34" s="38" t="n">
        <x:v>30</x:v>
      </x:c>
      <x:c r="B34" s="38" t="str">
        <x:v>chole-bhature</x:v>
      </x:c>
      <x:c r="C34" s="38" t="str">
        <x:v>Chole Bhature</x:v>
      </x:c>
      <x:c r="D34" s="38" t="str">
        <x:v>rich</x:v>
      </x:c>
      <x:c r="E34" s="38" t="str">
        <x:v>spicy</x:v>
      </x:c>
      <x:c r="F34" s="38"/>
      <x:c r="G34" s="38" t="str">
        <x:v>rich | spicy</x:v>
      </x:c>
      <x:c r="H34" s="38" t="str">
        <x:v>rich</x:v>
      </x:c>
      <x:c r="I34" s="38" t="str">
        <x:v>YES</x:v>
      </x:c>
      <x:c r="J34" s="38" t="str">
        <x:v>remove spicy</x:v>
      </x:c>
    </x:row>
    <x:row r="35" ht="40" customHeight="1">
      <x:c r="A35" s="38" t="n">
        <x:v>31</x:v>
      </x:c>
      <x:c r="B35" s="38" t="str">
        <x:v>chicken-tikka</x:v>
      </x:c>
      <x:c r="C35" s="38" t="str">
        <x:v>Chicken Tikka</x:v>
      </x:c>
      <x:c r="D35" s="38" t="str">
        <x:v>tangy</x:v>
      </x:c>
      <x:c r="E35" s="38"/>
      <x:c r="F35" s="38"/>
      <x:c r="G35" s="38" t="str">
        <x:v>tangy</x:v>
      </x:c>
      <x:c r="H35" s="38" t="str">
        <x:v>tangy</x:v>
      </x:c>
      <x:c r="I35" s="38" t="str">
        <x:v>NO</x:v>
      </x:c>
      <x:c r="J35" s="38" t="str">
        <x:v>none</x:v>
      </x:c>
    </x:row>
    <x:row r="36" ht="40" customHeight="1">
      <x:c r="A36" s="38" t="n">
        <x:v>32</x:v>
      </x:c>
      <x:c r="B36" s="38" t="str">
        <x:v>haleem</x:v>
      </x:c>
      <x:c r="C36" s="38" t="str">
        <x:v>Haleem</x:v>
      </x:c>
      <x:c r="D36" s="38" t="str">
        <x:v>rich</x:v>
      </x:c>
      <x:c r="E36" s="38" t="str">
        <x:v>comforting</x:v>
      </x:c>
      <x:c r="F36" s="38"/>
      <x:c r="G36" s="38" t="str">
        <x:v>rich | comforting</x:v>
      </x:c>
      <x:c r="H36" s="38" t="str">
        <x:v>rich | comforting</x:v>
      </x:c>
      <x:c r="I36" s="38" t="str">
        <x:v>NO</x:v>
      </x:c>
      <x:c r="J36" s="38" t="str">
        <x:v>none</x:v>
      </x:c>
    </x:row>
    <x:row r="37" ht="40" customHeight="1">
      <x:c r="A37" s="38" t="n">
        <x:v>33</x:v>
      </x:c>
      <x:c r="B37" s="38" t="str">
        <x:v>kabsa</x:v>
      </x:c>
      <x:c r="C37" s="38" t="str">
        <x:v>Kabsa</x:v>
      </x:c>
      <x:c r="D37" s="38" t="str">
        <x:v>comforting</x:v>
      </x:c>
      <x:c r="E37" s="38"/>
      <x:c r="F37" s="38"/>
      <x:c r="G37" s="38" t="str">
        <x:v>comforting</x:v>
      </x:c>
      <x:c r="H37" s="38" t="str">
        <x:v>comforting</x:v>
      </x:c>
      <x:c r="I37" s="38" t="str">
        <x:v>NO</x:v>
      </x:c>
      <x:c r="J37" s="38" t="str">
        <x:v>none</x:v>
      </x:c>
    </x:row>
    <x:row r="38" ht="40" customHeight="1">
      <x:c r="A38" s="38" t="n">
        <x:v>34</x:v>
      </x:c>
      <x:c r="B38" s="38" t="str">
        <x:v>shawarma</x:v>
      </x:c>
      <x:c r="C38" s="38" t="str">
        <x:v>Shawarma</x:v>
      </x:c>
      <x:c r="D38" s="38" t="str">
        <x:v>rich</x:v>
      </x:c>
      <x:c r="E38" s="38" t="str">
        <x:v>tangy</x:v>
      </x:c>
      <x:c r="F38" s="38"/>
      <x:c r="G38" s="38" t="str">
        <x:v>rich | tangy</x:v>
      </x:c>
      <x:c r="H38" s="38" t="str">
        <x:v>rich</x:v>
      </x:c>
      <x:c r="I38" s="38" t="str">
        <x:v>YES</x:v>
      </x:c>
      <x:c r="J38" s="38" t="str">
        <x:v>remove tangy</x:v>
      </x:c>
    </x:row>
    <x:row r="39" ht="40" customHeight="1">
      <x:c r="A39" s="38" t="n">
        <x:v>35</x:v>
      </x:c>
      <x:c r="B39" s="38" t="str">
        <x:v>ash-reshteh</x:v>
      </x:c>
      <x:c r="C39" s="38" t="str">
        <x:v>Ash Reshteh</x:v>
      </x:c>
      <x:c r="D39" s="38" t="str">
        <x:v>comforting</x:v>
      </x:c>
      <x:c r="E39" s="38" t="str">
        <x:v>rich</x:v>
      </x:c>
      <x:c r="F39" s="38"/>
      <x:c r="G39" s="38" t="str">
        <x:v>comforting | rich</x:v>
      </x:c>
      <x:c r="H39" s="38" t="str">
        <x:v>comforting | rich</x:v>
      </x:c>
      <x:c r="I39" s="38" t="str">
        <x:v>NO</x:v>
      </x:c>
      <x:c r="J39" s="38" t="str">
        <x:v>none</x:v>
      </x:c>
    </x:row>
    <x:row r="40" ht="40" customHeight="1">
      <x:c r="A40" s="38" t="n">
        <x:v>36</x:v>
      </x:c>
      <x:c r="B40" s="38" t="str">
        <x:v>jollof-rice</x:v>
      </x:c>
      <x:c r="C40" s="38" t="str">
        <x:v>Jollof Rice</x:v>
      </x:c>
      <x:c r="D40" s="38" t="str">
        <x:v>comforting</x:v>
      </x:c>
      <x:c r="E40" s="38"/>
      <x:c r="F40" s="38"/>
      <x:c r="G40" s="38" t="str">
        <x:v>comforting</x:v>
      </x:c>
      <x:c r="H40" s="38" t="str">
        <x:v>comforting</x:v>
      </x:c>
      <x:c r="I40" s="38" t="str">
        <x:v>NO</x:v>
      </x:c>
      <x:c r="J40" s="38" t="str">
        <x:v>none</x:v>
      </x:c>
    </x:row>
    <x:row r="41" ht="40" customHeight="1">
      <x:c r="A41" s="38" t="n">
        <x:v>37</x:v>
      </x:c>
      <x:c r="B41" s="38" t="str">
        <x:v>doro-wat</x:v>
      </x:c>
      <x:c r="C41" s="38" t="str">
        <x:v>Doro Wat</x:v>
      </x:c>
      <x:c r="D41" s="38" t="str">
        <x:v>spicy</x:v>
      </x:c>
      <x:c r="E41" s="38" t="str">
        <x:v>rich</x:v>
      </x:c>
      <x:c r="F41" s="38"/>
      <x:c r="G41" s="38" t="str">
        <x:v>spicy | rich</x:v>
      </x:c>
      <x:c r="H41" s="38" t="str">
        <x:v>spicy | rich</x:v>
      </x:c>
      <x:c r="I41" s="38" t="str">
        <x:v>NO</x:v>
      </x:c>
      <x:c r="J41" s="38" t="str">
        <x:v>none</x:v>
      </x:c>
    </x:row>
    <x:row r="42" ht="40" customHeight="1">
      <x:c r="A42" s="38" t="n">
        <x:v>38</x:v>
      </x:c>
      <x:c r="B42" s="38" t="str">
        <x:v>koshari</x:v>
      </x:c>
      <x:c r="C42" s="38" t="str">
        <x:v>Koshari</x:v>
      </x:c>
      <x:c r="D42" s="38" t="str">
        <x:v>comforting</x:v>
      </x:c>
      <x:c r="E42" s="38" t="str">
        <x:v>tangy</x:v>
      </x:c>
      <x:c r="F42" s="38"/>
      <x:c r="G42" s="38" t="str">
        <x:v>comforting | tangy</x:v>
      </x:c>
      <x:c r="H42" s="38" t="str">
        <x:v>comforting | tangy | crispy</x:v>
      </x:c>
      <x:c r="I42" s="38" t="str">
        <x:v>YES</x:v>
      </x:c>
      <x:c r="J42" s="38" t="str">
        <x:v>add crispy</x:v>
      </x:c>
    </x:row>
    <x:row r="43" ht="40" customHeight="1">
      <x:c r="A43" s="38" t="n">
        <x:v>39</x:v>
      </x:c>
      <x:c r="B43" s="38" t="str">
        <x:v>thieboudienne</x:v>
      </x:c>
      <x:c r="C43" s="38" t="str">
        <x:v>Thieboudienne</x:v>
      </x:c>
      <x:c r="D43" s="38" t="str">
        <x:v>comforting</x:v>
      </x:c>
      <x:c r="E43" s="38"/>
      <x:c r="F43" s="38"/>
      <x:c r="G43" s="38" t="str">
        <x:v>comforting</x:v>
      </x:c>
      <x:c r="H43" s="38" t="str">
        <x:v>comforting</x:v>
      </x:c>
      <x:c r="I43" s="38" t="str">
        <x:v>NO</x:v>
      </x:c>
      <x:c r="J43" s="38" t="str">
        <x:v>none</x:v>
      </x:c>
    </x:row>
    <x:row r="44" ht="40" customHeight="1">
      <x:c r="A44" s="38" t="n">
        <x:v>40</x:v>
      </x:c>
      <x:c r="B44" s="38" t="str">
        <x:v>paella</x:v>
      </x:c>
      <x:c r="C44" s="38" t="str">
        <x:v>Paella</x:v>
      </x:c>
      <x:c r="D44" s="38" t="str">
        <x:v>comforting</x:v>
      </x:c>
      <x:c r="E44" s="38"/>
      <x:c r="F44" s="38"/>
      <x:c r="G44" s="38" t="str">
        <x:v>comforting</x:v>
      </x:c>
      <x:c r="H44" s="38" t="str">
        <x:v>comforting</x:v>
      </x:c>
      <x:c r="I44" s="38" t="str">
        <x:v>NO</x:v>
      </x:c>
      <x:c r="J44" s="38" t="str">
        <x:v>none</x:v>
      </x:c>
    </x:row>
    <x:row r="45" ht="40" customHeight="1">
      <x:c r="A45" s="38" t="n">
        <x:v>41</x:v>
      </x:c>
      <x:c r="B45" s="38" t="str">
        <x:v>goulash</x:v>
      </x:c>
      <x:c r="C45" s="38" t="str">
        <x:v>Goulash</x:v>
      </x:c>
      <x:c r="D45" s="38" t="str">
        <x:v>rich</x:v>
      </x:c>
      <x:c r="E45" s="38" t="str">
        <x:v>comforting</x:v>
      </x:c>
      <x:c r="F45" s="38"/>
      <x:c r="G45" s="38" t="str">
        <x:v>rich | comforting</x:v>
      </x:c>
      <x:c r="H45" s="38" t="str">
        <x:v>rich | comforting</x:v>
      </x:c>
      <x:c r="I45" s="38" t="str">
        <x:v>NO</x:v>
      </x:c>
      <x:c r="J45" s="38" t="str">
        <x:v>none</x:v>
      </x:c>
    </x:row>
    <x:row r="46" ht="40" customHeight="1">
      <x:c r="A46" s="38" t="n">
        <x:v>42</x:v>
      </x:c>
      <x:c r="B46" s="38" t="str">
        <x:v>souvlaki</x:v>
      </x:c>
      <x:c r="C46" s="38" t="str">
        <x:v>Souvlaki</x:v>
      </x:c>
      <x:c r="D46" s="38" t="str">
        <x:v>fresh</x:v>
      </x:c>
      <x:c r="E46" s="38" t="str">
        <x:v>tangy</x:v>
      </x:c>
      <x:c r="F46" s="38"/>
      <x:c r="G46" s="38" t="str">
        <x:v>fresh | tangy</x:v>
      </x:c>
      <x:c r="H46" s="38" t="str">
        <x:v>fresh</x:v>
      </x:c>
      <x:c r="I46" s="38" t="str">
        <x:v>YES</x:v>
      </x:c>
      <x:c r="J46" s="38" t="str">
        <x:v>remove tangy</x:v>
      </x:c>
    </x:row>
    <x:row r="47" ht="40" customHeight="1">
      <x:c r="A47" s="38" t="n">
        <x:v>43</x:v>
      </x:c>
      <x:c r="B47" s="38" t="str">
        <x:v>pierogi</x:v>
      </x:c>
      <x:c r="C47" s="38" t="str">
        <x:v>Pierogi</x:v>
      </x:c>
      <x:c r="D47" s="38" t="str">
        <x:v>comforting</x:v>
      </x:c>
      <x:c r="E47" s="38" t="str">
        <x:v>rich</x:v>
      </x:c>
      <x:c r="F47" s="38"/>
      <x:c r="G47" s="38" t="str">
        <x:v>comforting | rich</x:v>
      </x:c>
      <x:c r="H47" s="38" t="str">
        <x:v>comforting | rich</x:v>
      </x:c>
      <x:c r="I47" s="38" t="str">
        <x:v>NO</x:v>
      </x:c>
      <x:c r="J47" s="38" t="str">
        <x:v>none</x:v>
      </x:c>
    </x:row>
    <x:row r="48" ht="40" customHeight="1">
      <x:c r="A48" s="38" t="n">
        <x:v>44</x:v>
      </x:c>
      <x:c r="B48" s="38" t="str">
        <x:v>arepa</x:v>
      </x:c>
      <x:c r="C48" s="38" t="str">
        <x:v>Arepa</x:v>
      </x:c>
      <x:c r="D48" s="38" t="str">
        <x:v>comforting</x:v>
      </x:c>
      <x:c r="E48" s="38"/>
      <x:c r="F48" s="38"/>
      <x:c r="G48" s="38" t="str">
        <x:v>comforting</x:v>
      </x:c>
      <x:c r="H48" s="38" t="str">
        <x:v>comforting</x:v>
      </x:c>
      <x:c r="I48" s="38" t="str">
        <x:v>NO</x:v>
      </x:c>
      <x:c r="J48" s="38" t="str">
        <x:v>none</x:v>
      </x:c>
    </x:row>
    <x:row r="49" ht="40" customHeight="1">
      <x:c r="A49" s="38" t="n">
        <x:v>45</x:v>
      </x:c>
      <x:c r="B49" s="38" t="str">
        <x:v>ceviche</x:v>
      </x:c>
      <x:c r="C49" s="38" t="str">
        <x:v>Ceviche</x:v>
      </x:c>
      <x:c r="D49" s="38" t="str">
        <x:v>fresh</x:v>
      </x:c>
      <x:c r="E49" s="38" t="str">
        <x:v>tangy</x:v>
      </x:c>
      <x:c r="F49" s="38"/>
      <x:c r="G49" s="38" t="str">
        <x:v>fresh | tangy</x:v>
      </x:c>
      <x:c r="H49" s="38" t="str">
        <x:v>fresh | tangy</x:v>
      </x:c>
      <x:c r="I49" s="38" t="str">
        <x:v>NO</x:v>
      </x:c>
      <x:c r="J49" s="38" t="str">
        <x:v>none</x:v>
      </x:c>
    </x:row>
    <x:row r="50" ht="40" customHeight="1">
      <x:c r="A50" s="38" t="n">
        <x:v>46</x:v>
      </x:c>
      <x:c r="B50" s="38" t="str">
        <x:v>arroz-con-pollo</x:v>
      </x:c>
      <x:c r="C50" s="38" t="str">
        <x:v>Arroz con Pollo</x:v>
      </x:c>
      <x:c r="D50" s="38" t="str">
        <x:v>comforting</x:v>
      </x:c>
      <x:c r="E50" s="38"/>
      <x:c r="F50" s="38"/>
      <x:c r="G50" s="38" t="str">
        <x:v>comforting</x:v>
      </x:c>
      <x:c r="H50" s="38" t="str">
        <x:v>comforting</x:v>
      </x:c>
      <x:c r="I50" s="38" t="str">
        <x:v>NO</x:v>
      </x:c>
      <x:c r="J50" s="38" t="str">
        <x:v>none</x:v>
      </x:c>
    </x:row>
    <x:row r="51" ht="40" customHeight="1">
      <x:c r="A51" s="38" t="n">
        <x:v>47</x:v>
      </x:c>
      <x:c r="B51" s="38" t="str">
        <x:v>sancocho</x:v>
      </x:c>
      <x:c r="C51" s="38" t="str">
        <x:v>Sancocho</x:v>
      </x:c>
      <x:c r="D51" s="38" t="str">
        <x:v>comforting</x:v>
      </x:c>
      <x:c r="E51" s="38"/>
      <x:c r="F51" s="38"/>
      <x:c r="G51" s="38" t="str">
        <x:v>comforting</x:v>
      </x:c>
      <x:c r="H51" s="38" t="str">
        <x:v>comforting</x:v>
      </x:c>
      <x:c r="I51" s="38" t="str">
        <x:v>NO</x:v>
      </x:c>
      <x:c r="J51" s="38" t="str">
        <x:v>none</x:v>
      </x:c>
    </x:row>
    <x:row r="52" ht="40" customHeight="1">
      <x:c r="A52" s="38" t="n">
        <x:v>48</x:v>
      </x:c>
      <x:c r="B52" s="38" t="str">
        <x:v>gumbo</x:v>
      </x:c>
      <x:c r="C52" s="38" t="str">
        <x:v>Gumbo</x:v>
      </x:c>
      <x:c r="D52" s="38" t="str">
        <x:v>rich</x:v>
      </x:c>
      <x:c r="E52" s="38" t="str">
        <x:v>spicy</x:v>
      </x:c>
      <x:c r="F52" s="38"/>
      <x:c r="G52" s="38" t="str">
        <x:v>rich | spicy</x:v>
      </x:c>
      <x:c r="H52" s="38" t="str">
        <x:v>rich</x:v>
      </x:c>
      <x:c r="I52" s="38" t="str">
        <x:v>YES</x:v>
      </x:c>
      <x:c r="J52" s="38" t="str">
        <x:v>remove spicy</x:v>
      </x:c>
    </x:row>
    <x:row r="53" ht="40" customHeight="1">
      <x:c r="A53" s="38" t="n">
        <x:v>49</x:v>
      </x:c>
      <x:c r="B53" s="38" t="str">
        <x:v>smoked-brisket</x:v>
      </x:c>
      <x:c r="C53" s="38" t="str">
        <x:v>Smoked Brisket</x:v>
      </x:c>
      <x:c r="D53" s="38" t="str">
        <x:v>rich</x:v>
      </x:c>
      <x:c r="E53" s="38"/>
      <x:c r="F53" s="38"/>
      <x:c r="G53" s="38" t="str">
        <x:v>rich</x:v>
      </x:c>
      <x:c r="H53" s="38" t="str">
        <x:v>rich</x:v>
      </x:c>
      <x:c r="I53" s="38" t="str">
        <x:v>NO</x:v>
      </x:c>
      <x:c r="J53" s="38" t="str">
        <x:v>none</x:v>
      </x:c>
    </x:row>
    <x:row r="54" ht="40" customHeight="1">
      <x:c r="A54" s="38" t="n">
        <x:v>50</x:v>
      </x:c>
      <x:c r="B54" s="38" t="str">
        <x:v>poke-bowl</x:v>
      </x:c>
      <x:c r="C54" s="38" t="str">
        <x:v>Poke Bowl</x:v>
      </x:c>
      <x:c r="D54" s="38" t="str">
        <x:v>fresh</x:v>
      </x:c>
      <x:c r="E54" s="38" t="str">
        <x:v>tangy</x:v>
      </x:c>
      <x:c r="F54" s="38"/>
      <x:c r="G54" s="38" t="str">
        <x:v>fresh | tangy</x:v>
      </x:c>
      <x:c r="H54" s="38" t="str">
        <x:v>fresh</x:v>
      </x:c>
      <x:c r="I54" s="38" t="str">
        <x:v>YES</x:v>
      </x:c>
      <x:c r="J54" s="38" t="str">
        <x:v>remove tangy</x:v>
      </x:c>
    </x:row>
    <x:row r="55" ht="40" customHeight="1">
      <x:c r="A55" s="38" t="n">
        <x:v>51</x:v>
      </x:c>
      <x:c r="B55" s="38" t="str">
        <x:v>nasi-goreng</x:v>
      </x:c>
      <x:c r="C55" s="38" t="str">
        <x:v>Nasi Goreng</x:v>
      </x:c>
      <x:c r="D55" s="38" t="str">
        <x:v>comforting</x:v>
      </x:c>
      <x:c r="E55" s="38"/>
      <x:c r="F55" s="38"/>
      <x:c r="G55" s="38" t="str">
        <x:v>comforting</x:v>
      </x:c>
      <x:c r="H55" s="38" t="str">
        <x:v>comforting | spicy</x:v>
      </x:c>
      <x:c r="I55" s="38" t="str">
        <x:v>YES</x:v>
      </x:c>
      <x:c r="J55" s="38" t="str">
        <x:v>add spicy</x:v>
      </x:c>
    </x:row>
    <x:row r="56" ht="40" customHeight="1">
      <x:c r="A56" s="38" t="n">
        <x:v>52</x:v>
      </x:c>
      <x:c r="B56" s="38" t="str">
        <x:v>chicken-adobo</x:v>
      </x:c>
      <x:c r="C56" s="38" t="str">
        <x:v>Chicken Adobo</x:v>
      </x:c>
      <x:c r="D56" s="38" t="str">
        <x:v>comforting</x:v>
      </x:c>
      <x:c r="E56" s="38" t="str">
        <x:v>tangy</x:v>
      </x:c>
      <x:c r="F56" s="38"/>
      <x:c r="G56" s="38" t="str">
        <x:v>comforting | tangy</x:v>
      </x:c>
      <x:c r="H56" s="38" t="str">
        <x:v>comforting | tangy</x:v>
      </x:c>
      <x:c r="I56" s="38" t="str">
        <x:v>NO</x:v>
      </x:c>
      <x:c r="J56" s="38" t="str">
        <x:v>none</x:v>
      </x:c>
    </x:row>
    <x:row r="57" ht="40" customHeight="1">
      <x:c r="A57" s="38" t="n">
        <x:v>53</x:v>
      </x:c>
      <x:c r="B57" s="38" t="str">
        <x:v>satay</x:v>
      </x:c>
      <x:c r="C57" s="38" t="str">
        <x:v>Satay</x:v>
      </x:c>
      <x:c r="D57" s="38" t="str">
        <x:v>rich</x:v>
      </x:c>
      <x:c r="E57" s="38" t="str">
        <x:v>spicy</x:v>
      </x:c>
      <x:c r="F57" s="38"/>
      <x:c r="G57" s="38" t="str">
        <x:v>rich | spicy</x:v>
      </x:c>
      <x:c r="H57" s="38" t="str">
        <x:v>rich</x:v>
      </x:c>
      <x:c r="I57" s="38" t="str">
        <x:v>YES</x:v>
      </x:c>
      <x:c r="J57" s="38" t="str">
        <x:v>remove spicy</x:v>
      </x:c>
    </x:row>
    <x:row r="58" ht="40" customHeight="1">
      <x:c r="A58" s="38" t="n">
        <x:v>54</x:v>
      </x:c>
      <x:c r="B58" s="38" t="str">
        <x:v>laksa</x:v>
      </x:c>
      <x:c r="C58" s="38" t="str">
        <x:v>Laksa</x:v>
      </x:c>
      <x:c r="D58" s="38" t="str">
        <x:v>spicy</x:v>
      </x:c>
      <x:c r="E58" s="38"/>
      <x:c r="F58" s="38"/>
      <x:c r="G58" s="38" t="str">
        <x:v>spicy</x:v>
      </x:c>
      <x:c r="H58" s="38" t="str">
        <x:v>spicy</x:v>
      </x:c>
      <x:c r="I58" s="38" t="str">
        <x:v>NO</x:v>
      </x:c>
      <x:c r="J58" s="38" t="str">
        <x:v>none</x:v>
      </x:c>
    </x:row>
    <x:row r="59" ht="40" customHeight="1">
      <x:c r="A59" s="38" t="n">
        <x:v>55</x:v>
      </x:c>
      <x:c r="B59" s="38" t="str">
        <x:v>banh-mi</x:v>
      </x:c>
      <x:c r="C59" s="38" t="str">
        <x:v>Bánh Mì</x:v>
      </x:c>
      <x:c r="D59" s="38" t="str">
        <x:v>fresh</x:v>
      </x:c>
      <x:c r="E59" s="38" t="str">
        <x:v>crispy</x:v>
      </x:c>
      <x:c r="F59" s="38" t="str">
        <x:v>tangy</x:v>
      </x:c>
      <x:c r="G59" s="38" t="str">
        <x:v>fresh | crispy | tangy</x:v>
      </x:c>
      <x:c r="H59" s="38" t="str">
        <x:v>fresh | crispy | tangy</x:v>
      </x:c>
      <x:c r="I59" s="38" t="str">
        <x:v>NO</x:v>
      </x:c>
      <x:c r="J59" s="38" t="str">
        <x:v>none</x:v>
      </x:c>
    </x:row>
    <x:row r="60" ht="40" customHeight="1">
      <x:c r="A60" s="38" t="n">
        <x:v>56</x:v>
      </x:c>
      <x:c r="B60" s="38" t="str">
        <x:v>sinigang</x:v>
      </x:c>
      <x:c r="C60" s="38" t="str">
        <x:v>Sinigang</x:v>
      </x:c>
      <x:c r="D60" s="38" t="str">
        <x:v>tangy</x:v>
      </x:c>
      <x:c r="E60" s="38" t="str">
        <x:v>comforting</x:v>
      </x:c>
      <x:c r="F60" s="38"/>
      <x:c r="G60" s="38" t="str">
        <x:v>tangy | comforting</x:v>
      </x:c>
      <x:c r="H60" s="38" t="str">
        <x:v>tangy | comforting</x:v>
      </x:c>
      <x:c r="I60" s="38" t="str">
        <x:v>NO</x:v>
      </x:c>
      <x:c r="J60" s="38" t="str">
        <x:v>none</x:v>
      </x:c>
    </x:row>
    <x:row r="61" ht="40" customHeight="1">
      <x:c r="A61" s="38" t="n">
        <x:v>57</x:v>
      </x:c>
      <x:c r="B61" s="38" t="str">
        <x:v>gyoza</x:v>
      </x:c>
      <x:c r="C61" s="38" t="str">
        <x:v>Gyoza</x:v>
      </x:c>
      <x:c r="D61" s="38" t="str">
        <x:v>crispy</x:v>
      </x:c>
      <x:c r="E61" s="38"/>
      <x:c r="F61" s="38"/>
      <x:c r="G61" s="38" t="str">
        <x:v>crispy</x:v>
      </x:c>
      <x:c r="H61" s="38" t="str">
        <x:v>crispy</x:v>
      </x:c>
      <x:c r="I61" s="38" t="str">
        <x:v>NO</x:v>
      </x:c>
      <x:c r="J61" s="38" t="str">
        <x:v>none</x:v>
      </x:c>
    </x:row>
    <x:row r="62" ht="40" customHeight="1">
      <x:c r="A62" s="38" t="n">
        <x:v>58</x:v>
      </x:c>
      <x:c r="B62" s="38" t="str">
        <x:v>tonkatsu</x:v>
      </x:c>
      <x:c r="C62" s="38" t="str">
        <x:v>Tonkatsu</x:v>
      </x:c>
      <x:c r="D62" s="38" t="str">
        <x:v>crispy</x:v>
      </x:c>
      <x:c r="E62" s="38" t="str">
        <x:v>comforting</x:v>
      </x:c>
      <x:c r="F62" s="38"/>
      <x:c r="G62" s="38" t="str">
        <x:v>crispy | comforting</x:v>
      </x:c>
      <x:c r="H62" s="38" t="str">
        <x:v>crispy | comforting</x:v>
      </x:c>
      <x:c r="I62" s="38" t="str">
        <x:v>NO</x:v>
      </x:c>
      <x:c r="J62" s="38" t="str">
        <x:v>none</x:v>
      </x:c>
    </x:row>
    <x:row r="63" ht="40" customHeight="1">
      <x:c r="A63" s="38" t="n">
        <x:v>59</x:v>
      </x:c>
      <x:c r="B63" s="38" t="str">
        <x:v>congee</x:v>
      </x:c>
      <x:c r="C63" s="38" t="str">
        <x:v>Congee</x:v>
      </x:c>
      <x:c r="D63" s="38" t="str">
        <x:v>comforting</x:v>
      </x:c>
      <x:c r="E63" s="38" t="str">
        <x:v>fresh</x:v>
      </x:c>
      <x:c r="F63" s="38"/>
      <x:c r="G63" s="38" t="str">
        <x:v>comforting | fresh</x:v>
      </x:c>
      <x:c r="H63" s="38" t="str">
        <x:v>comforting</x:v>
      </x:c>
      <x:c r="I63" s="38" t="str">
        <x:v>YES</x:v>
      </x:c>
      <x:c r="J63" s="38" t="str">
        <x:v>remove fresh</x:v>
      </x:c>
    </x:row>
    <x:row r="64" ht="40" customHeight="1">
      <x:c r="A64" s="38" t="n">
        <x:v>60</x:v>
      </x:c>
      <x:c r="B64" s="38" t="str">
        <x:v>samosa</x:v>
      </x:c>
      <x:c r="C64" s="38" t="str">
        <x:v>Samosa</x:v>
      </x:c>
      <x:c r="D64" s="38" t="str">
        <x:v>crispy</x:v>
      </x:c>
      <x:c r="E64" s="38" t="str">
        <x:v>spicy</x:v>
      </x:c>
      <x:c r="F64" s="38"/>
      <x:c r="G64" s="38" t="str">
        <x:v>crispy | spicy</x:v>
      </x:c>
      <x:c r="H64" s="38" t="str">
        <x:v>crispy</x:v>
      </x:c>
      <x:c r="I64" s="38" t="str">
        <x:v>YES</x:v>
      </x:c>
      <x:c r="J64" s="38" t="str">
        <x:v>remove spicy</x:v>
      </x:c>
    </x:row>
    <x:row r="65" ht="40" customHeight="1">
      <x:c r="A65" s="38" t="n">
        <x:v>61</x:v>
      </x:c>
      <x:c r="B65" s="38" t="str">
        <x:v>tandoori-chicken</x:v>
      </x:c>
      <x:c r="C65" s="38" t="str">
        <x:v>Tandoori Chicken</x:v>
      </x:c>
      <x:c r="D65" s="38" t="str">
        <x:v>tangy</x:v>
      </x:c>
      <x:c r="E65" s="38"/>
      <x:c r="F65" s="38"/>
      <x:c r="G65" s="38" t="str">
        <x:v>tangy</x:v>
      </x:c>
      <x:c r="H65" s="38" t="str">
        <x:v>tangy</x:v>
      </x:c>
      <x:c r="I65" s="38" t="str">
        <x:v>NO</x:v>
      </x:c>
      <x:c r="J65" s="38" t="str">
        <x:v>none</x:v>
      </x:c>
    </x:row>
    <x:row r="66" ht="40" customHeight="1">
      <x:c r="A66" s="38" t="n">
        <x:v>62</x:v>
      </x:c>
      <x:c r="B66" s="38" t="str">
        <x:v>idiyappam</x:v>
      </x:c>
      <x:c r="C66" s="38" t="str">
        <x:v>Idiyappam</x:v>
      </x:c>
      <x:c r="D66" s="38" t="str">
        <x:v>comforting</x:v>
      </x:c>
      <x:c r="E66" s="38" t="str">
        <x:v>fresh</x:v>
      </x:c>
      <x:c r="F66" s="38"/>
      <x:c r="G66" s="38" t="str">
        <x:v>comforting | fresh</x:v>
      </x:c>
      <x:c r="H66" s="38" t="str">
        <x:v>comforting</x:v>
      </x:c>
      <x:c r="I66" s="38" t="str">
        <x:v>YES</x:v>
      </x:c>
      <x:c r="J66" s="38" t="str">
        <x:v>remove fresh</x:v>
      </x:c>
    </x:row>
    <x:row r="67" ht="40" customHeight="1">
      <x:c r="A67" s="38" t="n">
        <x:v>63</x:v>
      </x:c>
      <x:c r="B67" s="38" t="str">
        <x:v>falafel</x:v>
      </x:c>
      <x:c r="C67" s="38" t="str">
        <x:v>Falafel</x:v>
      </x:c>
      <x:c r="D67" s="38" t="str">
        <x:v>crispy</x:v>
      </x:c>
      <x:c r="E67" s="38" t="str">
        <x:v>fresh</x:v>
      </x:c>
      <x:c r="F67" s="38"/>
      <x:c r="G67" s="38" t="str">
        <x:v>crispy | fresh</x:v>
      </x:c>
      <x:c r="H67" s="38" t="str">
        <x:v>crispy | fresh</x:v>
      </x:c>
      <x:c r="I67" s="38" t="str">
        <x:v>NO</x:v>
      </x:c>
      <x:c r="J67" s="38" t="str">
        <x:v>none</x:v>
      </x:c>
    </x:row>
    <x:row r="68" ht="40" customHeight="1">
      <x:c r="A68" s="38" t="n">
        <x:v>64</x:v>
      </x:c>
      <x:c r="B68" s="38" t="str">
        <x:v>kabab-koobideh</x:v>
      </x:c>
      <x:c r="C68" s="38" t="str">
        <x:v>Kabab Koobideh</x:v>
      </x:c>
      <x:c r="D68" s="38" t="str">
        <x:v>rich</x:v>
      </x:c>
      <x:c r="E68" s="38"/>
      <x:c r="F68" s="38"/>
      <x:c r="G68" s="38" t="str">
        <x:v>rich</x:v>
      </x:c>
      <x:c r="H68" s="38" t="str">
        <x:v>rich</x:v>
      </x:c>
      <x:c r="I68" s="38" t="str">
        <x:v>NO</x:v>
      </x:c>
      <x:c r="J68" s="38" t="str">
        <x:v>none</x:v>
      </x:c>
    </x:row>
    <x:row r="69" ht="40" customHeight="1">
      <x:c r="A69" s="38" t="n">
        <x:v>65</x:v>
      </x:c>
      <x:c r="B69" s="38" t="str">
        <x:v>mujadara</x:v>
      </x:c>
      <x:c r="C69" s="38" t="str">
        <x:v>Mujadara</x:v>
      </x:c>
      <x:c r="D69" s="38" t="str">
        <x:v>comforting</x:v>
      </x:c>
      <x:c r="E69" s="38" t="str">
        <x:v>fresh</x:v>
      </x:c>
      <x:c r="F69" s="38"/>
      <x:c r="G69" s="38" t="str">
        <x:v>comforting | fresh</x:v>
      </x:c>
      <x:c r="H69" s="38" t="str">
        <x:v>comforting</x:v>
      </x:c>
      <x:c r="I69" s="38" t="str">
        <x:v>YES</x:v>
      </x:c>
      <x:c r="J69" s="38" t="str">
        <x:v>remove fresh</x:v>
      </x:c>
    </x:row>
    <x:row r="70" ht="40" customHeight="1">
      <x:c r="A70" s="38" t="n">
        <x:v>66</x:v>
      </x:c>
      <x:c r="B70" s="38" t="str">
        <x:v>bunny-chow</x:v>
      </x:c>
      <x:c r="C70" s="38" t="str">
        <x:v>Bunny Chow</x:v>
      </x:c>
      <x:c r="D70" s="38" t="str">
        <x:v>spicy</x:v>
      </x:c>
      <x:c r="E70" s="38" t="str">
        <x:v>rich</x:v>
      </x:c>
      <x:c r="F70" s="38"/>
      <x:c r="G70" s="38" t="str">
        <x:v>spicy | rich</x:v>
      </x:c>
      <x:c r="H70" s="38" t="str">
        <x:v>rich</x:v>
      </x:c>
      <x:c r="I70" s="38" t="str">
        <x:v>YES</x:v>
      </x:c>
      <x:c r="J70" s="38" t="str">
        <x:v>remove spicy</x:v>
      </x:c>
    </x:row>
    <x:row r="71" ht="40" customHeight="1">
      <x:c r="A71" s="38" t="n">
        <x:v>67</x:v>
      </x:c>
      <x:c r="B71" s="38" t="str">
        <x:v>bobotie</x:v>
      </x:c>
      <x:c r="C71" s="38" t="str">
        <x:v>Bobotie</x:v>
      </x:c>
      <x:c r="D71" s="38" t="str">
        <x:v>rich</x:v>
      </x:c>
      <x:c r="E71" s="38" t="str">
        <x:v>comforting</x:v>
      </x:c>
      <x:c r="F71" s="38"/>
      <x:c r="G71" s="38" t="str">
        <x:v>rich | comforting</x:v>
      </x:c>
      <x:c r="H71" s="38" t="str">
        <x:v>rich | comforting</x:v>
      </x:c>
      <x:c r="I71" s="38" t="str">
        <x:v>NO</x:v>
      </x:c>
      <x:c r="J71" s="38" t="str">
        <x:v>none</x:v>
      </x:c>
    </x:row>
    <x:row r="72" ht="40" customHeight="1">
      <x:c r="A72" s="38" t="n">
        <x:v>68</x:v>
      </x:c>
      <x:c r="B72" s="38" t="str">
        <x:v>egusi-soup</x:v>
      </x:c>
      <x:c r="C72" s="38" t="str">
        <x:v>Egusi Soup</x:v>
      </x:c>
      <x:c r="D72" s="38" t="str">
        <x:v>rich</x:v>
      </x:c>
      <x:c r="E72" s="38" t="str">
        <x:v>spicy</x:v>
      </x:c>
      <x:c r="F72" s="38"/>
      <x:c r="G72" s="38" t="str">
        <x:v>rich | spicy</x:v>
      </x:c>
      <x:c r="H72" s="38" t="str">
        <x:v>rich | spicy</x:v>
      </x:c>
      <x:c r="I72" s="38" t="str">
        <x:v>NO</x:v>
      </x:c>
      <x:c r="J72" s="38" t="str">
        <x:v>none</x:v>
      </x:c>
    </x:row>
    <x:row r="73" ht="40" customHeight="1">
      <x:c r="A73" s="38" t="n">
        <x:v>69</x:v>
      </x:c>
      <x:c r="B73" s="38" t="str">
        <x:v>risotto</x:v>
      </x:c>
      <x:c r="C73" s="38" t="str">
        <x:v>Risotto</x:v>
      </x:c>
      <x:c r="D73" s="38" t="str">
        <x:v>rich</x:v>
      </x:c>
      <x:c r="E73" s="38" t="str">
        <x:v>comforting</x:v>
      </x:c>
      <x:c r="F73" s="38"/>
      <x:c r="G73" s="38" t="str">
        <x:v>rich | comforting</x:v>
      </x:c>
      <x:c r="H73" s="38" t="str">
        <x:v>rich | comforting</x:v>
      </x:c>
      <x:c r="I73" s="38" t="str">
        <x:v>NO</x:v>
      </x:c>
      <x:c r="J73" s="38" t="str">
        <x:v>none</x:v>
      </x:c>
    </x:row>
    <x:row r="74" ht="40" customHeight="1">
      <x:c r="A74" s="38" t="n">
        <x:v>70</x:v>
      </x:c>
      <x:c r="B74" s="38" t="str">
        <x:v>arancini</x:v>
      </x:c>
      <x:c r="C74" s="38" t="str">
        <x:v>Arancini</x:v>
      </x:c>
      <x:c r="D74" s="38" t="str">
        <x:v>crispy</x:v>
      </x:c>
      <x:c r="E74" s="38" t="str">
        <x:v>rich</x:v>
      </x:c>
      <x:c r="F74" s="38"/>
      <x:c r="G74" s="38" t="str">
        <x:v>crispy | rich</x:v>
      </x:c>
      <x:c r="H74" s="38" t="str">
        <x:v>crispy | rich</x:v>
      </x:c>
      <x:c r="I74" s="38" t="str">
        <x:v>NO</x:v>
      </x:c>
      <x:c r="J74" s="38" t="str">
        <x:v>none</x:v>
      </x:c>
    </x:row>
    <x:row r="75" ht="40" customHeight="1">
      <x:c r="A75" s="38" t="n">
        <x:v>71</x:v>
      </x:c>
      <x:c r="B75" s="38" t="str">
        <x:v>schnitzel</x:v>
      </x:c>
      <x:c r="C75" s="38" t="str">
        <x:v>Schnitzel</x:v>
      </x:c>
      <x:c r="D75" s="38" t="str">
        <x:v>crispy</x:v>
      </x:c>
      <x:c r="E75" s="38" t="str">
        <x:v>comforting</x:v>
      </x:c>
      <x:c r="F75" s="38"/>
      <x:c r="G75" s="38" t="str">
        <x:v>crispy | comforting</x:v>
      </x:c>
      <x:c r="H75" s="38" t="str">
        <x:v>crispy | comforting</x:v>
      </x:c>
      <x:c r="I75" s="38" t="str">
        <x:v>NO</x:v>
      </x:c>
      <x:c r="J75" s="38" t="str">
        <x:v>none</x:v>
      </x:c>
    </x:row>
    <x:row r="76" ht="40" customHeight="1">
      <x:c r="A76" s="38" t="n">
        <x:v>72</x:v>
      </x:c>
      <x:c r="B76" s="38" t="str">
        <x:v>empanadas</x:v>
      </x:c>
      <x:c r="C76" s="38" t="str">
        <x:v>Empanadas</x:v>
      </x:c>
      <x:c r="D76" s="38" t="str">
        <x:v>comforting</x:v>
      </x:c>
      <x:c r="E76" s="38"/>
      <x:c r="F76" s="38"/>
      <x:c r="G76" s="38" t="str">
        <x:v>comforting</x:v>
      </x:c>
      <x:c r="H76" s="38" t="str">
        <x:v>comforting</x:v>
      </x:c>
      <x:c r="I76" s="38" t="str">
        <x:v>NO</x:v>
      </x:c>
      <x:c r="J76" s="38" t="str">
        <x:v>none</x:v>
      </x:c>
    </x:row>
    <x:row r="77" ht="40" customHeight="1">
      <x:c r="A77" s="38" t="n">
        <x:v>73</x:v>
      </x:c>
      <x:c r="B77" s="38" t="str">
        <x:v>feijoada</x:v>
      </x:c>
      <x:c r="C77" s="38" t="str">
        <x:v>Feijoada</x:v>
      </x:c>
      <x:c r="D77" s="38" t="str">
        <x:v>rich</x:v>
      </x:c>
      <x:c r="E77" s="38" t="str">
        <x:v>comforting</x:v>
      </x:c>
      <x:c r="F77" s="38"/>
      <x:c r="G77" s="38" t="str">
        <x:v>rich | comforting</x:v>
      </x:c>
      <x:c r="H77" s="38" t="str">
        <x:v>rich | comforting</x:v>
      </x:c>
      <x:c r="I77" s="38" t="str">
        <x:v>NO</x:v>
      </x:c>
      <x:c r="J77" s="38" t="str">
        <x:v>none</x:v>
      </x:c>
    </x:row>
    <x:row r="78" ht="40" customHeight="1">
      <x:c r="A78" s="38" t="n">
        <x:v>74</x:v>
      </x:c>
      <x:c r="B78" s="38" t="str">
        <x:v>macaroni-and-cheese</x:v>
      </x:c>
      <x:c r="C78" s="38" t="str">
        <x:v>Macaroni and Cheese</x:v>
      </x:c>
      <x:c r="D78" s="38" t="str">
        <x:v>rich</x:v>
      </x:c>
      <x:c r="E78" s="38" t="str">
        <x:v>comforting</x:v>
      </x:c>
      <x:c r="F78" s="38"/>
      <x:c r="G78" s="38" t="str">
        <x:v>rich | comforting</x:v>
      </x:c>
      <x:c r="H78" s="38" t="str">
        <x:v>rich | comforting</x:v>
      </x:c>
      <x:c r="I78" s="38" t="str">
        <x:v>NO</x:v>
      </x:c>
      <x:c r="J78" s="38" t="str">
        <x:v>none</x:v>
      </x:c>
    </x:row>
    <x:row r="79" ht="40" customHeight="1">
      <x:c r="A79" s="38" t="n">
        <x:v>75</x:v>
      </x:c>
      <x:c r="B79" s="38" t="str">
        <x:v>pulled-pork-sandwich</x:v>
      </x:c>
      <x:c r="C79" s="38" t="str">
        <x:v>Pulled Pork Sandwich</x:v>
      </x:c>
      <x:c r="D79" s="38" t="str">
        <x:v>rich</x:v>
      </x:c>
      <x:c r="E79" s="38" t="str">
        <x:v>comforting</x:v>
      </x:c>
      <x:c r="F79" s="38"/>
      <x:c r="G79" s="38" t="str">
        <x:v>rich | comforting</x:v>
      </x:c>
      <x:c r="H79" s="38" t="str">
        <x:v>rich | comforting</x:v>
      </x:c>
      <x:c r="I79" s="38" t="str">
        <x:v>NO</x:v>
      </x:c>
      <x:c r="J79" s="38" t="str">
        <x:v>none</x:v>
      </x:c>
    </x:row>
    <x:row r="80" ht="40" customHeight="1">
      <x:c r="A80" s="38" t="n">
        <x:v>76</x:v>
      </x:c>
      <x:c r="B80" s="38" t="str">
        <x:v>dandan-noodles</x:v>
      </x:c>
      <x:c r="C80" s="38" t="str">
        <x:v>Dandan Noodles</x:v>
      </x:c>
      <x:c r="D80" s="38" t="str">
        <x:v>spicy</x:v>
      </x:c>
      <x:c r="E80" s="38" t="str">
        <x:v>rich</x:v>
      </x:c>
      <x:c r="F80" s="38"/>
      <x:c r="G80" s="38" t="str">
        <x:v>spicy | rich</x:v>
      </x:c>
      <x:c r="H80" s="38" t="str">
        <x:v>spicy | rich</x:v>
      </x:c>
      <x:c r="I80" s="38" t="str">
        <x:v>NO</x:v>
      </x:c>
      <x:c r="J80" s="38" t="str">
        <x:v>none</x:v>
      </x:c>
    </x:row>
    <x:row r="81" ht="40" customHeight="1">
      <x:c r="A81" s="38" t="n">
        <x:v>77</x:v>
      </x:c>
      <x:c r="B81" s="38" t="str">
        <x:v>hot-and-sour-soup</x:v>
      </x:c>
      <x:c r="C81" s="38" t="str">
        <x:v>Hot and Sour Soup</x:v>
      </x:c>
      <x:c r="D81" s="38" t="str">
        <x:v>spicy</x:v>
      </x:c>
      <x:c r="E81" s="38" t="str">
        <x:v>tangy</x:v>
      </x:c>
      <x:c r="F81" s="38"/>
      <x:c r="G81" s="38" t="str">
        <x:v>spicy | tangy</x:v>
      </x:c>
      <x:c r="H81" s="38" t="str">
        <x:v>spicy | tangy</x:v>
      </x:c>
      <x:c r="I81" s="38" t="str">
        <x:v>NO</x:v>
      </x:c>
      <x:c r="J81" s="38" t="str">
        <x:v>none</x:v>
      </x:c>
    </x:row>
    <x:row r="82" ht="40" customHeight="1">
      <x:c r="A82" s="38" t="n">
        <x:v>78</x:v>
      </x:c>
      <x:c r="B82" s="38" t="str">
        <x:v>gimbap</x:v>
      </x:c>
      <x:c r="C82" s="38" t="str">
        <x:v>Gimbap</x:v>
      </x:c>
      <x:c r="D82" s="38" t="str">
        <x:v>fresh</x:v>
      </x:c>
      <x:c r="E82" s="38"/>
      <x:c r="F82" s="38"/>
      <x:c r="G82" s="38" t="str">
        <x:v>fresh</x:v>
      </x:c>
      <x:c r="H82" s="38" t="str">
        <x:v>fresh</x:v>
      </x:c>
      <x:c r="I82" s="38" t="str">
        <x:v>NO</x:v>
      </x:c>
      <x:c r="J82" s="38" t="str">
        <x:v>none</x:v>
      </x:c>
    </x:row>
    <x:row r="83" ht="40" customHeight="1">
      <x:c r="A83" s="38" t="n">
        <x:v>79</x:v>
      </x:c>
      <x:c r="B83" s="38" t="str">
        <x:v>nasi-lemak</x:v>
      </x:c>
      <x:c r="C83" s="38" t="str">
        <x:v>Nasi Lemak</x:v>
      </x:c>
      <x:c r="D83" s="38" t="str">
        <x:v>rich</x:v>
      </x:c>
      <x:c r="E83" s="38" t="str">
        <x:v>spicy</x:v>
      </x:c>
      <x:c r="F83" s="38"/>
      <x:c r="G83" s="38" t="str">
        <x:v>rich | spicy</x:v>
      </x:c>
      <x:c r="H83" s="38" t="str">
        <x:v>rich | spicy</x:v>
      </x:c>
      <x:c r="I83" s="38" t="str">
        <x:v>NO</x:v>
      </x:c>
      <x:c r="J83" s="38" t="str">
        <x:v>none</x:v>
      </x:c>
    </x:row>
    <x:row r="84" ht="40" customHeight="1">
      <x:c r="A84" s="38" t="n">
        <x:v>80</x:v>
      </x:c>
      <x:c r="B84" s="38" t="str">
        <x:v>fried-lumpia</x:v>
      </x:c>
      <x:c r="C84" s="38" t="str">
        <x:v>Fried Lumpia</x:v>
      </x:c>
      <x:c r="D84" s="38" t="str">
        <x:v>crispy</x:v>
      </x:c>
      <x:c r="E84" s="38"/>
      <x:c r="F84" s="38"/>
      <x:c r="G84" s="38" t="str">
        <x:v>crispy</x:v>
      </x:c>
      <x:c r="H84" s="38" t="str">
        <x:v>crispy</x:v>
      </x:c>
      <x:c r="I84" s="38" t="str">
        <x:v>NO</x:v>
      </x:c>
      <x:c r="J84" s="38" t="str">
        <x:v>none</x:v>
      </x:c>
    </x:row>
    <x:row r="85" ht="40" customHeight="1">
      <x:c r="A85" s="38" t="n">
        <x:v>81</x:v>
      </x:c>
      <x:c r="B85" s="38" t="str">
        <x:v>ayam-bakar</x:v>
      </x:c>
      <x:c r="C85" s="38" t="str">
        <x:v>Ayam Bakar</x:v>
      </x:c>
      <x:c r="D85" s="38" t="str">
        <x:v>spicy</x:v>
      </x:c>
      <x:c r="E85" s="38" t="str">
        <x:v>rich</x:v>
      </x:c>
      <x:c r="F85" s="38"/>
      <x:c r="G85" s="38" t="str">
        <x:v>spicy | rich</x:v>
      </x:c>
      <x:c r="H85" s="38" t="str">
        <x:v>spicy | rich</x:v>
      </x:c>
      <x:c r="I85" s="38" t="str">
        <x:v>NO</x:v>
      </x:c>
      <x:c r="J85" s="38" t="str">
        <x:v>none</x:v>
      </x:c>
    </x:row>
    <x:row r="86" ht="40" customHeight="1">
      <x:c r="A86" s="38" t="n">
        <x:v>82</x:v>
      </x:c>
      <x:c r="B86" s="38" t="str">
        <x:v>rendang</x:v>
      </x:c>
      <x:c r="C86" s="38" t="str">
        <x:v>Rendang</x:v>
      </x:c>
      <x:c r="D86" s="38" t="str">
        <x:v>rich</x:v>
      </x:c>
      <x:c r="E86" s="38" t="str">
        <x:v>spicy</x:v>
      </x:c>
      <x:c r="F86" s="38"/>
      <x:c r="G86" s="38" t="str">
        <x:v>rich | spicy</x:v>
      </x:c>
      <x:c r="H86" s="38" t="str">
        <x:v>rich | spicy</x:v>
      </x:c>
      <x:c r="I86" s="38" t="str">
        <x:v>NO</x:v>
      </x:c>
      <x:c r="J86" s="38" t="str">
        <x:v>none</x:v>
      </x:c>
    </x:row>
    <x:row r="87" ht="40" customHeight="1">
      <x:c r="A87" s="38" t="n">
        <x:v>83</x:v>
      </x:c>
      <x:c r="B87" s="38" t="str">
        <x:v>kottu-roti</x:v>
      </x:c>
      <x:c r="C87" s="38" t="str">
        <x:v>Kottu Roti</x:v>
      </x:c>
      <x:c r="D87" s="38" t="str">
        <x:v>spicy</x:v>
      </x:c>
      <x:c r="E87" s="38" t="str">
        <x:v>crispy</x:v>
      </x:c>
      <x:c r="F87" s="38"/>
      <x:c r="G87" s="38" t="str">
        <x:v>spicy | crispy</x:v>
      </x:c>
      <x:c r="H87" s="38" t="str">
        <x:v>crispy</x:v>
      </x:c>
      <x:c r="I87" s="38" t="str">
        <x:v>YES</x:v>
      </x:c>
      <x:c r="J87" s="38" t="str">
        <x:v>remove spicy</x:v>
      </x:c>
    </x:row>
    <x:row r="88" ht="40" customHeight="1">
      <x:c r="A88" s="38" t="n">
        <x:v>84</x:v>
      </x:c>
      <x:c r="B88" s="38" t="str">
        <x:v>nihari</x:v>
      </x:c>
      <x:c r="C88" s="38" t="str">
        <x:v>Nihari</x:v>
      </x:c>
      <x:c r="D88" s="38" t="str">
        <x:v>rich</x:v>
      </x:c>
      <x:c r="E88" s="38" t="str">
        <x:v>spicy</x:v>
      </x:c>
      <x:c r="F88" s="38"/>
      <x:c r="G88" s="38" t="str">
        <x:v>rich | spicy</x:v>
      </x:c>
      <x:c r="H88" s="38" t="str">
        <x:v>rich</x:v>
      </x:c>
      <x:c r="I88" s="38" t="str">
        <x:v>YES</x:v>
      </x:c>
      <x:c r="J88" s="38" t="str">
        <x:v>remove spicy</x:v>
      </x:c>
    </x:row>
    <x:row r="89" ht="40" customHeight="1">
      <x:c r="A89" s="38" t="n">
        <x:v>85</x:v>
      </x:c>
      <x:c r="B89" s="38" t="str">
        <x:v>seekh-kebab</x:v>
      </x:c>
      <x:c r="C89" s="38" t="str">
        <x:v>Seekh Kebab</x:v>
      </x:c>
      <x:c r="D89" s="38" t="str">
        <x:v>spicy</x:v>
      </x:c>
      <x:c r="E89" s="38"/>
      <x:c r="F89" s="38"/>
      <x:c r="G89" s="38" t="str">
        <x:v>spicy</x:v>
      </x:c>
      <x:c r="H89" s="38" t="str">
        <x:v>spicy</x:v>
      </x:c>
      <x:c r="I89" s="38" t="str">
        <x:v>NO</x:v>
      </x:c>
      <x:c r="J89" s="38" t="str">
        <x:v>none</x:v>
      </x:c>
    </x:row>
    <x:row r="90" ht="40" customHeight="1">
      <x:c r="A90" s="38" t="n">
        <x:v>86</x:v>
      </x:c>
      <x:c r="B90" s="38" t="str">
        <x:v>thukpa</x:v>
      </x:c>
      <x:c r="C90" s="38" t="str">
        <x:v>Thukpa</x:v>
      </x:c>
      <x:c r="D90" s="38" t="str">
        <x:v>comforting</x:v>
      </x:c>
      <x:c r="E90" s="38" t="str">
        <x:v>fresh</x:v>
      </x:c>
      <x:c r="F90" s="38"/>
      <x:c r="G90" s="38" t="str">
        <x:v>comforting | fresh</x:v>
      </x:c>
      <x:c r="H90" s="38" t="str">
        <x:v>comforting | fresh</x:v>
      </x:c>
      <x:c r="I90" s="38" t="str">
        <x:v>NO</x:v>
      </x:c>
      <x:c r="J90" s="38" t="str">
        <x:v>none</x:v>
      </x:c>
    </x:row>
    <x:row r="91" ht="40" customHeight="1">
      <x:c r="A91" s="38" t="n">
        <x:v>87</x:v>
      </x:c>
      <x:c r="B91" s="38" t="str">
        <x:v>kibbeh</x:v>
      </x:c>
      <x:c r="C91" s="38" t="str">
        <x:v>Kibbeh</x:v>
      </x:c>
      <x:c r="D91" s="38" t="str">
        <x:v>crispy</x:v>
      </x:c>
      <x:c r="E91" s="38" t="str">
        <x:v>rich</x:v>
      </x:c>
      <x:c r="F91" s="38"/>
      <x:c r="G91" s="38" t="str">
        <x:v>crispy | rich</x:v>
      </x:c>
      <x:c r="H91" s="38" t="str">
        <x:v>crispy | rich</x:v>
      </x:c>
      <x:c r="I91" s="38" t="str">
        <x:v>NO</x:v>
      </x:c>
      <x:c r="J91" s="38" t="str">
        <x:v>none</x:v>
      </x:c>
    </x:row>
    <x:row r="92" ht="40" customHeight="1">
      <x:c r="A92" s="38" t="n">
        <x:v>88</x:v>
      </x:c>
      <x:c r="B92" s="38" t="str">
        <x:v>reshteh-polow</x:v>
      </x:c>
      <x:c r="C92" s="38" t="str">
        <x:v>Reshteh Polow</x:v>
      </x:c>
      <x:c r="D92" s="38" t="str">
        <x:v>comforting</x:v>
      </x:c>
      <x:c r="E92" s="38"/>
      <x:c r="F92" s="38"/>
      <x:c r="G92" s="38" t="str">
        <x:v>comforting</x:v>
      </x:c>
      <x:c r="H92" s="38" t="str">
        <x:v>comforting</x:v>
      </x:c>
      <x:c r="I92" s="38" t="str">
        <x:v>NO</x:v>
      </x:c>
      <x:c r="J92" s="38" t="str">
        <x:v>none</x:v>
      </x:c>
    </x:row>
    <x:row r="93" ht="40" customHeight="1">
      <x:c r="A93" s="38" t="n">
        <x:v>89</x:v>
      </x:c>
      <x:c r="B93" s="38" t="str">
        <x:v>fesenjan</x:v>
      </x:c>
      <x:c r="C93" s="38" t="str">
        <x:v>Fesenjan</x:v>
      </x:c>
      <x:c r="D93" s="38" t="str">
        <x:v>rich</x:v>
      </x:c>
      <x:c r="E93" s="38" t="str">
        <x:v>tangy</x:v>
      </x:c>
      <x:c r="F93" s="38"/>
      <x:c r="G93" s="38" t="str">
        <x:v>rich | tangy</x:v>
      </x:c>
      <x:c r="H93" s="38" t="str">
        <x:v>rich | tangy</x:v>
      </x:c>
      <x:c r="I93" s="38" t="str">
        <x:v>NO</x:v>
      </x:c>
      <x:c r="J93" s="38" t="str">
        <x:v>none</x:v>
      </x:c>
    </x:row>
    <x:row r="94" ht="40" customHeight="1">
      <x:c r="A94" s="38" t="n">
        <x:v>90</x:v>
      </x:c>
      <x:c r="B94" s="38" t="str">
        <x:v>akara</x:v>
      </x:c>
      <x:c r="C94" s="38" t="str">
        <x:v>Akara</x:v>
      </x:c>
      <x:c r="D94" s="38" t="str">
        <x:v>crispy</x:v>
      </x:c>
      <x:c r="E94" s="38" t="str">
        <x:v>spicy</x:v>
      </x:c>
      <x:c r="F94" s="38"/>
      <x:c r="G94" s="38" t="str">
        <x:v>crispy | spicy</x:v>
      </x:c>
      <x:c r="H94" s="38" t="str">
        <x:v>crispy | spicy</x:v>
      </x:c>
      <x:c r="I94" s="38" t="str">
        <x:v>NO</x:v>
      </x:c>
      <x:c r="J94" s="38" t="str">
        <x:v>none</x:v>
      </x:c>
    </x:row>
    <x:row r="95" ht="40" customHeight="1">
      <x:c r="A95" s="38" t="n">
        <x:v>91</x:v>
      </x:c>
      <x:c r="B95" s="38" t="str">
        <x:v>waakye</x:v>
      </x:c>
      <x:c r="C95" s="38" t="str">
        <x:v>Waakye</x:v>
      </x:c>
      <x:c r="D95" s="38" t="str">
        <x:v>comforting</x:v>
      </x:c>
      <x:c r="E95" s="38" t="str">
        <x:v>fresh</x:v>
      </x:c>
      <x:c r="F95" s="38"/>
      <x:c r="G95" s="38" t="str">
        <x:v>comforting | fresh</x:v>
      </x:c>
      <x:c r="H95" s="38" t="str">
        <x:v>comforting</x:v>
      </x:c>
      <x:c r="I95" s="38" t="str">
        <x:v>YES</x:v>
      </x:c>
      <x:c r="J95" s="38" t="str">
        <x:v>remove fresh</x:v>
      </x:c>
    </x:row>
    <x:row r="96" ht="40" customHeight="1">
      <x:c r="A96" s="38" t="n">
        <x:v>92</x:v>
      </x:c>
      <x:c r="B96" s="38" t="str">
        <x:v>maafe</x:v>
      </x:c>
      <x:c r="C96" s="38" t="str">
        <x:v>Maafe</x:v>
      </x:c>
      <x:c r="D96" s="38" t="str">
        <x:v>rich</x:v>
      </x:c>
      <x:c r="E96" s="38" t="str">
        <x:v>spicy</x:v>
      </x:c>
      <x:c r="F96" s="38"/>
      <x:c r="G96" s="38" t="str">
        <x:v>rich | spicy</x:v>
      </x:c>
      <x:c r="H96" s="38" t="str">
        <x:v>rich</x:v>
      </x:c>
      <x:c r="I96" s="38" t="str">
        <x:v>YES</x:v>
      </x:c>
      <x:c r="J96" s="38" t="str">
        <x:v>remove spicy</x:v>
      </x:c>
    </x:row>
    <x:row r="97" ht="40" customHeight="1">
      <x:c r="A97" s="38" t="n">
        <x:v>93</x:v>
      </x:c>
      <x:c r="B97" s="38" t="str">
        <x:v>cacio-e-pepe</x:v>
      </x:c>
      <x:c r="C97" s="38" t="str">
        <x:v>Cacio e Pepe</x:v>
      </x:c>
      <x:c r="D97" s="38" t="str">
        <x:v>rich</x:v>
      </x:c>
      <x:c r="E97" s="38" t="str">
        <x:v>comforting</x:v>
      </x:c>
      <x:c r="F97" s="38"/>
      <x:c r="G97" s="38" t="str">
        <x:v>rich | comforting</x:v>
      </x:c>
      <x:c r="H97" s="38" t="str">
        <x:v>rich | comforting</x:v>
      </x:c>
      <x:c r="I97" s="38" t="str">
        <x:v>NO</x:v>
      </x:c>
      <x:c r="J97" s="38" t="str">
        <x:v>none</x:v>
      </x:c>
    </x:row>
    <x:row r="98" ht="40" customHeight="1">
      <x:c r="A98" s="38" t="n">
        <x:v>94</x:v>
      </x:c>
      <x:c r="B98" s="38" t="str">
        <x:v>spaetzle</x:v>
      </x:c>
      <x:c r="C98" s="38" t="str">
        <x:v>Spätzle</x:v>
      </x:c>
      <x:c r="D98" s="38" t="str">
        <x:v>comforting</x:v>
      </x:c>
      <x:c r="E98" s="38"/>
      <x:c r="F98" s="38"/>
      <x:c r="G98" s="38" t="str">
        <x:v>comforting</x:v>
      </x:c>
      <x:c r="H98" s="38" t="str">
        <x:v>comforting</x:v>
      </x:c>
      <x:c r="I98" s="38" t="str">
        <x:v>NO</x:v>
      </x:c>
      <x:c r="J98" s="38" t="str">
        <x:v>none</x:v>
      </x:c>
    </x:row>
    <x:row r="99" ht="40" customHeight="1">
      <x:c r="A99" s="38" t="n">
        <x:v>95</x:v>
      </x:c>
      <x:c r="B99" s="38" t="str">
        <x:v>tortellini-in-brodo</x:v>
      </x:c>
      <x:c r="C99" s="38" t="str">
        <x:v>Tortellini in Brodo</x:v>
      </x:c>
      <x:c r="D99" s="38" t="str">
        <x:v>comforting</x:v>
      </x:c>
      <x:c r="E99" s="38"/>
      <x:c r="F99" s="38"/>
      <x:c r="G99" s="38" t="str">
        <x:v>comforting</x:v>
      </x:c>
      <x:c r="H99" s="38" t="str">
        <x:v>comforting</x:v>
      </x:c>
      <x:c r="I99" s="38" t="str">
        <x:v>NO</x:v>
      </x:c>
      <x:c r="J99" s="38" t="str">
        <x:v>none</x:v>
      </x:c>
    </x:row>
    <x:row r="100" ht="40" customHeight="1">
      <x:c r="A100" s="38" t="n">
        <x:v>96</x:v>
      </x:c>
      <x:c r="B100" s="38" t="str">
        <x:v>tallarines-verdes</x:v>
      </x:c>
      <x:c r="C100" s="38" t="str">
        <x:v>Tallarines Verdes</x:v>
      </x:c>
      <x:c r="D100" s="38" t="str">
        <x:v>fresh</x:v>
      </x:c>
      <x:c r="E100" s="38" t="str">
        <x:v>rich</x:v>
      </x:c>
      <x:c r="F100" s="38"/>
      <x:c r="G100" s="38" t="str">
        <x:v>fresh | rich</x:v>
      </x:c>
      <x:c r="H100" s="38" t="str">
        <x:v>fresh | rich</x:v>
      </x:c>
      <x:c r="I100" s="38" t="str">
        <x:v>NO</x:v>
      </x:c>
      <x:c r="J100" s="38" t="str">
        <x:v>none</x:v>
      </x:c>
    </x:row>
    <x:row r="101" ht="40" customHeight="1">
      <x:c r="A101" s="38" t="n">
        <x:v>97</x:v>
      </x:c>
      <x:c r="B101" s="38" t="str">
        <x:v>patacones</x:v>
      </x:c>
      <x:c r="C101" s="38" t="str">
        <x:v>Patacones</x:v>
      </x:c>
      <x:c r="D101" s="38" t="str">
        <x:v>crispy</x:v>
      </x:c>
      <x:c r="E101" s="38"/>
      <x:c r="F101" s="38"/>
      <x:c r="G101" s="38" t="str">
        <x:v>crispy</x:v>
      </x:c>
      <x:c r="H101" s="38" t="str">
        <x:v>crispy</x:v>
      </x:c>
      <x:c r="I101" s="38" t="str">
        <x:v>NO</x:v>
      </x:c>
      <x:c r="J101" s="38" t="str">
        <x:v>none</x:v>
      </x:c>
    </x:row>
    <x:row r="102" ht="40" customHeight="1">
      <x:c r="A102" s="38" t="n">
        <x:v>98</x:v>
      </x:c>
      <x:c r="B102" s="38" t="str">
        <x:v>lomo-saltado</x:v>
      </x:c>
      <x:c r="C102" s="38" t="str">
        <x:v>Lomo Saltado</x:v>
      </x:c>
      <x:c r="D102" s="38" t="str">
        <x:v>rich</x:v>
      </x:c>
      <x:c r="E102" s="38" t="str">
        <x:v>fresh</x:v>
      </x:c>
      <x:c r="F102" s="38"/>
      <x:c r="G102" s="38" t="str">
        <x:v>rich | fresh</x:v>
      </x:c>
      <x:c r="H102" s="38" t="str">
        <x:v>rich</x:v>
      </x:c>
      <x:c r="I102" s="38" t="str">
        <x:v>YES</x:v>
      </x:c>
      <x:c r="J102" s="38" t="str">
        <x:v>remove fresh</x:v>
      </x:c>
    </x:row>
    <x:row r="103" ht="40" customHeight="1">
      <x:c r="A103" s="38" t="n">
        <x:v>99</x:v>
      </x:c>
      <x:c r="B103" s="38" t="str">
        <x:v>new-england-clam-chowder</x:v>
      </x:c>
      <x:c r="C103" s="38" t="str">
        <x:v>New England Clam Chowder</x:v>
      </x:c>
      <x:c r="D103" s="38" t="str">
        <x:v>rich</x:v>
      </x:c>
      <x:c r="E103" s="38" t="str">
        <x:v>comforting</x:v>
      </x:c>
      <x:c r="F103" s="38"/>
      <x:c r="G103" s="38" t="str">
        <x:v>rich | comforting</x:v>
      </x:c>
      <x:c r="H103" s="38" t="str">
        <x:v>rich | comforting</x:v>
      </x:c>
      <x:c r="I103" s="38" t="str">
        <x:v>NO</x:v>
      </x:c>
      <x:c r="J103" s="38" t="str">
        <x:v>none</x:v>
      </x:c>
    </x:row>
    <x:row r="104" ht="40" customHeight="1">
      <x:c r="A104" s="38" t="n">
        <x:v>100</x:v>
      </x:c>
      <x:c r="B104" s="38" t="str">
        <x:v>buffalo-wings</x:v>
      </x:c>
      <x:c r="C104" s="38" t="str">
        <x:v>Buffalo Wings</x:v>
      </x:c>
      <x:c r="D104" s="38" t="str">
        <x:v>spicy</x:v>
      </x:c>
      <x:c r="E104" s="38" t="str">
        <x:v>tangy</x:v>
      </x:c>
      <x:c r="F104" s="38" t="str">
        <x:v>crispy</x:v>
      </x:c>
      <x:c r="G104" s="38" t="str">
        <x:v>spicy | tangy | crispy</x:v>
      </x:c>
      <x:c r="H104" s="38" t="str">
        <x:v>spicy | tangy | crispy</x:v>
      </x:c>
      <x:c r="I104" s="38" t="str">
        <x:v>NO</x:v>
      </x:c>
      <x:c r="J104" s="38" t="str">
        <x:v>none</x:v>
      </x:c>
    </x:row>
    <x:row r="105" ht="40" customHeight="1">
      <x:c r="A105" s="38" t="n">
        <x:v>101</x:v>
      </x:c>
      <x:c r="B105" s="38" t="str">
        <x:v>zhajiangmian</x:v>
      </x:c>
      <x:c r="C105" s="38" t="str">
        <x:v>Zhajiangmian</x:v>
      </x:c>
      <x:c r="D105" s="38" t="str">
        <x:v>comforting</x:v>
      </x:c>
      <x:c r="E105" s="38" t="str">
        <x:v>rich</x:v>
      </x:c>
      <x:c r="F105" s="38"/>
      <x:c r="G105" s="38" t="str">
        <x:v>comforting | rich</x:v>
      </x:c>
      <x:c r="H105" s="38" t="str">
        <x:v>comforting | rich</x:v>
      </x:c>
      <x:c r="I105" s="38" t="str">
        <x:v>NO</x:v>
      </x:c>
      <x:c r="J105" s="38" t="str">
        <x:v>none</x:v>
      </x:c>
    </x:row>
    <x:row r="106" ht="40" customHeight="1">
      <x:c r="A106" s="38" t="n">
        <x:v>102</x:v>
      </x:c>
      <x:c r="B106" s="38" t="str">
        <x:v>omurice</x:v>
      </x:c>
      <x:c r="C106" s="38" t="str">
        <x:v>Omurice</x:v>
      </x:c>
      <x:c r="D106" s="38" t="str">
        <x:v>comforting</x:v>
      </x:c>
      <x:c r="E106" s="38"/>
      <x:c r="F106" s="38"/>
      <x:c r="G106" s="38" t="str">
        <x:v>comforting</x:v>
      </x:c>
      <x:c r="H106" s="38" t="str">
        <x:v>comforting</x:v>
      </x:c>
      <x:c r="I106" s="38" t="str">
        <x:v>NO</x:v>
      </x:c>
      <x:c r="J106" s="38" t="str">
        <x:v>none</x:v>
      </x:c>
    </x:row>
    <x:row r="107" ht="40" customHeight="1">
      <x:c r="A107" s="38" t="n">
        <x:v>103</x:v>
      </x:c>
      <x:c r="B107" s="38" t="str">
        <x:v>sukiyaki</x:v>
      </x:c>
      <x:c r="C107" s="38" t="str">
        <x:v>Sukiyaki</x:v>
      </x:c>
      <x:c r="D107" s="38" t="str">
        <x:v>rich</x:v>
      </x:c>
      <x:c r="E107" s="38" t="str">
        <x:v>comforting</x:v>
      </x:c>
      <x:c r="F107" s="38"/>
      <x:c r="G107" s="38" t="str">
        <x:v>rich | comforting</x:v>
      </x:c>
      <x:c r="H107" s="38" t="str">
        <x:v>rich | comforting</x:v>
      </x:c>
      <x:c r="I107" s="38" t="str">
        <x:v>NO</x:v>
      </x:c>
      <x:c r="J107" s="38" t="str">
        <x:v>none</x:v>
      </x:c>
    </x:row>
    <x:row r="108" ht="40" customHeight="1">
      <x:c r="A108" s="38" t="n">
        <x:v>104</x:v>
      </x:c>
      <x:c r="B108" s="38" t="str">
        <x:v>hainanese-chicken-rice</x:v>
      </x:c>
      <x:c r="C108" s="38" t="str">
        <x:v>Hainanese Chicken Rice</x:v>
      </x:c>
      <x:c r="D108" s="38" t="str">
        <x:v>comforting</x:v>
      </x:c>
      <x:c r="E108" s="38" t="str">
        <x:v>fresh</x:v>
      </x:c>
      <x:c r="F108" s="38"/>
      <x:c r="G108" s="38" t="str">
        <x:v>comforting | fresh</x:v>
      </x:c>
      <x:c r="H108" s="38" t="str">
        <x:v>comforting | fresh</x:v>
      </x:c>
      <x:c r="I108" s="38" t="str">
        <x:v>NO</x:v>
      </x:c>
      <x:c r="J108" s="38" t="str">
        <x:v>none</x:v>
      </x:c>
    </x:row>
    <x:row r="109" ht="40" customHeight="1">
      <x:c r="A109" s="38" t="n">
        <x:v>105</x:v>
      </x:c>
      <x:c r="B109" s="38" t="str">
        <x:v>mohinga</x:v>
      </x:c>
      <x:c r="C109" s="38" t="str">
        <x:v>Mohinga</x:v>
      </x:c>
      <x:c r="D109" s="38" t="str">
        <x:v>fresh</x:v>
      </x:c>
      <x:c r="E109" s="38"/>
      <x:c r="F109" s="38"/>
      <x:c r="G109" s="38" t="str">
        <x:v>fresh</x:v>
      </x:c>
      <x:c r="H109" s="38" t="str">
        <x:v>fresh</x:v>
      </x:c>
      <x:c r="I109" s="38" t="str">
        <x:v>NO</x:v>
      </x:c>
      <x:c r="J109" s="38" t="str">
        <x:v>none</x:v>
      </x:c>
    </x:row>
    <x:row r="110" ht="40" customHeight="1">
      <x:c r="A110" s="38" t="n">
        <x:v>106</x:v>
      </x:c>
      <x:c r="B110" s="38" t="str">
        <x:v>pulao</x:v>
      </x:c>
      <x:c r="C110" s="38" t="str">
        <x:v>Pulao</x:v>
      </x:c>
      <x:c r="D110" s="38" t="str">
        <x:v>comforting</x:v>
      </x:c>
      <x:c r="E110" s="38"/>
      <x:c r="F110" s="38"/>
      <x:c r="G110" s="38" t="str">
        <x:v>comforting</x:v>
      </x:c>
      <x:c r="H110" s="38" t="str">
        <x:v>comforting</x:v>
      </x:c>
      <x:c r="I110" s="38" t="str">
        <x:v>NO</x:v>
      </x:c>
      <x:c r="J110" s="38" t="str">
        <x:v>none</x:v>
      </x:c>
    </x:row>
    <x:row r="111" ht="40" customHeight="1">
      <x:c r="A111" s="38" t="n">
        <x:v>107</x:v>
      </x:c>
      <x:c r="B111" s="38" t="str">
        <x:v>momo</x:v>
      </x:c>
      <x:c r="C111" s="38" t="str">
        <x:v>Momo</x:v>
      </x:c>
      <x:c r="D111" s="38" t="str">
        <x:v>comforting</x:v>
      </x:c>
      <x:c r="E111" s="38"/>
      <x:c r="F111" s="38"/>
      <x:c r="G111" s="38" t="str">
        <x:v>comforting</x:v>
      </x:c>
      <x:c r="H111" s="38" t="str">
        <x:v>comforting</x:v>
      </x:c>
      <x:c r="I111" s="38" t="str">
        <x:v>NO</x:v>
      </x:c>
      <x:c r="J111" s="38" t="str">
        <x:v>none</x:v>
      </x:c>
    </x:row>
    <x:row r="112" ht="40" customHeight="1">
      <x:c r="A112" s="38" t="n">
        <x:v>108</x:v>
      </x:c>
      <x:c r="B112" s="38" t="str">
        <x:v>rasam</x:v>
      </x:c>
      <x:c r="C112" s="38" t="str">
        <x:v>Rasam</x:v>
      </x:c>
      <x:c r="D112" s="38" t="str">
        <x:v>tangy</x:v>
      </x:c>
      <x:c r="E112" s="38" t="str">
        <x:v>spicy</x:v>
      </x:c>
      <x:c r="F112" s="38" t="str">
        <x:v>fresh</x:v>
      </x:c>
      <x:c r="G112" s="38" t="str">
        <x:v>tangy | spicy | fresh</x:v>
      </x:c>
      <x:c r="H112" s="38" t="str">
        <x:v>tangy | spicy | fresh</x:v>
      </x:c>
      <x:c r="I112" s="38" t="str">
        <x:v>NO</x:v>
      </x:c>
      <x:c r="J112" s="38" t="str">
        <x:v>none</x:v>
      </x:c>
    </x:row>
    <x:row r="113" ht="40" customHeight="1">
      <x:c r="A113" s="38" t="n">
        <x:v>109</x:v>
      </x:c>
      <x:c r="B113" s="38" t="str">
        <x:v>shorbat-adas</x:v>
      </x:c>
      <x:c r="C113" s="38" t="str">
        <x:v>Shorbat Adas</x:v>
      </x:c>
      <x:c r="D113" s="38" t="str">
        <x:v>comforting</x:v>
      </x:c>
      <x:c r="E113" s="38"/>
      <x:c r="F113" s="38"/>
      <x:c r="G113" s="38" t="str">
        <x:v>comforting</x:v>
      </x:c>
      <x:c r="H113" s="38" t="str">
        <x:v>comforting</x:v>
      </x:c>
      <x:c r="I113" s="38" t="str">
        <x:v>NO</x:v>
      </x:c>
      <x:c r="J113" s="38" t="str">
        <x:v>none</x:v>
      </x:c>
    </x:row>
    <x:row r="114" ht="40" customHeight="1">
      <x:c r="A114" s="38" t="n">
        <x:v>110</x:v>
      </x:c>
      <x:c r="B114" s="38" t="str">
        <x:v>maqluba</x:v>
      </x:c>
      <x:c r="C114" s="38" t="str">
        <x:v>Maqluba</x:v>
      </x:c>
      <x:c r="D114" s="38" t="str">
        <x:v>rich</x:v>
      </x:c>
      <x:c r="E114" s="38" t="str">
        <x:v>comforting</x:v>
      </x:c>
      <x:c r="F114" s="38"/>
      <x:c r="G114" s="38" t="str">
        <x:v>rich | comforting</x:v>
      </x:c>
      <x:c r="H114" s="38" t="str">
        <x:v>rich | comforting</x:v>
      </x:c>
      <x:c r="I114" s="38" t="str">
        <x:v>NO</x:v>
      </x:c>
      <x:c r="J114" s="38" t="str">
        <x:v>none</x:v>
      </x:c>
    </x:row>
    <x:row r="115" ht="40" customHeight="1">
      <x:c r="A115" s="38" t="n">
        <x:v>111</x:v>
      </x:c>
      <x:c r="B115" s="38" t="str">
        <x:v>manakish</x:v>
      </x:c>
      <x:c r="C115" s="38" t="str">
        <x:v>Manakish</x:v>
      </x:c>
      <x:c r="D115" s="38" t="str">
        <x:v>comforting</x:v>
      </x:c>
      <x:c r="E115" s="38"/>
      <x:c r="F115" s="38"/>
      <x:c r="G115" s="38" t="str">
        <x:v>comforting</x:v>
      </x:c>
      <x:c r="H115" s="38" t="str">
        <x:v>comforting</x:v>
      </x:c>
      <x:c r="I115" s="38" t="str">
        <x:v>NO</x:v>
      </x:c>
      <x:c r="J115" s="38" t="str">
        <x:v>none</x:v>
      </x:c>
    </x:row>
    <x:row r="116" ht="40" customHeight="1">
      <x:c r="A116" s="38" t="n">
        <x:v>112</x:v>
      </x:c>
      <x:c r="B116" s="38" t="str">
        <x:v>rechta</x:v>
      </x:c>
      <x:c r="C116" s="38" t="str">
        <x:v>Rechta</x:v>
      </x:c>
      <x:c r="D116" s="38" t="str">
        <x:v>comforting</x:v>
      </x:c>
      <x:c r="E116" s="38"/>
      <x:c r="F116" s="38"/>
      <x:c r="G116" s="38" t="str">
        <x:v>comforting</x:v>
      </x:c>
      <x:c r="H116" s="38" t="str">
        <x:v>comforting</x:v>
      </x:c>
      <x:c r="I116" s="38" t="str">
        <x:v>NO</x:v>
      </x:c>
      <x:c r="J116" s="38" t="str">
        <x:v>none</x:v>
      </x:c>
    </x:row>
    <x:row r="117" ht="40" customHeight="1">
      <x:c r="A117" s="38" t="n">
        <x:v>113</x:v>
      </x:c>
      <x:c r="B117" s="38" t="str">
        <x:v>yassa</x:v>
      </x:c>
      <x:c r="C117" s="38" t="str">
        <x:v>Yassa</x:v>
      </x:c>
      <x:c r="D117" s="38" t="str">
        <x:v>tangy</x:v>
      </x:c>
      <x:c r="E117" s="38" t="str">
        <x:v>spicy</x:v>
      </x:c>
      <x:c r="F117" s="38"/>
      <x:c r="G117" s="38" t="str">
        <x:v>tangy | spicy</x:v>
      </x:c>
      <x:c r="H117" s="38" t="str">
        <x:v>tangy | spicy</x:v>
      </x:c>
      <x:c r="I117" s="38" t="str">
        <x:v>NO</x:v>
      </x:c>
      <x:c r="J117" s="38" t="str">
        <x:v>none</x:v>
      </x:c>
    </x:row>
    <x:row r="118" ht="40" customHeight="1">
      <x:c r="A118" s="38" t="n">
        <x:v>114</x:v>
      </x:c>
      <x:c r="B118" s="38" t="str">
        <x:v>bissara</x:v>
      </x:c>
      <x:c r="C118" s="38" t="str">
        <x:v>Bissara</x:v>
      </x:c>
      <x:c r="D118" s="38" t="str">
        <x:v>comforting</x:v>
      </x:c>
      <x:c r="E118" s="38"/>
      <x:c r="F118" s="38"/>
      <x:c r="G118" s="38" t="str">
        <x:v>comforting</x:v>
      </x:c>
      <x:c r="H118" s="38" t="str">
        <x:v>comforting</x:v>
      </x:c>
      <x:c r="I118" s="38" t="str">
        <x:v>NO</x:v>
      </x:c>
      <x:c r="J118" s="38" t="str">
        <x:v>none</x:v>
      </x:c>
    </x:row>
    <x:row r="119" ht="40" customHeight="1">
      <x:c r="A119" s="38" t="n">
        <x:v>115</x:v>
      </x:c>
      <x:c r="B119" s="38" t="str">
        <x:v>shisa-nyama</x:v>
      </x:c>
      <x:c r="C119" s="38" t="str">
        <x:v>Shisa Nyama</x:v>
      </x:c>
      <x:c r="D119" s="38" t="str">
        <x:v>rich</x:v>
      </x:c>
      <x:c r="E119" s="38"/>
      <x:c r="F119" s="38"/>
      <x:c r="G119" s="38" t="str">
        <x:v>rich</x:v>
      </x:c>
      <x:c r="H119" s="38" t="str">
        <x:v>rich</x:v>
      </x:c>
      <x:c r="I119" s="38" t="str">
        <x:v>NO</x:v>
      </x:c>
      <x:c r="J119" s="38" t="str">
        <x:v>none</x:v>
      </x:c>
    </x:row>
    <x:row r="120" ht="40" customHeight="1">
      <x:c r="A120" s="38" t="n">
        <x:v>116</x:v>
      </x:c>
      <x:c r="B120" s="38" t="str">
        <x:v>fideua</x:v>
      </x:c>
      <x:c r="C120" s="38" t="str">
        <x:v>Fideuà</x:v>
      </x:c>
      <x:c r="D120" s="38" t="str">
        <x:v>rich</x:v>
      </x:c>
      <x:c r="E120" s="38"/>
      <x:c r="F120" s="38"/>
      <x:c r="G120" s="38" t="str">
        <x:v>rich</x:v>
      </x:c>
      <x:c r="H120" s="38" t="str">
        <x:v>rich</x:v>
      </x:c>
      <x:c r="I120" s="38" t="str">
        <x:v>NO</x:v>
      </x:c>
      <x:c r="J120" s="38" t="str">
        <x:v>none</x:v>
      </x:c>
    </x:row>
    <x:row r="121" ht="40" customHeight="1">
      <x:c r="A121" s="38" t="n">
        <x:v>117</x:v>
      </x:c>
      <x:c r="B121" s="38" t="str">
        <x:v>borscht</x:v>
      </x:c>
      <x:c r="C121" s="38" t="str">
        <x:v>Borscht</x:v>
      </x:c>
      <x:c r="D121" s="38" t="str">
        <x:v>tangy</x:v>
      </x:c>
      <x:c r="E121" s="38" t="str">
        <x:v>comforting</x:v>
      </x:c>
      <x:c r="F121" s="38" t="str">
        <x:v>fresh</x:v>
      </x:c>
      <x:c r="G121" s="38" t="str">
        <x:v>tangy | comforting | fresh</x:v>
      </x:c>
      <x:c r="H121" s="38" t="str">
        <x:v>tangy | comforting</x:v>
      </x:c>
      <x:c r="I121" s="38" t="str">
        <x:v>YES</x:v>
      </x:c>
      <x:c r="J121" s="38" t="str">
        <x:v>remove fresh</x:v>
      </x:c>
    </x:row>
    <x:row r="122" ht="40" customHeight="1">
      <x:c r="A122" s="38" t="n">
        <x:v>118</x:v>
      </x:c>
      <x:c r="B122" s="38" t="str">
        <x:v>pirozhki</x:v>
      </x:c>
      <x:c r="C122" s="38" t="str">
        <x:v>Pirozhki</x:v>
      </x:c>
      <x:c r="D122" s="38" t="str">
        <x:v>comforting</x:v>
      </x:c>
      <x:c r="E122" s="38"/>
      <x:c r="F122" s="38"/>
      <x:c r="G122" s="38" t="str">
        <x:v>comforting</x:v>
      </x:c>
      <x:c r="H122" s="38" t="str">
        <x:v>comforting</x:v>
      </x:c>
      <x:c r="I122" s="38" t="str">
        <x:v>NO</x:v>
      </x:c>
      <x:c r="J122" s="38" t="str">
        <x:v>none</x:v>
      </x:c>
    </x:row>
    <x:row r="123" ht="40" customHeight="1">
      <x:c r="A123" s="38" t="n">
        <x:v>119</x:v>
      </x:c>
      <x:c r="B123" s="38" t="str">
        <x:v>arroz-chaufa</x:v>
      </x:c>
      <x:c r="C123" s="38" t="str">
        <x:v>Arroz Chaufa</x:v>
      </x:c>
      <x:c r="D123" s="38" t="str">
        <x:v>comforting</x:v>
      </x:c>
      <x:c r="E123" s="38"/>
      <x:c r="F123" s="38"/>
      <x:c r="G123" s="38" t="str">
        <x:v>comforting</x:v>
      </x:c>
      <x:c r="H123" s="38" t="str">
        <x:v>comforting</x:v>
      </x:c>
      <x:c r="I123" s="38" t="str">
        <x:v>NO</x:v>
      </x:c>
      <x:c r="J123" s="38" t="str">
        <x:v>none</x:v>
      </x:c>
    </x:row>
    <x:row r="124" ht="40" customHeight="1">
      <x:c r="A124" s="38" t="n">
        <x:v>120</x:v>
      </x:c>
      <x:c r="B124" s="38" t="str">
        <x:v>pupusa</x:v>
      </x:c>
      <x:c r="C124" s="38" t="str">
        <x:v>Pupusa</x:v>
      </x:c>
      <x:c r="D124" s="38" t="str">
        <x:v>comforting</x:v>
      </x:c>
      <x:c r="E124" s="38" t="str">
        <x:v>rich</x:v>
      </x:c>
      <x:c r="F124" s="38"/>
      <x:c r="G124" s="38" t="str">
        <x:v>comforting | rich</x:v>
      </x:c>
      <x:c r="H124" s="38" t="str">
        <x:v>comforting | rich</x:v>
      </x:c>
      <x:c r="I124" s="38" t="str">
        <x:v>NO</x:v>
      </x:c>
      <x:c r="J124" s="38" t="str">
        <x:v>none</x:v>
      </x:c>
    </x:row>
    <x:row r="125" ht="40" customHeight="1">
      <x:c r="A125" s="38" t="n">
        <x:v>121</x:v>
      </x:c>
      <x:c r="B125" s="38" t="str">
        <x:v>moqueca</x:v>
      </x:c>
      <x:c r="C125" s="38" t="str">
        <x:v>Moqueca</x:v>
      </x:c>
      <x:c r="D125" s="38" t="str">
        <x:v>fresh</x:v>
      </x:c>
      <x:c r="E125" s="38"/>
      <x:c r="F125" s="38"/>
      <x:c r="G125" s="38" t="str">
        <x:v>fresh</x:v>
      </x:c>
      <x:c r="H125" s="38" t="str">
        <x:v>fresh</x:v>
      </x:c>
      <x:c r="I125" s="38" t="str">
        <x:v>NO</x:v>
      </x:c>
      <x:c r="J125" s="38" t="str">
        <x:v>none</x:v>
      </x:c>
    </x:row>
    <x:row r="126" ht="40" customHeight="1">
      <x:c r="A126" s="38" t="n">
        <x:v>122</x:v>
      </x:c>
      <x:c r="B126" s="38" t="str">
        <x:v>churrasco</x:v>
      </x:c>
      <x:c r="C126" s="38" t="str">
        <x:v>Churrasco</x:v>
      </x:c>
      <x:c r="D126" s="38" t="str">
        <x:v>rich</x:v>
      </x:c>
      <x:c r="E126" s="38"/>
      <x:c r="F126" s="38"/>
      <x:c r="G126" s="38" t="str">
        <x:v>rich</x:v>
      </x:c>
      <x:c r="H126" s="38" t="str">
        <x:v>rich</x:v>
      </x:c>
      <x:c r="I126" s="38" t="str">
        <x:v>NO</x:v>
      </x:c>
      <x:c r="J126" s="38" t="str">
        <x:v>none</x:v>
      </x:c>
    </x:row>
    <x:row r="127" ht="40" customHeight="1">
      <x:c r="A127" s="38" t="n">
        <x:v>123</x:v>
      </x:c>
      <x:c r="B127" s="38" t="str">
        <x:v>philly-cheesesteak</x:v>
      </x:c>
      <x:c r="C127" s="38" t="str">
        <x:v>Philly Cheesesteak</x:v>
      </x:c>
      <x:c r="D127" s="38" t="str">
        <x:v>rich</x:v>
      </x:c>
      <x:c r="E127" s="38" t="str">
        <x:v>comforting</x:v>
      </x:c>
      <x:c r="F127" s="38"/>
      <x:c r="G127" s="38" t="str">
        <x:v>rich | comforting</x:v>
      </x:c>
      <x:c r="H127" s="38" t="str">
        <x:v>rich | comforting</x:v>
      </x:c>
      <x:c r="I127" s="38" t="str">
        <x:v>NO</x:v>
      </x:c>
      <x:c r="J127" s="38" t="str">
        <x:v>none</x:v>
      </x:c>
    </x:row>
    <x:row r="128" ht="40" customHeight="1">
      <x:c r="A128" s="38" t="n">
        <x:v>124</x:v>
      </x:c>
      <x:c r="B128" s="38" t="str">
        <x:v>chili-con-carne</x:v>
      </x:c>
      <x:c r="C128" s="38" t="str">
        <x:v>Chili con Carne</x:v>
      </x:c>
      <x:c r="D128" s="38" t="str">
        <x:v>spicy</x:v>
      </x:c>
      <x:c r="E128" s="38" t="str">
        <x:v>rich</x:v>
      </x:c>
      <x:c r="F128" s="38"/>
      <x:c r="G128" s="38" t="str">
        <x:v>spicy | rich</x:v>
      </x:c>
      <x:c r="H128" s="38" t="str">
        <x:v>spicy | rich</x:v>
      </x:c>
      <x:c r="I128" s="38" t="str">
        <x:v>NO</x:v>
      </x:c>
      <x:c r="J128" s="38" t="str">
        <x:v>none</x:v>
      </x:c>
    </x:row>
    <x:row r="129" ht="40" customHeight="1">
      <x:c r="A129" s="38" t="n">
        <x:v>125</x:v>
      </x:c>
      <x:c r="B129" s="38" t="str">
        <x:v>baked-ziti</x:v>
      </x:c>
      <x:c r="C129" s="38" t="str">
        <x:v>Baked Ziti</x:v>
      </x:c>
      <x:c r="D129" s="38" t="str">
        <x:v>rich</x:v>
      </x:c>
      <x:c r="E129" s="38" t="str">
        <x:v>comforting</x:v>
      </x:c>
      <x:c r="F129" s="38"/>
      <x:c r="G129" s="38" t="str">
        <x:v>rich | comforting</x:v>
      </x:c>
      <x:c r="H129" s="38" t="str">
        <x:v>rich | comforting</x:v>
      </x:c>
      <x:c r="I129" s="38" t="str">
        <x:v>NO</x:v>
      </x:c>
      <x:c r="J129" s="38" t="str">
        <x:v>none</x:v>
      </x:c>
    </x:row>
    <x:row r="130" ht="40" customHeight="1">
      <x:c r="A130" s="38" t="n">
        <x:v>126</x:v>
      </x:c>
      <x:c r="B130" s="38" t="str">
        <x:v>mapo-tofu</x:v>
      </x:c>
      <x:c r="C130" s="38" t="str">
        <x:v>Mapo Tofu</x:v>
      </x:c>
      <x:c r="D130" s="38" t="str">
        <x:v>spicy</x:v>
      </x:c>
      <x:c r="E130" s="38" t="str">
        <x:v>rich</x:v>
      </x:c>
      <x:c r="F130" s="38"/>
      <x:c r="G130" s="38" t="str">
        <x:v>spicy | rich</x:v>
      </x:c>
      <x:c r="H130" s="38" t="str">
        <x:v>spicy | rich</x:v>
      </x:c>
      <x:c r="I130" s="38" t="str">
        <x:v>NO</x:v>
      </x:c>
      <x:c r="J130" s="38" t="str">
        <x:v>none</x:v>
      </x:c>
    </x:row>
    <x:row r="131" ht="40" customHeight="1">
      <x:c r="A131" s="38" t="n">
        <x:v>127</x:v>
      </x:c>
      <x:c r="B131" s="38" t="str">
        <x:v>japchae</x:v>
      </x:c>
      <x:c r="C131" s="38" t="str">
        <x:v>Japchae</x:v>
      </x:c>
      <x:c r="D131" s="38" t="str">
        <x:v>fresh</x:v>
      </x:c>
      <x:c r="E131" s="38"/>
      <x:c r="F131" s="38"/>
      <x:c r="G131" s="38" t="str">
        <x:v>fresh</x:v>
      </x:c>
      <x:c r="H131" s="38" t="str">
        <x:v>fresh</x:v>
      </x:c>
      <x:c r="I131" s="38" t="str">
        <x:v>NO</x:v>
      </x:c>
      <x:c r="J131" s="38" t="str">
        <x:v>none</x:v>
      </x:c>
    </x:row>
    <x:row r="132" ht="40" customHeight="1">
      <x:c r="A132" s="38" t="n">
        <x:v>128</x:v>
      </x:c>
      <x:c r="B132" s="38" t="str">
        <x:v>onigiri</x:v>
      </x:c>
      <x:c r="C132" s="38" t="str">
        <x:v>Onigiri</x:v>
      </x:c>
      <x:c r="D132" s="38" t="str">
        <x:v>comforting</x:v>
      </x:c>
      <x:c r="E132" s="38"/>
      <x:c r="F132" s="38"/>
      <x:c r="G132" s="38" t="str">
        <x:v>comforting</x:v>
      </x:c>
      <x:c r="H132" s="38" t="str">
        <x:v>comforting</x:v>
      </x:c>
      <x:c r="I132" s="38" t="str">
        <x:v>NO</x:v>
      </x:c>
      <x:c r="J132" s="38" t="str">
        <x:v>none</x:v>
      </x:c>
    </x:row>
    <x:row r="133" ht="40" customHeight="1">
      <x:c r="A133" s="38" t="n">
        <x:v>129</x:v>
      </x:c>
      <x:c r="B133" s="38" t="str">
        <x:v>goi-cuon</x:v>
      </x:c>
      <x:c r="C133" s="38" t="str">
        <x:v>Gỏi Cuốn</x:v>
      </x:c>
      <x:c r="D133" s="38" t="str">
        <x:v>fresh</x:v>
      </x:c>
      <x:c r="E133" s="38" t="str">
        <x:v>tangy</x:v>
      </x:c>
      <x:c r="F133" s="38"/>
      <x:c r="G133" s="38" t="str">
        <x:v>fresh | tangy</x:v>
      </x:c>
      <x:c r="H133" s="38" t="str">
        <x:v>fresh</x:v>
      </x:c>
      <x:c r="I133" s="38" t="str">
        <x:v>YES</x:v>
      </x:c>
      <x:c r="J133" s="38" t="str">
        <x:v>remove tangy</x:v>
      </x:c>
    </x:row>
    <x:row r="134" ht="40" customHeight="1">
      <x:c r="A134" s="38" t="n">
        <x:v>130</x:v>
      </x:c>
      <x:c r="B134" s="38" t="str">
        <x:v>banh-xeo</x:v>
      </x:c>
      <x:c r="C134" s="38" t="str">
        <x:v>Bánh Xèo</x:v>
      </x:c>
      <x:c r="D134" s="38" t="str">
        <x:v>crispy</x:v>
      </x:c>
      <x:c r="E134" s="38" t="str">
        <x:v>fresh</x:v>
      </x:c>
      <x:c r="F134" s="38"/>
      <x:c r="G134" s="38" t="str">
        <x:v>crispy | fresh</x:v>
      </x:c>
      <x:c r="H134" s="38" t="str">
        <x:v>crispy | fresh</x:v>
      </x:c>
      <x:c r="I134" s="38" t="str">
        <x:v>NO</x:v>
      </x:c>
      <x:c r="J134" s="38" t="str">
        <x:v>none</x:v>
      </x:c>
    </x:row>
    <x:row r="135" ht="40" customHeight="1">
      <x:c r="A135" s="38" t="n">
        <x:v>131</x:v>
      </x:c>
      <x:c r="B135" s="38" t="str">
        <x:v>ikan-bakar</x:v>
      </x:c>
      <x:c r="C135" s="38" t="str">
        <x:v>Ikan Bakar</x:v>
      </x:c>
      <x:c r="D135" s="38" t="str">
        <x:v>spicy</x:v>
      </x:c>
      <x:c r="E135" s="38" t="str">
        <x:v>fresh</x:v>
      </x:c>
      <x:c r="F135" s="38"/>
      <x:c r="G135" s="38" t="str">
        <x:v>spicy | fresh</x:v>
      </x:c>
      <x:c r="H135" s="38" t="str">
        <x:v>spicy | fresh</x:v>
      </x:c>
      <x:c r="I135" s="38" t="str">
        <x:v>NO</x:v>
      </x:c>
      <x:c r="J135" s="38" t="str">
        <x:v>none</x:v>
      </x:c>
    </x:row>
    <x:row r="136" ht="40" customHeight="1">
      <x:c r="A136" s="38" t="n">
        <x:v>132</x:v>
      </x:c>
      <x:c r="B136" s="38" t="str">
        <x:v>khichdi</x:v>
      </x:c>
      <x:c r="C136" s="38" t="str">
        <x:v>Khichdi</x:v>
      </x:c>
      <x:c r="D136" s="38" t="str">
        <x:v>comforting</x:v>
      </x:c>
      <x:c r="E136" s="38" t="str">
        <x:v>fresh</x:v>
      </x:c>
      <x:c r="F136" s="38"/>
      <x:c r="G136" s="38" t="str">
        <x:v>comforting | fresh</x:v>
      </x:c>
      <x:c r="H136" s="38" t="str">
        <x:v>comforting</x:v>
      </x:c>
      <x:c r="I136" s="38" t="str">
        <x:v>YES</x:v>
      </x:c>
      <x:c r="J136" s="38" t="str">
        <x:v>remove fresh</x:v>
      </x:c>
    </x:row>
    <x:row r="137" ht="40" customHeight="1">
      <x:c r="A137" s="38" t="n">
        <x:v>133</x:v>
      </x:c>
      <x:c r="B137" s="38" t="str">
        <x:v>kathi-roll</x:v>
      </x:c>
      <x:c r="C137" s="38" t="str">
        <x:v>Kathi Roll</x:v>
      </x:c>
      <x:c r="D137" s="38" t="str">
        <x:v>comforting</x:v>
      </x:c>
      <x:c r="E137" s="38"/>
      <x:c r="F137" s="38"/>
      <x:c r="G137" s="38" t="str">
        <x:v>comforting</x:v>
      </x:c>
      <x:c r="H137" s="38" t="str">
        <x:v>comforting</x:v>
      </x:c>
      <x:c r="I137" s="38" t="str">
        <x:v>NO</x:v>
      </x:c>
      <x:c r="J137" s="38" t="str">
        <x:v>none</x:v>
      </x:c>
    </x:row>
    <x:row r="138" ht="40" customHeight="1">
      <x:c r="A138" s="38" t="n">
        <x:v>134</x:v>
      </x:c>
      <x:c r="B138" s="38" t="str">
        <x:v>korma</x:v>
      </x:c>
      <x:c r="C138" s="38" t="str">
        <x:v>Korma</x:v>
      </x:c>
      <x:c r="D138" s="38" t="str">
        <x:v>rich</x:v>
      </x:c>
      <x:c r="E138" s="38" t="str">
        <x:v>comforting</x:v>
      </x:c>
      <x:c r="F138" s="38"/>
      <x:c r="G138" s="38" t="str">
        <x:v>rich | comforting</x:v>
      </x:c>
      <x:c r="H138" s="38" t="str">
        <x:v>rich | comforting</x:v>
      </x:c>
      <x:c r="I138" s="38" t="str">
        <x:v>NO</x:v>
      </x:c>
      <x:c r="J138" s="38" t="str">
        <x:v>none</x:v>
      </x:c>
    </x:row>
    <x:row r="139" ht="40" customHeight="1">
      <x:c r="A139" s="38" t="n">
        <x:v>135</x:v>
      </x:c>
      <x:c r="B139" s="38" t="str">
        <x:v>musakhan</x:v>
      </x:c>
      <x:c r="C139" s="38" t="str">
        <x:v>Musakhan</x:v>
      </x:c>
      <x:c r="D139" s="38" t="str">
        <x:v>tangy</x:v>
      </x:c>
      <x:c r="E139" s="38" t="str">
        <x:v>rich</x:v>
      </x:c>
      <x:c r="F139" s="38"/>
      <x:c r="G139" s="38" t="str">
        <x:v>tangy | rich</x:v>
      </x:c>
      <x:c r="H139" s="38" t="str">
        <x:v>tangy | rich</x:v>
      </x:c>
      <x:c r="I139" s="38" t="str">
        <x:v>NO</x:v>
      </x:c>
      <x:c r="J139" s="38" t="str">
        <x:v>none</x:v>
      </x:c>
    </x:row>
    <x:row r="140" ht="40" customHeight="1">
      <x:c r="A140" s="38" t="n">
        <x:v>136</x:v>
      </x:c>
      <x:c r="B140" s="38" t="str">
        <x:v>harees</x:v>
      </x:c>
      <x:c r="C140" s="38" t="str">
        <x:v>Harees</x:v>
      </x:c>
      <x:c r="D140" s="38" t="str">
        <x:v>comforting</x:v>
      </x:c>
      <x:c r="E140" s="38" t="str">
        <x:v>rich</x:v>
      </x:c>
      <x:c r="F140" s="38"/>
      <x:c r="G140" s="38" t="str">
        <x:v>comforting | rich</x:v>
      </x:c>
      <x:c r="H140" s="38" t="str">
        <x:v>comforting | rich</x:v>
      </x:c>
      <x:c r="I140" s="38" t="str">
        <x:v>NO</x:v>
      </x:c>
      <x:c r="J140" s="38" t="str">
        <x:v>none</x:v>
      </x:c>
    </x:row>
    <x:row r="141" ht="40" customHeight="1">
      <x:c r="A141" s="38" t="n">
        <x:v>137</x:v>
      </x:c>
      <x:c r="B141" s="38" t="str">
        <x:v>lahmacun</x:v>
      </x:c>
      <x:c r="C141" s="38" t="str">
        <x:v>Lahmacun</x:v>
      </x:c>
      <x:c r="D141" s="38" t="str">
        <x:v>fresh</x:v>
      </x:c>
      <x:c r="E141" s="38" t="str">
        <x:v>crispy</x:v>
      </x:c>
      <x:c r="F141" s="38" t="str">
        <x:v>spicy</x:v>
      </x:c>
      <x:c r="G141" s="38" t="str">
        <x:v>fresh | crispy | spicy</x:v>
      </x:c>
      <x:c r="H141" s="38" t="str">
        <x:v>fresh</x:v>
      </x:c>
      <x:c r="I141" s="38" t="str">
        <x:v>YES</x:v>
      </x:c>
      <x:c r="J141" s="38" t="str">
        <x:v>remove spicy; remove crispy</x:v>
      </x:c>
    </x:row>
    <x:row r="142" ht="40" customHeight="1">
      <x:c r="A142" s="38" t="n">
        <x:v>138</x:v>
      </x:c>
      <x:c r="B142" s="38" t="str">
        <x:v>ful-medames</x:v>
      </x:c>
      <x:c r="C142" s="38" t="str">
        <x:v>Ful Medames</x:v>
      </x:c>
      <x:c r="D142" s="38" t="str">
        <x:v>comforting</x:v>
      </x:c>
      <x:c r="E142" s="38" t="str">
        <x:v>fresh</x:v>
      </x:c>
      <x:c r="F142" s="38"/>
      <x:c r="G142" s="38" t="str">
        <x:v>comforting | fresh</x:v>
      </x:c>
      <x:c r="H142" s="38" t="str">
        <x:v>comforting | fresh | tangy</x:v>
      </x:c>
      <x:c r="I142" s="38" t="str">
        <x:v>YES</x:v>
      </x:c>
      <x:c r="J142" s="38" t="str">
        <x:v>add tangy</x:v>
      </x:c>
    </x:row>
    <x:row r="143" ht="40" customHeight="1">
      <x:c r="A143" s="38" t="n">
        <x:v>139</x:v>
      </x:c>
      <x:c r="B143" s="38" t="str">
        <x:v>nyama-choma</x:v>
      </x:c>
      <x:c r="C143" s="38" t="str">
        <x:v>Nyama Choma</x:v>
      </x:c>
      <x:c r="D143" s="38" t="str">
        <x:v>fresh</x:v>
      </x:c>
      <x:c r="E143" s="38" t="str">
        <x:v>rich</x:v>
      </x:c>
      <x:c r="F143" s="38"/>
      <x:c r="G143" s="38" t="str">
        <x:v>fresh | rich</x:v>
      </x:c>
      <x:c r="H143" s="38" t="str">
        <x:v>fresh | rich</x:v>
      </x:c>
      <x:c r="I143" s="38" t="str">
        <x:v>NO</x:v>
      </x:c>
      <x:c r="J143" s="38" t="str">
        <x:v>none</x:v>
      </x:c>
    </x:row>
    <x:row r="144" ht="40" customHeight="1">
      <x:c r="A144" s="38" t="n">
        <x:v>140</x:v>
      </x:c>
      <x:c r="B144" s="38" t="str">
        <x:v>rolex</x:v>
      </x:c>
      <x:c r="C144" s="38" t="str">
        <x:v>Rolex</x:v>
      </x:c>
      <x:c r="D144" s="38" t="str">
        <x:v>comforting</x:v>
      </x:c>
      <x:c r="E144" s="38"/>
      <x:c r="F144" s="38"/>
      <x:c r="G144" s="38" t="str">
        <x:v>comforting</x:v>
      </x:c>
      <x:c r="H144" s="38" t="str">
        <x:v>comforting</x:v>
      </x:c>
      <x:c r="I144" s="38" t="str">
        <x:v>NO</x:v>
      </x:c>
      <x:c r="J144" s="38" t="str">
        <x:v>none</x:v>
      </x:c>
    </x:row>
    <x:row r="145" ht="40" customHeight="1">
      <x:c r="A145" s="38" t="n">
        <x:v>141</x:v>
      </x:c>
      <x:c r="B145" s="38" t="str">
        <x:v>couscous</x:v>
      </x:c>
      <x:c r="C145" s="38" t="str">
        <x:v>Couscous</x:v>
      </x:c>
      <x:c r="D145" s="38" t="str">
        <x:v>fresh</x:v>
      </x:c>
      <x:c r="E145" s="38" t="str">
        <x:v>comforting</x:v>
      </x:c>
      <x:c r="F145" s="38"/>
      <x:c r="G145" s="38" t="str">
        <x:v>fresh | comforting</x:v>
      </x:c>
      <x:c r="H145" s="38" t="str">
        <x:v>comforting</x:v>
      </x:c>
      <x:c r="I145" s="38" t="str">
        <x:v>YES</x:v>
      </x:c>
      <x:c r="J145" s="38" t="str">
        <x:v>remove fresh</x:v>
      </x:c>
    </x:row>
    <x:row r="146" ht="40" customHeight="1">
      <x:c r="A146" s="38" t="n">
        <x:v>142</x:v>
      </x:c>
      <x:c r="B146" s="38" t="str">
        <x:v>fish-and-chips</x:v>
      </x:c>
      <x:c r="C146" s="38" t="str">
        <x:v>Fish and Chips</x:v>
      </x:c>
      <x:c r="D146" s="38" t="str">
        <x:v>crispy</x:v>
      </x:c>
      <x:c r="E146" s="38" t="str">
        <x:v>comforting</x:v>
      </x:c>
      <x:c r="F146" s="38"/>
      <x:c r="G146" s="38" t="str">
        <x:v>crispy | comforting</x:v>
      </x:c>
      <x:c r="H146" s="38" t="str">
        <x:v>crispy | comforting</x:v>
      </x:c>
      <x:c r="I146" s="38" t="str">
        <x:v>NO</x:v>
      </x:c>
      <x:c r="J146" s="38" t="str">
        <x:v>none</x:v>
      </x:c>
    </x:row>
    <x:row r="147" ht="40" customHeight="1">
      <x:c r="A147" s="38" t="n">
        <x:v>143</x:v>
      </x:c>
      <x:c r="B147" s="38" t="str">
        <x:v>moussaka</x:v>
      </x:c>
      <x:c r="C147" s="38" t="str">
        <x:v>Moussaka</x:v>
      </x:c>
      <x:c r="D147" s="38" t="str">
        <x:v>rich</x:v>
      </x:c>
      <x:c r="E147" s="38" t="str">
        <x:v>comforting</x:v>
      </x:c>
      <x:c r="F147" s="38"/>
      <x:c r="G147" s="38" t="str">
        <x:v>rich | comforting</x:v>
      </x:c>
      <x:c r="H147" s="38" t="str">
        <x:v>rich | comforting</x:v>
      </x:c>
      <x:c r="I147" s="38" t="str">
        <x:v>NO</x:v>
      </x:c>
      <x:c r="J147" s="38" t="str">
        <x:v>none</x:v>
      </x:c>
    </x:row>
    <x:row r="148" ht="40" customHeight="1">
      <x:c r="A148" s="38" t="n">
        <x:v>144</x:v>
      </x:c>
      <x:c r="B148" s="38" t="str">
        <x:v>croque-monsieur</x:v>
      </x:c>
      <x:c r="C148" s="38" t="str">
        <x:v>Croque Monsieur</x:v>
      </x:c>
      <x:c r="D148" s="38" t="str">
        <x:v>crispy</x:v>
      </x:c>
      <x:c r="E148" s="38" t="str">
        <x:v>rich</x:v>
      </x:c>
      <x:c r="F148" s="38"/>
      <x:c r="G148" s="38" t="str">
        <x:v>crispy | rich</x:v>
      </x:c>
      <x:c r="H148" s="38" t="str">
        <x:v>crispy | rich</x:v>
      </x:c>
      <x:c r="I148" s="38" t="str">
        <x:v>NO</x:v>
      </x:c>
      <x:c r="J148" s="38" t="str">
        <x:v>none</x:v>
      </x:c>
    </x:row>
    <x:row r="149" ht="40" customHeight="1">
      <x:c r="A149" s="38" t="n">
        <x:v>145</x:v>
      </x:c>
      <x:c r="B149" s="38" t="str">
        <x:v>aji-de-gallina</x:v>
      </x:c>
      <x:c r="C149" s="38" t="str">
        <x:v>Ají de Gallina</x:v>
      </x:c>
      <x:c r="D149" s="38" t="str">
        <x:v>rich</x:v>
      </x:c>
      <x:c r="E149" s="38" t="str">
        <x:v>comforting</x:v>
      </x:c>
      <x:c r="F149" s="38"/>
      <x:c r="G149" s="38" t="str">
        <x:v>rich | comforting</x:v>
      </x:c>
      <x:c r="H149" s="38" t="str">
        <x:v>rich | comforting</x:v>
      </x:c>
      <x:c r="I149" s="38" t="str">
        <x:v>NO</x:v>
      </x:c>
      <x:c r="J149" s="38" t="str">
        <x:v>none</x:v>
      </x:c>
    </x:row>
    <x:row r="150" ht="40" customHeight="1">
      <x:c r="A150" s="38" t="n">
        <x:v>146</x:v>
      </x:c>
      <x:c r="B150" s="38" t="str">
        <x:v>sopa-de-fideo</x:v>
      </x:c>
      <x:c r="C150" s="38" t="str">
        <x:v>Sopa de Fideo</x:v>
      </x:c>
      <x:c r="D150" s="38" t="str">
        <x:v>comforting</x:v>
      </x:c>
      <x:c r="E150" s="38" t="str">
        <x:v>fresh</x:v>
      </x:c>
      <x:c r="F150" s="38"/>
      <x:c r="G150" s="38" t="str">
        <x:v>comforting | fresh</x:v>
      </x:c>
      <x:c r="H150" s="38" t="str">
        <x:v>comforting</x:v>
      </x:c>
      <x:c r="I150" s="38" t="str">
        <x:v>YES</x:v>
      </x:c>
      <x:c r="J150" s="38" t="str">
        <x:v>remove fresh</x:v>
      </x:c>
    </x:row>
    <x:row r="151" ht="40" customHeight="1">
      <x:c r="A151" s="38" t="n">
        <x:v>147</x:v>
      </x:c>
      <x:c r="B151" s="38" t="str">
        <x:v>coxinha</x:v>
      </x:c>
      <x:c r="C151" s="38" t="str">
        <x:v>Coxinha</x:v>
      </x:c>
      <x:c r="D151" s="38" t="str">
        <x:v>crispy</x:v>
      </x:c>
      <x:c r="E151" s="38" t="str">
        <x:v>rich</x:v>
      </x:c>
      <x:c r="F151" s="38"/>
      <x:c r="G151" s="38" t="str">
        <x:v>crispy | rich</x:v>
      </x:c>
      <x:c r="H151" s="38" t="str">
        <x:v>crispy | rich</x:v>
      </x:c>
      <x:c r="I151" s="38" t="str">
        <x:v>NO</x:v>
      </x:c>
      <x:c r="J151" s="38" t="str">
        <x:v>none</x:v>
      </x:c>
    </x:row>
    <x:row r="152" ht="40" customHeight="1">
      <x:c r="A152" s="38" t="n">
        <x:v>148</x:v>
      </x:c>
      <x:c r="B152" s="38" t="str">
        <x:v>nashville-hot-chicken</x:v>
      </x:c>
      <x:c r="C152" s="38" t="str">
        <x:v>Nashville Hot Chicken</x:v>
      </x:c>
      <x:c r="D152" s="38" t="str">
        <x:v>spicy</x:v>
      </x:c>
      <x:c r="E152" s="38" t="str">
        <x:v>crispy</x:v>
      </x:c>
      <x:c r="F152" s="38"/>
      <x:c r="G152" s="38" t="str">
        <x:v>spicy | crispy</x:v>
      </x:c>
      <x:c r="H152" s="38" t="str">
        <x:v>spicy | crispy</x:v>
      </x:c>
      <x:c r="I152" s="38" t="str">
        <x:v>NO</x:v>
      </x:c>
      <x:c r="J152" s="38" t="str">
        <x:v>none</x:v>
      </x:c>
    </x:row>
    <x:row r="153" ht="40" customHeight="1">
      <x:c r="A153" s="38" t="n">
        <x:v>149</x:v>
      </x:c>
      <x:c r="B153" s="38" t="str">
        <x:v>reuben-sandwich</x:v>
      </x:c>
      <x:c r="C153" s="38" t="str">
        <x:v>Reuben Sandwich</x:v>
      </x:c>
      <x:c r="D153" s="38" t="str">
        <x:v>rich</x:v>
      </x:c>
      <x:c r="E153" s="38" t="str">
        <x:v>tangy</x:v>
      </x:c>
      <x:c r="F153" s="38"/>
      <x:c r="G153" s="38" t="str">
        <x:v>rich | tangy</x:v>
      </x:c>
      <x:c r="H153" s="38" t="str">
        <x:v>rich | tangy | crispy</x:v>
      </x:c>
      <x:c r="I153" s="38" t="str">
        <x:v>YES</x:v>
      </x:c>
      <x:c r="J153" s="38" t="str">
        <x:v>add crispy</x:v>
      </x:c>
    </x:row>
    <x:row r="154" ht="40" customHeight="1">
      <x:c r="A154" s="38" t="n">
        <x:v>150</x:v>
      </x:c>
      <x:c r="B154" s="38" t="str">
        <x:v>loco-moco</x:v>
      </x:c>
      <x:c r="C154" s="38" t="str">
        <x:v>Loco Moco</x:v>
      </x:c>
      <x:c r="D154" s="38" t="str">
        <x:v>rich</x:v>
      </x:c>
      <x:c r="E154" s="38" t="str">
        <x:v>comforting</x:v>
      </x:c>
      <x:c r="F154" s="38"/>
      <x:c r="G154" s="38" t="str">
        <x:v>rich | comforting</x:v>
      </x:c>
      <x:c r="H154" s="38" t="str">
        <x:v>rich | comforting</x:v>
      </x:c>
      <x:c r="I154" s="38" t="str">
        <x:v>NO</x:v>
      </x:c>
      <x:c r="J154" s="38" t="str">
        <x:v>none</x:v>
      </x:c>
    </x:row>
    <x:row r="155" ht="40" customHeight="1">
      <x:c r="A155" s="38" t="n">
        <x:v>151</x:v>
      </x:c>
      <x:c r="B155" s="38" t="str">
        <x:v>oyakodon</x:v>
      </x:c>
      <x:c r="C155" s="38" t="str">
        <x:v>Oyakodon</x:v>
      </x:c>
      <x:c r="D155" s="38" t="str">
        <x:v>comforting</x:v>
      </x:c>
      <x:c r="E155" s="38"/>
      <x:c r="F155" s="38"/>
      <x:c r="G155" s="38" t="str">
        <x:v>comforting</x:v>
      </x:c>
      <x:c r="H155" s="38" t="str">
        <x:v>comforting</x:v>
      </x:c>
      <x:c r="I155" s="38" t="str">
        <x:v>NO</x:v>
      </x:c>
      <x:c r="J155" s="38" t="str">
        <x:v>none</x:v>
      </x:c>
    </x:row>
    <x:row r="156" ht="40" customHeight="1">
      <x:c r="A156" s="38" t="n">
        <x:v>152</x:v>
      </x:c>
      <x:c r="B156" s="38" t="str">
        <x:v>doenjang-jjigae</x:v>
      </x:c>
      <x:c r="C156" s="38" t="str">
        <x:v>Doenjang-jjigae</x:v>
      </x:c>
      <x:c r="D156" s="38" t="str">
        <x:v>comforting</x:v>
      </x:c>
      <x:c r="E156" s="38"/>
      <x:c r="F156" s="38"/>
      <x:c r="G156" s="38" t="str">
        <x:v>comforting</x:v>
      </x:c>
      <x:c r="H156" s="38" t="str">
        <x:v>comforting</x:v>
      </x:c>
      <x:c r="I156" s="38" t="str">
        <x:v>NO</x:v>
      </x:c>
      <x:c r="J156" s="38" t="str">
        <x:v>none</x:v>
      </x:c>
    </x:row>
    <x:row r="157" ht="40" customHeight="1">
      <x:c r="A157" s="38" t="n">
        <x:v>153</x:v>
      </x:c>
      <x:c r="B157" s="38" t="str">
        <x:v>zongzi</x:v>
      </x:c>
      <x:c r="C157" s="38" t="str">
        <x:v>Zongzi</x:v>
      </x:c>
      <x:c r="D157" s="38" t="str">
        <x:v>comforting</x:v>
      </x:c>
      <x:c r="E157" s="38"/>
      <x:c r="F157" s="38"/>
      <x:c r="G157" s="38" t="str">
        <x:v>comforting</x:v>
      </x:c>
      <x:c r="H157" s="38" t="str">
        <x:v>comforting</x:v>
      </x:c>
      <x:c r="I157" s="38" t="str">
        <x:v>NO</x:v>
      </x:c>
      <x:c r="J157" s="38" t="str">
        <x:v>none</x:v>
      </x:c>
    </x:row>
    <x:row r="158" ht="40" customHeight="1">
      <x:c r="A158" s="38" t="n">
        <x:v>154</x:v>
      </x:c>
      <x:c r="B158" s="38" t="str">
        <x:v>bai-sach-chrouk</x:v>
      </x:c>
      <x:c r="C158" s="38" t="str">
        <x:v>Bai Sach Chrouk</x:v>
      </x:c>
      <x:c r="D158" s="38" t="str">
        <x:v>comforting</x:v>
      </x:c>
      <x:c r="E158" s="38" t="str">
        <x:v>fresh</x:v>
      </x:c>
      <x:c r="F158" s="38"/>
      <x:c r="G158" s="38" t="str">
        <x:v>comforting | fresh</x:v>
      </x:c>
      <x:c r="H158" s="38" t="str">
        <x:v>comforting | fresh</x:v>
      </x:c>
      <x:c r="I158" s="38" t="str">
        <x:v>NO</x:v>
      </x:c>
      <x:c r="J158" s="38" t="str">
        <x:v>none</x:v>
      </x:c>
    </x:row>
    <x:row r="159" ht="40" customHeight="1">
      <x:c r="A159" s="38" t="n">
        <x:v>155</x:v>
      </x:c>
      <x:c r="B159" s="38" t="str">
        <x:v>kuy-teav</x:v>
      </x:c>
      <x:c r="C159" s="38" t="str">
        <x:v>Kuy Teav</x:v>
      </x:c>
      <x:c r="D159" s="38" t="str">
        <x:v>fresh</x:v>
      </x:c>
      <x:c r="E159" s="38" t="str">
        <x:v>comforting</x:v>
      </x:c>
      <x:c r="F159" s="38"/>
      <x:c r="G159" s="38" t="str">
        <x:v>fresh | comforting</x:v>
      </x:c>
      <x:c r="H159" s="38" t="str">
        <x:v>fresh | comforting</x:v>
      </x:c>
      <x:c r="I159" s="38" t="str">
        <x:v>NO</x:v>
      </x:c>
      <x:c r="J159" s="38" t="str">
        <x:v>none</x:v>
      </x:c>
    </x:row>
    <x:row r="160" ht="40" customHeight="1">
      <x:c r="A160" s="38" t="n">
        <x:v>156</x:v>
      </x:c>
      <x:c r="B160" s="38" t="str">
        <x:v>fish-amok</x:v>
      </x:c>
      <x:c r="C160" s="38" t="str">
        <x:v>Fish Amok</x:v>
      </x:c>
      <x:c r="D160" s="38" t="str">
        <x:v>rich</x:v>
      </x:c>
      <x:c r="E160" s="38" t="str">
        <x:v>fresh</x:v>
      </x:c>
      <x:c r="F160" s="38"/>
      <x:c r="G160" s="38" t="str">
        <x:v>rich | fresh</x:v>
      </x:c>
      <x:c r="H160" s="38" t="str">
        <x:v>rich</x:v>
      </x:c>
      <x:c r="I160" s="38" t="str">
        <x:v>YES</x:v>
      </x:c>
      <x:c r="J160" s="38" t="str">
        <x:v>remove fresh</x:v>
      </x:c>
    </x:row>
    <x:row r="161" ht="40" customHeight="1">
      <x:c r="A161" s="38" t="n">
        <x:v>157</x:v>
      </x:c>
      <x:c r="B161" s="38" t="str">
        <x:v>butter-chicken</x:v>
      </x:c>
      <x:c r="C161" s="38" t="str">
        <x:v>Butter Chicken</x:v>
      </x:c>
      <x:c r="D161" s="38" t="str">
        <x:v>rich</x:v>
      </x:c>
      <x:c r="E161" s="38" t="str">
        <x:v>comforting</x:v>
      </x:c>
      <x:c r="F161" s="38"/>
      <x:c r="G161" s="38" t="str">
        <x:v>rich | comforting</x:v>
      </x:c>
      <x:c r="H161" s="38" t="str">
        <x:v>rich | comforting</x:v>
      </x:c>
      <x:c r="I161" s="38" t="str">
        <x:v>NO</x:v>
      </x:c>
      <x:c r="J161" s="38" t="str">
        <x:v>none</x:v>
      </x:c>
    </x:row>
    <x:row r="162" ht="40" customHeight="1">
      <x:c r="A162" s="38" t="n">
        <x:v>158</x:v>
      </x:c>
      <x:c r="B162" s="38" t="str">
        <x:v>poha</x:v>
      </x:c>
      <x:c r="C162" s="38" t="str">
        <x:v>Poha</x:v>
      </x:c>
      <x:c r="D162" s="38" t="str">
        <x:v>fresh</x:v>
      </x:c>
      <x:c r="E162" s="38" t="str">
        <x:v>comforting</x:v>
      </x:c>
      <x:c r="F162" s="38"/>
      <x:c r="G162" s="38" t="str">
        <x:v>fresh | comforting</x:v>
      </x:c>
      <x:c r="H162" s="38" t="str">
        <x:v>fresh | comforting</x:v>
      </x:c>
      <x:c r="I162" s="38" t="str">
        <x:v>NO</x:v>
      </x:c>
      <x:c r="J162" s="38" t="str">
        <x:v>none</x:v>
      </x:c>
    </x:row>
    <x:row r="163" ht="40" customHeight="1">
      <x:c r="A163" s="38" t="n">
        <x:v>159</x:v>
      </x:c>
      <x:c r="B163" s="38" t="str">
        <x:v>dal-dhokli</x:v>
      </x:c>
      <x:c r="C163" s="38" t="str">
        <x:v>Dal Dhokli</x:v>
      </x:c>
      <x:c r="D163" s="38" t="str">
        <x:v>comforting</x:v>
      </x:c>
      <x:c r="E163" s="38" t="str">
        <x:v>tangy</x:v>
      </x:c>
      <x:c r="F163" s="38"/>
      <x:c r="G163" s="38" t="str">
        <x:v>comforting | tangy</x:v>
      </x:c>
      <x:c r="H163" s="38" t="str">
        <x:v>comforting | tangy</x:v>
      </x:c>
      <x:c r="I163" s="38" t="str">
        <x:v>NO</x:v>
      </x:c>
      <x:c r="J163" s="38" t="str">
        <x:v>none</x:v>
      </x:c>
    </x:row>
    <x:row r="164" ht="40" customHeight="1">
      <x:c r="A164" s="38" t="n">
        <x:v>160</x:v>
      </x:c>
      <x:c r="B164" s="38" t="str">
        <x:v>manti</x:v>
      </x:c>
      <x:c r="C164" s="38" t="str">
        <x:v>Manti</x:v>
      </x:c>
      <x:c r="D164" s="38" t="str">
        <x:v>rich</x:v>
      </x:c>
      <x:c r="E164" s="38" t="str">
        <x:v>tangy</x:v>
      </x:c>
      <x:c r="F164" s="38"/>
      <x:c r="G164" s="38" t="str">
        <x:v>rich | tangy</x:v>
      </x:c>
      <x:c r="H164" s="38" t="str">
        <x:v>rich | tangy</x:v>
      </x:c>
      <x:c r="I164" s="38" t="str">
        <x:v>NO</x:v>
      </x:c>
      <x:c r="J164" s="38" t="str">
        <x:v>none</x:v>
      </x:c>
    </x:row>
    <x:row r="165" ht="40" customHeight="1">
      <x:c r="A165" s="38" t="n">
        <x:v>161</x:v>
      </x:c>
      <x:c r="B165" s="38" t="str">
        <x:v>adana-kebab</x:v>
      </x:c>
      <x:c r="C165" s="38" t="str">
        <x:v>Adana Kebab</x:v>
      </x:c>
      <x:c r="D165" s="38" t="str">
        <x:v>spicy</x:v>
      </x:c>
      <x:c r="E165" s="38" t="str">
        <x:v>rich</x:v>
      </x:c>
      <x:c r="F165" s="38"/>
      <x:c r="G165" s="38" t="str">
        <x:v>spicy | rich</x:v>
      </x:c>
      <x:c r="H165" s="38" t="str">
        <x:v>spicy | rich</x:v>
      </x:c>
      <x:c r="I165" s="38" t="str">
        <x:v>NO</x:v>
      </x:c>
      <x:c r="J165" s="38" t="str">
        <x:v>none</x:v>
      </x:c>
    </x:row>
    <x:row r="166" ht="40" customHeight="1">
      <x:c r="A166" s="38" t="n">
        <x:v>162</x:v>
      </x:c>
      <x:c r="B166" s="38" t="str">
        <x:v>freekeh-pilaf</x:v>
      </x:c>
      <x:c r="C166" s="38" t="str">
        <x:v>Freekeh Pilaf</x:v>
      </x:c>
      <x:c r="D166" s="38" t="str">
        <x:v>fresh</x:v>
      </x:c>
      <x:c r="E166" s="38" t="str">
        <x:v>comforting</x:v>
      </x:c>
      <x:c r="F166" s="38"/>
      <x:c r="G166" s="38" t="str">
        <x:v>fresh | comforting</x:v>
      </x:c>
      <x:c r="H166" s="38" t="str">
        <x:v>comforting</x:v>
      </x:c>
      <x:c r="I166" s="38" t="str">
        <x:v>YES</x:v>
      </x:c>
      <x:c r="J166" s="38" t="str">
        <x:v>remove fresh</x:v>
      </x:c>
    </x:row>
    <x:row r="167" ht="40" customHeight="1">
      <x:c r="A167" s="38" t="n">
        <x:v>163</x:v>
      </x:c>
      <x:c r="B167" s="38" t="str">
        <x:v>sfiha</x:v>
      </x:c>
      <x:c r="C167" s="38" t="str">
        <x:v>Sfiha</x:v>
      </x:c>
      <x:c r="D167" s="38" t="str">
        <x:v>comforting</x:v>
      </x:c>
      <x:c r="E167" s="38"/>
      <x:c r="F167" s="38"/>
      <x:c r="G167" s="38" t="str">
        <x:v>comforting</x:v>
      </x:c>
      <x:c r="H167" s="38" t="str">
        <x:v>comforting</x:v>
      </x:c>
      <x:c r="I167" s="38" t="str">
        <x:v>NO</x:v>
      </x:c>
      <x:c r="J167" s="38" t="str">
        <x:v>none</x:v>
      </x:c>
    </x:row>
    <x:row r="168" ht="40" customHeight="1">
      <x:c r="A168" s="38" t="n">
        <x:v>164</x:v>
      </x:c>
      <x:c r="B168" s="38" t="str">
        <x:v>baasto-iyo-suugo</x:v>
      </x:c>
      <x:c r="C168" s="38" t="str">
        <x:v>Baasto iyo Suugo</x:v>
      </x:c>
      <x:c r="D168" s="38" t="str">
        <x:v>comforting</x:v>
      </x:c>
      <x:c r="E168" s="38"/>
      <x:c r="F168" s="38"/>
      <x:c r="G168" s="38" t="str">
        <x:v>comforting</x:v>
      </x:c>
      <x:c r="H168" s="38" t="str">
        <x:v>comforting</x:v>
      </x:c>
      <x:c r="I168" s="38" t="str">
        <x:v>NO</x:v>
      </x:c>
      <x:c r="J168" s="38" t="str">
        <x:v>none</x:v>
      </x:c>
    </x:row>
    <x:row r="169" ht="40" customHeight="1">
      <x:c r="A169" s="38" t="n">
        <x:v>165</x:v>
      </x:c>
      <x:c r="B169" s="38" t="str">
        <x:v>pastilla</x:v>
      </x:c>
      <x:c r="C169" s="38" t="str">
        <x:v>Pastilla</x:v>
      </x:c>
      <x:c r="D169" s="38" t="str">
        <x:v>crispy</x:v>
      </x:c>
      <x:c r="E169" s="38" t="str">
        <x:v>rich</x:v>
      </x:c>
      <x:c r="F169" s="38"/>
      <x:c r="G169" s="38" t="str">
        <x:v>crispy | rich</x:v>
      </x:c>
      <x:c r="H169" s="38" t="str">
        <x:v>crispy | rich</x:v>
      </x:c>
      <x:c r="I169" s="38" t="str">
        <x:v>NO</x:v>
      </x:c>
      <x:c r="J169" s="38" t="str">
        <x:v>none</x:v>
      </x:c>
    </x:row>
    <x:row r="170" ht="40" customHeight="1">
      <x:c r="A170" s="38" t="n">
        <x:v>166</x:v>
      </x:c>
      <x:c r="B170" s="38" t="str">
        <x:v>moi-moi</x:v>
      </x:c>
      <x:c r="C170" s="38" t="str">
        <x:v>Moi Moi</x:v>
      </x:c>
      <x:c r="D170" s="38" t="str">
        <x:v>comforting</x:v>
      </x:c>
      <x:c r="E170" s="38"/>
      <x:c r="F170" s="38"/>
      <x:c r="G170" s="38" t="str">
        <x:v>comforting</x:v>
      </x:c>
      <x:c r="H170" s="38" t="str">
        <x:v>comforting</x:v>
      </x:c>
      <x:c r="I170" s="38" t="str">
        <x:v>NO</x:v>
      </x:c>
      <x:c r="J170" s="38" t="str">
        <x:v>none</x:v>
      </x:c>
    </x:row>
    <x:row r="171" ht="40" customHeight="1">
      <x:c r="A171" s="38" t="n">
        <x:v>167</x:v>
      </x:c>
      <x:c r="B171" s="38" t="str">
        <x:v>attieke-fish</x:v>
      </x:c>
      <x:c r="C171" s="38" t="str">
        <x:v>Attiéké with Grilled Fish</x:v>
      </x:c>
      <x:c r="D171" s="38" t="str">
        <x:v>fresh</x:v>
      </x:c>
      <x:c r="E171" s="38" t="str">
        <x:v>tangy</x:v>
      </x:c>
      <x:c r="F171" s="38"/>
      <x:c r="G171" s="38" t="str">
        <x:v>fresh | tangy</x:v>
      </x:c>
      <x:c r="H171" s="38" t="str">
        <x:v>fresh | tangy</x:v>
      </x:c>
      <x:c r="I171" s="38" t="str">
        <x:v>NO</x:v>
      </x:c>
      <x:c r="J171" s="38" t="str">
        <x:v>none</x:v>
      </x:c>
    </x:row>
    <x:row r="172" ht="40" customHeight="1">
      <x:c r="A172" s="38" t="n">
        <x:v>168</x:v>
      </x:c>
      <x:c r="B172" s="38" t="str">
        <x:v>arroz-de-marisco</x:v>
      </x:c>
      <x:c r="C172" s="38" t="str">
        <x:v>Arroz de Marisco</x:v>
      </x:c>
      <x:c r="D172" s="38" t="str">
        <x:v>rich</x:v>
      </x:c>
      <x:c r="E172" s="38"/>
      <x:c r="F172" s="38"/>
      <x:c r="G172" s="38" t="str">
        <x:v>rich</x:v>
      </x:c>
      <x:c r="H172" s="38" t="str">
        <x:v>rich</x:v>
      </x:c>
      <x:c r="I172" s="38" t="str">
        <x:v>NO</x:v>
      </x:c>
      <x:c r="J172" s="38" t="str">
        <x:v>none</x:v>
      </x:c>
    </x:row>
    <x:row r="173" ht="40" customHeight="1">
      <x:c r="A173" s="38" t="n">
        <x:v>169</x:v>
      </x:c>
      <x:c r="B173" s="38" t="str">
        <x:v>arroz-negro</x:v>
      </x:c>
      <x:c r="C173" s="38" t="str">
        <x:v>Arroz Negro</x:v>
      </x:c>
      <x:c r="D173" s="38" t="str">
        <x:v>rich</x:v>
      </x:c>
      <x:c r="E173" s="38"/>
      <x:c r="F173" s="38"/>
      <x:c r="G173" s="38" t="str">
        <x:v>rich</x:v>
      </x:c>
      <x:c r="H173" s="38" t="str">
        <x:v>rich</x:v>
      </x:c>
      <x:c r="I173" s="38" t="str">
        <x:v>NO</x:v>
      </x:c>
      <x:c r="J173" s="38" t="str">
        <x:v>none</x:v>
      </x:c>
    </x:row>
    <x:row r="174" ht="40" customHeight="1">
      <x:c r="A174" s="38" t="n">
        <x:v>170</x:v>
      </x:c>
      <x:c r="B174" s="38" t="str">
        <x:v>cevapi</x:v>
      </x:c>
      <x:c r="C174" s="38" t="str">
        <x:v>Ćevapi</x:v>
      </x:c>
      <x:c r="D174" s="38" t="str">
        <x:v>rich</x:v>
      </x:c>
      <x:c r="E174" s="38" t="str">
        <x:v>fresh</x:v>
      </x:c>
      <x:c r="F174" s="38"/>
      <x:c r="G174" s="38" t="str">
        <x:v>rich | fresh</x:v>
      </x:c>
      <x:c r="H174" s="38" t="str">
        <x:v>rich | fresh</x:v>
      </x:c>
      <x:c r="I174" s="38" t="str">
        <x:v>NO</x:v>
      </x:c>
      <x:c r="J174" s="38" t="str">
        <x:v>none</x:v>
      </x:c>
    </x:row>
    <x:row r="175" ht="40" customHeight="1">
      <x:c r="A175" s="38" t="n">
        <x:v>171</x:v>
      </x:c>
      <x:c r="B175" s="38" t="str">
        <x:v>arroz-con-gandules</x:v>
      </x:c>
      <x:c r="C175" s="38" t="str">
        <x:v>Arroz con Gandules</x:v>
      </x:c>
      <x:c r="D175" s="38" t="str">
        <x:v>comforting</x:v>
      </x:c>
      <x:c r="E175" s="38" t="str">
        <x:v>rich</x:v>
      </x:c>
      <x:c r="F175" s="38"/>
      <x:c r="G175" s="38" t="str">
        <x:v>comforting | rich</x:v>
      </x:c>
      <x:c r="H175" s="38" t="str">
        <x:v>comforting | rich</x:v>
      </x:c>
      <x:c r="I175" s="38" t="str">
        <x:v>NO</x:v>
      </x:c>
      <x:c r="J175" s="38" t="str">
        <x:v>none</x:v>
      </x:c>
    </x:row>
    <x:row r="176" ht="40" customHeight="1">
      <x:c r="A176" s="38" t="n">
        <x:v>172</x:v>
      </x:c>
      <x:c r="B176" s="38" t="str">
        <x:v>chivito</x:v>
      </x:c>
      <x:c r="C176" s="38" t="str">
        <x:v>Chivito</x:v>
      </x:c>
      <x:c r="D176" s="38" t="str">
        <x:v>rich</x:v>
      </x:c>
      <x:c r="E176" s="38" t="str">
        <x:v>fresh</x:v>
      </x:c>
      <x:c r="F176" s="38"/>
      <x:c r="G176" s="38" t="str">
        <x:v>rich | fresh</x:v>
      </x:c>
      <x:c r="H176" s="38" t="str">
        <x:v>rich | fresh</x:v>
      </x:c>
      <x:c r="I176" s="38" t="str">
        <x:v>NO</x:v>
      </x:c>
      <x:c r="J176" s="38" t="str">
        <x:v>none</x:v>
      </x:c>
    </x:row>
    <x:row r="177" ht="40" customHeight="1">
      <x:c r="A177" s="38" t="n">
        <x:v>173</x:v>
      </x:c>
      <x:c r="B177" s="38" t="str">
        <x:v>jerk-chicken</x:v>
      </x:c>
      <x:c r="C177" s="38" t="str">
        <x:v>Jerk Chicken</x:v>
      </x:c>
      <x:c r="D177" s="38" t="str">
        <x:v>spicy</x:v>
      </x:c>
      <x:c r="E177" s="38" t="str">
        <x:v>fresh</x:v>
      </x:c>
      <x:c r="F177" s="38"/>
      <x:c r="G177" s="38" t="str">
        <x:v>spicy | fresh</x:v>
      </x:c>
      <x:c r="H177" s="38" t="str">
        <x:v>spicy</x:v>
      </x:c>
      <x:c r="I177" s="38" t="str">
        <x:v>YES</x:v>
      </x:c>
      <x:c r="J177" s="38" t="str">
        <x:v>remove fresh</x:v>
      </x:c>
    </x:row>
    <x:row r="178" ht="40" customHeight="1">
      <x:c r="A178" s="38" t="n">
        <x:v>174</x:v>
      </x:c>
      <x:c r="B178" s="38" t="str">
        <x:v>montreal-smoked-meat-sandwich</x:v>
      </x:c>
      <x:c r="C178" s="38" t="str">
        <x:v>Montreal Smoked Meat Sandwich</x:v>
      </x:c>
      <x:c r="D178" s="38" t="str">
        <x:v>rich</x:v>
      </x:c>
      <x:c r="E178" s="38" t="str">
        <x:v>tangy</x:v>
      </x:c>
      <x:c r="F178" s="38"/>
      <x:c r="G178" s="38" t="str">
        <x:v>rich | tangy</x:v>
      </x:c>
      <x:c r="H178" s="38" t="str">
        <x:v>rich</x:v>
      </x:c>
      <x:c r="I178" s="38" t="str">
        <x:v>YES</x:v>
      </x:c>
      <x:c r="J178" s="38" t="str">
        <x:v>remove tangy</x:v>
      </x:c>
    </x:row>
    <x:row r="179" ht="40" customHeight="1">
      <x:c r="A179" s="38" t="n">
        <x:v>175</x:v>
      </x:c>
      <x:c r="B179" s="38" t="str">
        <x:v>chicken-and-waffles</x:v>
      </x:c>
      <x:c r="C179" s="38" t="str">
        <x:v>Chicken and Waffles</x:v>
      </x:c>
      <x:c r="D179" s="38" t="str">
        <x:v>crispy</x:v>
      </x:c>
      <x:c r="E179" s="38" t="str">
        <x:v>rich</x:v>
      </x:c>
      <x:c r="F179" s="38"/>
      <x:c r="G179" s="38" t="str">
        <x:v>crispy | rich</x:v>
      </x:c>
      <x:c r="H179" s="38" t="str">
        <x:v>crispy | rich</x:v>
      </x:c>
      <x:c r="I179" s="38" t="str">
        <x:v>NO</x:v>
      </x:c>
      <x:c r="J179" s="38" t="str">
        <x:v>none</x:v>
      </x:c>
    </x:row>
    <x:row r="180" ht="40" customHeight="1">
      <x:c r="A180" s="38" t="n">
        <x:v>176</x:v>
      </x:c>
      <x:c r="B180" s="38" t="str">
        <x:v>katsudon</x:v>
      </x:c>
      <x:c r="C180" s="38" t="str">
        <x:v>Katsudon</x:v>
      </x:c>
      <x:c r="D180" s="38" t="str">
        <x:v>comforting</x:v>
      </x:c>
      <x:c r="E180" s="38" t="str">
        <x:v>crispy</x:v>
      </x:c>
      <x:c r="F180" s="38"/>
      <x:c r="G180" s="38" t="str">
        <x:v>comforting | crispy</x:v>
      </x:c>
      <x:c r="H180" s="38" t="str">
        <x:v>comforting | crispy</x:v>
      </x:c>
      <x:c r="I180" s="38" t="str">
        <x:v>NO</x:v>
      </x:c>
      <x:c r="J180" s="38" t="str">
        <x:v>none</x:v>
      </x:c>
    </x:row>
    <x:row r="181" ht="40" customHeight="1">
      <x:c r="A181" s="38" t="n">
        <x:v>177</x:v>
      </x:c>
      <x:c r="B181" s="38" t="str">
        <x:v>jjajangmyeon</x:v>
      </x:c>
      <x:c r="C181" s="38" t="str">
        <x:v>Jjajangmyeon</x:v>
      </x:c>
      <x:c r="D181" s="38" t="str">
        <x:v>rich</x:v>
      </x:c>
      <x:c r="E181" s="38" t="str">
        <x:v>comforting</x:v>
      </x:c>
      <x:c r="F181" s="38"/>
      <x:c r="G181" s="38" t="str">
        <x:v>rich | comforting</x:v>
      </x:c>
      <x:c r="H181" s="38" t="str">
        <x:v>rich | comforting</x:v>
      </x:c>
      <x:c r="I181" s="38" t="str">
        <x:v>NO</x:v>
      </x:c>
      <x:c r="J181" s="38" t="str">
        <x:v>none</x:v>
      </x:c>
    </x:row>
    <x:row r="182" ht="40" customHeight="1">
      <x:c r="A182" s="38" t="n">
        <x:v>178</x:v>
      </x:c>
      <x:c r="B182" s="38" t="str">
        <x:v>wonton-soup</x:v>
      </x:c>
      <x:c r="C182" s="38" t="str">
        <x:v>Wonton Soup</x:v>
      </x:c>
      <x:c r="D182" s="38" t="str">
        <x:v>comforting</x:v>
      </x:c>
      <x:c r="E182" s="38" t="str">
        <x:v>fresh</x:v>
      </x:c>
      <x:c r="F182" s="38"/>
      <x:c r="G182" s="38" t="str">
        <x:v>comforting | fresh</x:v>
      </x:c>
      <x:c r="H182" s="38" t="str">
        <x:v>comforting | fresh</x:v>
      </x:c>
      <x:c r="I182" s="38" t="str">
        <x:v>NO</x:v>
      </x:c>
      <x:c r="J182" s="38" t="str">
        <x:v>none</x:v>
      </x:c>
    </x:row>
    <x:row r="183" ht="40" customHeight="1">
      <x:c r="A183" s="38" t="n">
        <x:v>179</x:v>
      </x:c>
      <x:c r="B183" s="38" t="str">
        <x:v>lemon-rice</x:v>
      </x:c>
      <x:c r="C183" s="38" t="str">
        <x:v>Lemon Rice</x:v>
      </x:c>
      <x:c r="D183" s="38" t="str">
        <x:v>fresh</x:v>
      </x:c>
      <x:c r="E183" s="38" t="str">
        <x:v>tangy</x:v>
      </x:c>
      <x:c r="F183" s="38"/>
      <x:c r="G183" s="38" t="str">
        <x:v>fresh | tangy</x:v>
      </x:c>
      <x:c r="H183" s="38" t="str">
        <x:v>fresh | tangy</x:v>
      </x:c>
      <x:c r="I183" s="38" t="str">
        <x:v>NO</x:v>
      </x:c>
      <x:c r="J183" s="38" t="str">
        <x:v>none</x:v>
      </x:c>
    </x:row>
    <x:row r="184" ht="40" customHeight="1">
      <x:c r="A184" s="38" t="n">
        <x:v>180</x:v>
      </x:c>
      <x:c r="B184" s="38" t="str">
        <x:v>paya</x:v>
      </x:c>
      <x:c r="C184" s="38" t="str">
        <x:v>Paya</x:v>
      </x:c>
      <x:c r="D184" s="38" t="str">
        <x:v>rich</x:v>
      </x:c>
      <x:c r="E184" s="38" t="str">
        <x:v>comforting</x:v>
      </x:c>
      <x:c r="F184" s="38"/>
      <x:c r="G184" s="38" t="str">
        <x:v>rich | comforting</x:v>
      </x:c>
      <x:c r="H184" s="38" t="str">
        <x:v>rich | comforting</x:v>
      </x:c>
      <x:c r="I184" s="38" t="str">
        <x:v>NO</x:v>
      </x:c>
      <x:c r="J184" s="38" t="str">
        <x:v>none</x:v>
      </x:c>
    </x:row>
    <x:row r="185" ht="40" customHeight="1">
      <x:c r="A185" s="38" t="n">
        <x:v>181</x:v>
      </x:c>
      <x:c r="B185" s="38" t="str">
        <x:v>chicken-chettinad</x:v>
      </x:c>
      <x:c r="C185" s="38" t="str">
        <x:v>Chicken Chettinad</x:v>
      </x:c>
      <x:c r="D185" s="38" t="str">
        <x:v>spicy</x:v>
      </x:c>
      <x:c r="E185" s="38"/>
      <x:c r="F185" s="38"/>
      <x:c r="G185" s="38" t="str">
        <x:v>spicy</x:v>
      </x:c>
      <x:c r="H185" s="38" t="str">
        <x:v>spicy</x:v>
      </x:c>
      <x:c r="I185" s="38" t="str">
        <x:v>NO</x:v>
      </x:c>
      <x:c r="J185" s="38" t="str">
        <x:v>none</x:v>
      </x:c>
    </x:row>
    <x:row r="186" ht="40" customHeight="1">
      <x:c r="A186" s="38" t="n">
        <x:v>182</x:v>
      </x:c>
      <x:c r="B186" s="38" t="str">
        <x:v>mandi</x:v>
      </x:c>
      <x:c r="C186" s="38" t="str">
        <x:v>Mandi</x:v>
      </x:c>
      <x:c r="D186" s="38" t="str">
        <x:v>comforting</x:v>
      </x:c>
      <x:c r="E186" s="38"/>
      <x:c r="F186" s="38"/>
      <x:c r="G186" s="38" t="str">
        <x:v>comforting</x:v>
      </x:c>
      <x:c r="H186" s="38" t="str">
        <x:v>comforting</x:v>
      </x:c>
      <x:c r="I186" s="38" t="str">
        <x:v>NO</x:v>
      </x:c>
      <x:c r="J186" s="38" t="str">
        <x:v>none</x:v>
      </x:c>
    </x:row>
    <x:row r="187" ht="40" customHeight="1">
      <x:c r="A187" s="38" t="n">
        <x:v>183</x:v>
      </x:c>
      <x:c r="B187" s="38" t="str">
        <x:v>shish-barak</x:v>
      </x:c>
      <x:c r="C187" s="38" t="str">
        <x:v>Shish Barak</x:v>
      </x:c>
      <x:c r="D187" s="38" t="str">
        <x:v>rich</x:v>
      </x:c>
      <x:c r="E187" s="38" t="str">
        <x:v>tangy</x:v>
      </x:c>
      <x:c r="F187" s="38"/>
      <x:c r="G187" s="38" t="str">
        <x:v>rich | tangy</x:v>
      </x:c>
      <x:c r="H187" s="38" t="str">
        <x:v>rich | tangy</x:v>
      </x:c>
      <x:c r="I187" s="38" t="str">
        <x:v>NO</x:v>
      </x:c>
      <x:c r="J187" s="38" t="str">
        <x:v>none</x:v>
      </x:c>
    </x:row>
    <x:row r="188" ht="40" customHeight="1">
      <x:c r="A188" s="38" t="n">
        <x:v>184</x:v>
      </x:c>
      <x:c r="B188" s="38" t="str">
        <x:v>maftoul</x:v>
      </x:c>
      <x:c r="C188" s="38" t="str">
        <x:v>Maftoul</x:v>
      </x:c>
      <x:c r="D188" s="38" t="str">
        <x:v>comforting</x:v>
      </x:c>
      <x:c r="E188" s="38" t="str">
        <x:v>fresh</x:v>
      </x:c>
      <x:c r="F188" s="38"/>
      <x:c r="G188" s="38" t="str">
        <x:v>comforting | fresh</x:v>
      </x:c>
      <x:c r="H188" s="38" t="str">
        <x:v>comforting</x:v>
      </x:c>
      <x:c r="I188" s="38" t="str">
        <x:v>YES</x:v>
      </x:c>
      <x:c r="J188" s="38" t="str">
        <x:v>remove fresh</x:v>
      </x:c>
    </x:row>
    <x:row r="189" ht="40" customHeight="1">
      <x:c r="A189" s="38" t="n">
        <x:v>185</x:v>
      </x:c>
      <x:c r="B189" s="38" t="str">
        <x:v>sambousek</x:v>
      </x:c>
      <x:c r="C189" s="38" t="str">
        <x:v>Sambousek</x:v>
      </x:c>
      <x:c r="D189" s="38" t="str">
        <x:v>crispy</x:v>
      </x:c>
      <x:c r="E189" s="38" t="str">
        <x:v>rich</x:v>
      </x:c>
      <x:c r="F189" s="38"/>
      <x:c r="G189" s="38" t="str">
        <x:v>crispy | rich</x:v>
      </x:c>
      <x:c r="H189" s="38" t="str">
        <x:v>rich</x:v>
      </x:c>
      <x:c r="I189" s="38" t="str">
        <x:v>YES</x:v>
      </x:c>
      <x:c r="J189" s="38" t="str">
        <x:v>remove crispy</x:v>
      </x:c>
    </x:row>
    <x:row r="190" ht="40" customHeight="1">
      <x:c r="A190" s="38" t="n">
        <x:v>186</x:v>
      </x:c>
      <x:c r="B190" s="38" t="str">
        <x:v>pepper-soup</x:v>
      </x:c>
      <x:c r="C190" s="38" t="str">
        <x:v>Pepper Soup</x:v>
      </x:c>
      <x:c r="D190" s="38" t="str">
        <x:v>spicy</x:v>
      </x:c>
      <x:c r="E190" s="38" t="str">
        <x:v>fresh</x:v>
      </x:c>
      <x:c r="F190" s="38"/>
      <x:c r="G190" s="38" t="str">
        <x:v>spicy | fresh</x:v>
      </x:c>
      <x:c r="H190" s="38" t="str">
        <x:v>spicy</x:v>
      </x:c>
      <x:c r="I190" s="38" t="str">
        <x:v>YES</x:v>
      </x:c>
      <x:c r="J190" s="38" t="str">
        <x:v>remove fresh</x:v>
      </x:c>
    </x:row>
    <x:row r="191" ht="40" customHeight="1">
      <x:c r="A191" s="38" t="n">
        <x:v>187</x:v>
      </x:c>
      <x:c r="B191" s="38" t="str">
        <x:v>kitfo</x:v>
      </x:c>
      <x:c r="C191" s="38" t="str">
        <x:v>Kitfo</x:v>
      </x:c>
      <x:c r="D191" s="38" t="str">
        <x:v>rich</x:v>
      </x:c>
      <x:c r="E191" s="38" t="str">
        <x:v>spicy</x:v>
      </x:c>
      <x:c r="F191" s="38"/>
      <x:c r="G191" s="38" t="str">
        <x:v>rich | spicy</x:v>
      </x:c>
      <x:c r="H191" s="38" t="str">
        <x:v>rich | spicy</x:v>
      </x:c>
      <x:c r="I191" s="38" t="str">
        <x:v>NO</x:v>
      </x:c>
      <x:c r="J191" s="38" t="str">
        <x:v>none</x:v>
      </x:c>
    </x:row>
    <x:row r="192" ht="40" customHeight="1">
      <x:c r="A192" s="38" t="n">
        <x:v>188</x:v>
      </x:c>
      <x:c r="B192" s="38" t="str">
        <x:v>tagliatelle-al-ragu</x:v>
      </x:c>
      <x:c r="C192" s="38" t="str">
        <x:v>Tagliatelle al Ragù</x:v>
      </x:c>
      <x:c r="D192" s="38" t="str">
        <x:v>rich</x:v>
      </x:c>
      <x:c r="E192" s="38" t="str">
        <x:v>comforting</x:v>
      </x:c>
      <x:c r="F192" s="38"/>
      <x:c r="G192" s="38" t="str">
        <x:v>rich | comforting</x:v>
      </x:c>
      <x:c r="H192" s="38" t="str">
        <x:v>rich | comforting</x:v>
      </x:c>
      <x:c r="I192" s="38" t="str">
        <x:v>NO</x:v>
      </x:c>
      <x:c r="J192" s="38" t="str">
        <x:v>none</x:v>
      </x:c>
    </x:row>
    <x:row r="193" ht="40" customHeight="1">
      <x:c r="A193" s="38" t="n">
        <x:v>189</x:v>
      </x:c>
      <x:c r="B193" s="38" t="str">
        <x:v>minestrone</x:v>
      </x:c>
      <x:c r="C193" s="38" t="str">
        <x:v>Minestrone</x:v>
      </x:c>
      <x:c r="D193" s="38" t="str">
        <x:v>fresh</x:v>
      </x:c>
      <x:c r="E193" s="38" t="str">
        <x:v>comforting</x:v>
      </x:c>
      <x:c r="F193" s="38"/>
      <x:c r="G193" s="38" t="str">
        <x:v>fresh | comforting</x:v>
      </x:c>
      <x:c r="H193" s="38" t="str">
        <x:v>fresh | comforting</x:v>
      </x:c>
      <x:c r="I193" s="38" t="str">
        <x:v>NO</x:v>
      </x:c>
      <x:c r="J193" s="38" t="str">
        <x:v>none</x:v>
      </x:c>
    </x:row>
    <x:row r="194" ht="40" customHeight="1">
      <x:c r="A194" s="38" t="n">
        <x:v>190</x:v>
      </x:c>
      <x:c r="B194" s="38" t="str">
        <x:v>shepherds-pie</x:v>
      </x:c>
      <x:c r="C194" s="38" t="str">
        <x:v>Shepherd's Pie</x:v>
      </x:c>
      <x:c r="D194" s="38" t="str">
        <x:v>rich</x:v>
      </x:c>
      <x:c r="E194" s="38" t="str">
        <x:v>comforting</x:v>
      </x:c>
      <x:c r="F194" s="38"/>
      <x:c r="G194" s="38" t="str">
        <x:v>rich | comforting</x:v>
      </x:c>
      <x:c r="H194" s="38" t="str">
        <x:v>rich | comforting</x:v>
      </x:c>
      <x:c r="I194" s="38" t="str">
        <x:v>NO</x:v>
      </x:c>
      <x:c r="J194" s="38" t="str">
        <x:v>none</x:v>
      </x:c>
    </x:row>
    <x:row r="195" ht="40" customHeight="1">
      <x:c r="A195" s="38" t="n">
        <x:v>191</x:v>
      </x:c>
      <x:c r="B195" s="38" t="str">
        <x:v>arroz-con-coco</x:v>
      </x:c>
      <x:c r="C195" s="38" t="str">
        <x:v>Arroz con Coco</x:v>
      </x:c>
      <x:c r="D195" s="38" t="str">
        <x:v>rich</x:v>
      </x:c>
      <x:c r="E195" s="38"/>
      <x:c r="F195" s="38"/>
      <x:c r="G195" s="38" t="str">
        <x:v>rich</x:v>
      </x:c>
      <x:c r="H195" s="38" t="str">
        <x:v>rich</x:v>
      </x:c>
      <x:c r="I195" s="38" t="str">
        <x:v>NO</x:v>
      </x:c>
      <x:c r="J195" s="38" t="str">
        <x:v>none</x:v>
      </x:c>
    </x:row>
    <x:row r="196" ht="40" customHeight="1">
      <x:c r="A196" s="38" t="n">
        <x:v>192</x:v>
      </x:c>
      <x:c r="B196" s="38" t="str">
        <x:v>pozole</x:v>
      </x:c>
      <x:c r="C196" s="38" t="str">
        <x:v>Pozole</x:v>
      </x:c>
      <x:c r="D196" s="38" t="str">
        <x:v>fresh</x:v>
      </x:c>
      <x:c r="E196" s="38" t="str">
        <x:v>spicy</x:v>
      </x:c>
      <x:c r="F196" s="38"/>
      <x:c r="G196" s="38" t="str">
        <x:v>fresh | spicy</x:v>
      </x:c>
      <x:c r="H196" s="38" t="str">
        <x:v>fresh</x:v>
      </x:c>
      <x:c r="I196" s="38" t="str">
        <x:v>YES</x:v>
      </x:c>
      <x:c r="J196" s="38" t="str">
        <x:v>remove spicy</x:v>
      </x:c>
    </x:row>
    <x:row r="197" ht="40" customHeight="1">
      <x:c r="A197" s="38" t="n">
        <x:v>193</x:v>
      </x:c>
      <x:c r="B197" s="38" t="str">
        <x:v>locro</x:v>
      </x:c>
      <x:c r="C197" s="38" t="str">
        <x:v>Locro</x:v>
      </x:c>
      <x:c r="D197" s="38" t="str">
        <x:v>rich</x:v>
      </x:c>
      <x:c r="E197" s="38" t="str">
        <x:v>comforting</x:v>
      </x:c>
      <x:c r="F197" s="38"/>
      <x:c r="G197" s="38" t="str">
        <x:v>rich | comforting</x:v>
      </x:c>
      <x:c r="H197" s="38" t="str">
        <x:v>rich | comforting</x:v>
      </x:c>
      <x:c r="I197" s="38" t="str">
        <x:v>NO</x:v>
      </x:c>
      <x:c r="J197" s="38" t="str">
        <x:v>none</x:v>
      </x:c>
    </x:row>
    <x:row r="198" ht="40" customHeight="1">
      <x:c r="A198" s="38" t="n">
        <x:v>194</x:v>
      </x:c>
      <x:c r="B198" s="38" t="str">
        <x:v>mofongo</x:v>
      </x:c>
      <x:c r="C198" s="38" t="str">
        <x:v>Mofongo</x:v>
      </x:c>
      <x:c r="D198" s="38" t="str">
        <x:v>rich</x:v>
      </x:c>
      <x:c r="E198" s="38" t="str">
        <x:v>comforting</x:v>
      </x:c>
      <x:c r="F198" s="38"/>
      <x:c r="G198" s="38" t="str">
        <x:v>rich | comforting</x:v>
      </x:c>
      <x:c r="H198" s="38" t="str">
        <x:v>rich | comforting</x:v>
      </x:c>
      <x:c r="I198" s="38" t="str">
        <x:v>NO</x:v>
      </x:c>
      <x:c r="J198" s="38" t="str">
        <x:v>none</x:v>
      </x:c>
    </x:row>
    <x:row r="199" ht="40" customHeight="1">
      <x:c r="A199" s="38" t="n">
        <x:v>195</x:v>
      </x:c>
      <x:c r="B199" s="38" t="str">
        <x:v>red-beans-and-rice</x:v>
      </x:c>
      <x:c r="C199" s="38" t="str">
        <x:v>Red Beans and Rice</x:v>
      </x:c>
      <x:c r="D199" s="38" t="str">
        <x:v>comforting</x:v>
      </x:c>
      <x:c r="E199" s="38" t="str">
        <x:v>rich</x:v>
      </x:c>
      <x:c r="F199" s="38"/>
      <x:c r="G199" s="38" t="str">
        <x:v>comforting | rich</x:v>
      </x:c>
      <x:c r="H199" s="38" t="str">
        <x:v>comforting | rich</x:v>
      </x:c>
      <x:c r="I199" s="38" t="str">
        <x:v>NO</x:v>
      </x:c>
      <x:c r="J199" s="38" t="str">
        <x:v>none</x:v>
      </x:c>
    </x:row>
    <x:row r="200" ht="40" customHeight="1">
      <x:c r="A200" s="38" t="n">
        <x:v>196</x:v>
      </x:c>
      <x:c r="B200" s="38" t="str">
        <x:v>crawfish-etouffee</x:v>
      </x:c>
      <x:c r="C200" s="38" t="str">
        <x:v>Crawfish Étouffée</x:v>
      </x:c>
      <x:c r="D200" s="38" t="str">
        <x:v>rich</x:v>
      </x:c>
      <x:c r="E200" s="38" t="str">
        <x:v>comforting</x:v>
      </x:c>
      <x:c r="F200" s="38"/>
      <x:c r="G200" s="38" t="str">
        <x:v>rich | comforting</x:v>
      </x:c>
      <x:c r="H200" s="38" t="str">
        <x:v>rich | comforting</x:v>
      </x:c>
      <x:c r="I200" s="38" t="str">
        <x:v>NO</x:v>
      </x:c>
      <x:c r="J200" s="38" t="str">
        <x:v>none</x:v>
      </x:c>
    </x:row>
    <x:row r="201" ht="40" customHeight="1">
      <x:c r="A201" s="38" t="n">
        <x:v>197</x:v>
      </x:c>
      <x:c r="B201" s="38" t="str">
        <x:v>saimin</x:v>
      </x:c>
      <x:c r="C201" s="38" t="str">
        <x:v>Saimin</x:v>
      </x:c>
      <x:c r="D201" s="38" t="str">
        <x:v>comforting</x:v>
      </x:c>
      <x:c r="E201" s="38" t="str">
        <x:v>fresh</x:v>
      </x:c>
      <x:c r="F201" s="38"/>
      <x:c r="G201" s="38" t="str">
        <x:v>comforting | fresh</x:v>
      </x:c>
      <x:c r="H201" s="38" t="str">
        <x:v>comforting | fresh</x:v>
      </x:c>
      <x:c r="I201" s="38" t="str">
        <x:v>NO</x:v>
      </x:c>
      <x:c r="J201" s="38" t="str">
        <x:v>none</x:v>
      </x:c>
    </x:row>
    <x:row r="202" ht="40" customHeight="1">
      <x:c r="A202" s="38" t="n">
        <x:v>198</x:v>
      </x:c>
      <x:c r="B202" s="38" t="str">
        <x:v>cincinnati-chili</x:v>
      </x:c>
      <x:c r="C202" s="38" t="str">
        <x:v>Cincinnati Chili</x:v>
      </x:c>
      <x:c r="D202" s="38" t="str">
        <x:v>rich</x:v>
      </x:c>
      <x:c r="E202" s="38" t="str">
        <x:v>comforting</x:v>
      </x:c>
      <x:c r="F202" s="38"/>
      <x:c r="G202" s="38" t="str">
        <x:v>rich | comforting</x:v>
      </x:c>
      <x:c r="H202" s="38" t="str">
        <x:v>rich | comforting</x:v>
      </x:c>
      <x:c r="I202" s="38" t="str">
        <x:v>NO</x:v>
      </x:c>
      <x:c r="J202" s="38" t="str">
        <x:v>none</x:v>
      </x:c>
    </x:row>
    <x:row r="203" ht="40" customHeight="1">
      <x:c r="A203" s="38" t="n">
        <x:v>199</x:v>
      </x:c>
      <x:c r="B203" s="38" t="str">
        <x:v>canadian-split-pea-soup</x:v>
      </x:c>
      <x:c r="C203" s="38" t="str">
        <x:v>Canadian Split Pea Soup</x:v>
      </x:c>
      <x:c r="D203" s="38" t="str">
        <x:v>comforting</x:v>
      </x:c>
      <x:c r="E203" s="38"/>
      <x:c r="F203" s="38"/>
      <x:c r="G203" s="38" t="str">
        <x:v>comforting</x:v>
      </x:c>
      <x:c r="H203" s="38" t="str">
        <x:v>comforting</x:v>
      </x:c>
      <x:c r="I203" s="38" t="str">
        <x:v>NO</x:v>
      </x:c>
      <x:c r="J203" s="38" t="str">
        <x:v>none</x:v>
      </x:c>
    </x:row>
    <x:row r="204" ht="40" customHeight="1">
      <x:c r="A204" s="38" t="n">
        <x:v>200</x:v>
      </x:c>
      <x:c r="B204" s="38" t="str">
        <x:v>matzo-ball-soup</x:v>
      </x:c>
      <x:c r="C204" s="38" t="str">
        <x:v>Matzo Ball Soup</x:v>
      </x:c>
      <x:c r="D204" s="38" t="str">
        <x:v>comforting</x:v>
      </x:c>
      <x:c r="E204" s="38" t="str">
        <x:v>fresh</x:v>
      </x:c>
      <x:c r="F204" s="38"/>
      <x:c r="G204" s="38" t="str">
        <x:v>comforting | fresh</x:v>
      </x:c>
      <x:c r="H204" s="38" t="str">
        <x:v>comforting</x:v>
      </x:c>
      <x:c r="I204" s="38" t="str">
        <x:v>YES</x:v>
      </x:c>
      <x:c r="J204" s="38" t="str">
        <x:v>remove fresh</x:v>
      </x:c>
    </x:row>
    <x:row r="205" ht="40" customHeight="1">
      <x:c r="A205" s="38" t="n">
        <x:v>201</x:v>
      </x:c>
      <x:c r="B205" s="38" t="str">
        <x:v>fresh-lumpia</x:v>
      </x:c>
      <x:c r="C205" s="38" t="str">
        <x:v>Fresh Lumpia</x:v>
      </x:c>
      <x:c r="D205" s="38" t="str">
        <x:v>fresh</x:v>
      </x:c>
      <x:c r="E205" s="38"/>
      <x:c r="F205" s="38"/>
      <x:c r="G205" s="38" t="str">
        <x:v>fresh</x:v>
      </x:c>
      <x:c r="H205" s="38" t="str">
        <x:v>fresh</x:v>
      </x:c>
      <x:c r="I205" s="38" t="str">
        <x:v>NO</x:v>
      </x:c>
      <x:c r="J205" s="38" t="str">
        <x:v>none</x:v>
      </x:c>
    </x:row>
  </x:sheetData>
  <x:mergeCells>
    <x:mergeCell ref="A1:J1"/>
    <x:mergeCell ref="A2:J2"/>
  </x:mergeCells>
  <x:pageMargins left="0.7" right="0.7" top="0.75" bottom="0.75" header="0.3" footer="0.3"/>
</x:worksheet>
</file>

<file path=xl/worksheets/sheet13.xml><?xml version="1.0" encoding="utf-8"?>
<x:worksheet xmlns:x="http://schemas.openxmlformats.org/spreadsheetml/2006/main">
  <x:sheetFormatPr defaultRowHeight="15"/>
  <x:cols>
    <x:col min="1" max="1" width="5" hidden="0" customWidth="1"/>
    <x:col min="2" max="2" width="24" hidden="0" customWidth="1"/>
    <x:col min="3" max="3" width="24" hidden="0" customWidth="1"/>
    <x:col min="4" max="4" width="28" hidden="0" customWidth="1"/>
    <x:col min="5" max="5" width="13" hidden="0" customWidth="1"/>
    <x:col min="6" max="6" width="58" hidden="0" customWidth="1"/>
    <x:col min="7" max="7" width="13" hidden="0" customWidth="1"/>
    <x:col min="8" max="8" width="58" hidden="0" customWidth="1"/>
    <x:col min="9" max="9" width="13" hidden="0" customWidth="1"/>
    <x:col min="10" max="10" width="58" hidden="0" customWidth="1"/>
    <x:col min="11" max="11" width="13" hidden="0" customWidth="1"/>
    <x:col min="12" max="12" width="58" hidden="0" customWidth="1"/>
    <x:col min="13" max="13" width="30" hidden="0" customWidth="1"/>
    <x:col min="14" max="14" width="34" hidden="0" customWidth="1"/>
    <x:col min="15" max="15" width="28" hidden="0" customWidth="1"/>
    <x:col min="16" max="16" width="48" hidden="0" customWidth="1"/>
    <x:col min="17" max="17" width="34" hidden="0" customWidth="1"/>
  </x:cols>
  <x:sheetData>
    <x:row r="1" ht="28" customHeight="1">
      <x:c r="A1" s="157" t="str">
        <x:v>Nom V1 Final Flavor Audit — High-Confidence Changes Only</x:v>
      </x:c>
      <x:c r="B1" s="157"/>
      <x:c r="C1" s="157"/>
      <x:c r="D1" s="157"/>
      <x:c r="E1" s="157"/>
      <x:c r="F1" s="157"/>
      <x:c r="G1" s="157"/>
      <x:c r="H1" s="157"/>
      <x:c r="I1" s="157"/>
      <x:c r="J1" s="157"/>
      <x:c r="K1" s="157"/>
      <x:c r="L1" s="157"/>
      <x:c r="M1" s="157"/>
      <x:c r="N1" s="157"/>
      <x:c r="O1" s="157"/>
      <x:c r="P1" s="157"/>
      <x:c r="Q1" s="157"/>
    </x:row>
    <x:row r="2" ht="44" customHeight="1">
      <x:c r="A2" s="161" t="str">
        <x:v>All 201 entries were reviewed against the current catalog descriptions. Only high-confidence ADD/REMOVE changes were applied. Ambiguous cases were deliberately left unchanged. This is the final V1 pass for spicy, fresh, crispy, and tangy.</x:v>
      </x:c>
      <x:c r="B2" s="161"/>
      <x:c r="C2" s="161"/>
      <x:c r="D2" s="161"/>
      <x:c r="E2" s="161"/>
      <x:c r="F2" s="161"/>
      <x:c r="G2" s="161"/>
      <x:c r="H2" s="161"/>
      <x:c r="I2" s="161"/>
      <x:c r="J2" s="161"/>
      <x:c r="K2" s="161"/>
      <x:c r="L2" s="161"/>
      <x:c r="M2" s="161"/>
      <x:c r="N2" s="161"/>
      <x:c r="O2" s="161"/>
      <x:c r="P2" s="161"/>
      <x:c r="Q2" s="161"/>
    </x:row>
    <x:row r="4">
      <x:c r="A4" s="165" t="str">
        <x:v>Flavor</x:v>
      </x:c>
      <x:c r="B4" s="165" t="str">
        <x:v>Before</x:v>
      </x:c>
      <x:c r="C4" s="165" t="str">
        <x:v>Adds</x:v>
      </x:c>
      <x:c r="D4" s="165" t="str">
        <x:v>Removes</x:v>
      </x:c>
      <x:c r="E4" s="165" t="str">
        <x:v>After</x:v>
      </x:c>
      <x:c r="F4" s="165" t="str">
        <x:v>V1 rule</x:v>
      </x:c>
      <x:c r="H4" s="165" t="str">
        <x:v>Freeze metric</x:v>
      </x:c>
      <x:c r="I4" s="165" t="str">
        <x:v>Value</x:v>
      </x:c>
      <x:c r="J4" s="165" t="str">
        <x:v>Meaning</x:v>
      </x:c>
      <x:c r="K4" s="165" t="str">
        <x:v>Status</x:v>
      </x:c>
    </x:row>
    <x:row r="5">
      <x:c r="A5" t="str">
        <x:v>spicy</x:v>
      </x:c>
      <x:c r="B5" t="n">
        <x:v>37</x:v>
      </x:c>
      <x:c r="C5" t="n">
        <x:v>2</x:v>
      </x:c>
      <x:c r="D5" t="n">
        <x:v>12</x:v>
      </x:c>
      <x:c r="E5" t="n">
        <x:v>27</x:v>
      </x:c>
      <x:c r="F5" t="str">
        <x:v>Noticeable heat from explicit chile/pepper/hot-condiment cues; 'spiced' alone does not count.</x:v>
      </x:c>
      <x:c r="H5" t="str">
        <x:v>Catalog entries</x:v>
      </x:c>
      <x:c r="I5" t="n">
        <x:v>201</x:v>
      </x:c>
      <x:c r="J5" t="str">
        <x:v>Current V1 catalog after Lumpia split</x:v>
      </x:c>
      <x:c r="K5" t="str">
        <x:v>FROZEN</x:v>
      </x:c>
    </x:row>
    <x:row r="6">
      <x:c r="A6" t="str">
        <x:v>fresh</x:v>
      </x:c>
      <x:c r="B6" t="n">
        <x:v>53</x:v>
      </x:c>
      <x:c r="C6" t="n">
        <x:v>1</x:v>
      </x:c>
      <x:c r="D6" t="n">
        <x:v>17</x:v>
      </x:c>
      <x:c r="E6" t="n">
        <x:v>37</x:v>
      </x:c>
      <x:c r="F6" t="str">
        <x:v>A defining bright/raw/herb/vegetable/light component; garnish-only freshness does not count.</x:v>
      </x:c>
      <x:c r="H6" t="str">
        <x:v>Preference flavors</x:v>
      </x:c>
      <x:c r="I6" t="n">
        <x:v>6</x:v>
      </x:c>
      <x:c r="J6" t="str">
        <x:v>spicy, comforting, fresh, rich, crispy, tangy</x:v>
      </x:c>
      <x:c r="K6" t="str">
        <x:v>FROZEN</x:v>
      </x:c>
    </x:row>
    <x:row r="7">
      <x:c r="A7" t="str">
        <x:v>crispy</x:v>
      </x:c>
      <x:c r="B7" t="n">
        <x:v>26</x:v>
      </x:c>
      <x:c r="C7" t="n">
        <x:v>3</x:v>
      </x:c>
      <x:c r="D7" t="n">
        <x:v>2</x:v>
      </x:c>
      <x:c r="E7" t="n">
        <x:v>27</x:v>
      </x:c>
      <x:c r="F7" t="str">
        <x:v>A defining and repeatable crisp/crunch/fried/breaded texture, not an optional variant.</x:v>
      </x:c>
      <x:c r="H7" t="str">
        <x:v>High-confidence changes</x:v>
      </x:c>
      <x:c r="I7" t="n">
        <x:v>41</x:v>
      </x:c>
      <x:c r="J7" t="str">
        <x:v>Only changes with direct catalog support</x:v>
      </x:c>
      <x:c r="K7" t="str">
        <x:v>APPLIED</x:v>
      </x:c>
    </x:row>
    <x:row r="8">
      <x:c r="A8" t="str">
        <x:v>tangy</x:v>
      </x:c>
      <x:c r="B8" t="n">
        <x:v>30</x:v>
      </x:c>
      <x:c r="C8" t="n">
        <x:v>1</x:v>
      </x:c>
      <x:c r="D8" t="n">
        <x:v>6</x:v>
      </x:c>
      <x:c r="E8" t="n">
        <x:v>25</x:v>
      </x:c>
      <x:c r="F8" t="str">
        <x:v>A defining sour/citrus/vinegar/pickled/fermented-yogurt acidic character.</x:v>
      </x:c>
      <x:c r="H8" t="str">
        <x:v>Entries with no flavor</x:v>
      </x:c>
      <x:c r="I8" t="n">
        <x:v>0</x:v>
      </x:c>
      <x:c r="J8" t="str">
        <x:v>Should remain zero after freeze</x:v>
      </x:c>
      <x:c r="K8" t="str">
        <x:v>CHECK</x:v>
      </x:c>
    </x:row>
    <x:row r="9">
      <x:c r="H9" t="str">
        <x:v>New V1 preference flavors</x:v>
      </x:c>
      <x:c r="I9" t="n">
        <x:v>0</x:v>
      </x:c>
      <x:c r="J9" t="str">
        <x:v>No umami/savory/etc. added to discovery</x:v>
      </x:c>
      <x:c r="K9" t="str">
        <x:v>FROZEN</x:v>
      </x:c>
    </x:row>
    <x:row r="12">
      <x:c r="A12" s="165" t="str">
        <x:v>#</x:v>
      </x:c>
      <x:c r="B12" s="165" t="str">
        <x:v>dishId</x:v>
      </x:c>
      <x:c r="C12" s="165" t="str">
        <x:v>Dish</x:v>
      </x:c>
      <x:c r="D12" s="165" t="str">
        <x:v>Current tags</x:v>
      </x:c>
      <x:c r="E12" s="165" t="str">
        <x:v>Spicy</x:v>
      </x:c>
      <x:c r="F12" s="165" t="str">
        <x:v>Spicy rationale</x:v>
      </x:c>
      <x:c r="G12" s="165" t="str">
        <x:v>Fresh</x:v>
      </x:c>
      <x:c r="H12" s="165" t="str">
        <x:v>Fresh rationale</x:v>
      </x:c>
      <x:c r="I12" s="165" t="str">
        <x:v>Crispy</x:v>
      </x:c>
      <x:c r="J12" s="165" t="str">
        <x:v>Crispy rationale</x:v>
      </x:c>
      <x:c r="K12" s="165" t="str">
        <x:v>Tangy</x:v>
      </x:c>
      <x:c r="L12" s="165" t="str">
        <x:v>Tangy rationale</x:v>
      </x:c>
      <x:c r="M12" s="165" t="str">
        <x:v>Final tags</x:v>
      </x:c>
      <x:c r="N12" s="165" t="str">
        <x:v>Applied change</x:v>
      </x:c>
      <x:c r="O12" s="165" t="str">
        <x:v>Confidence</x:v>
      </x:c>
      <x:c r="P12" s="165" t="str">
        <x:v>Short description</x:v>
      </x:c>
      <x:c r="Q12" s="165" t="str">
        <x:v>Freeze note</x:v>
      </x:c>
    </x:row>
    <x:row r="13" ht="56" customHeight="1">
      <x:c r="A13" s="38" t="n">
        <x:v>1</x:v>
      </x:c>
      <x:c r="B13" s="38" t="str">
        <x:v>lort-cha</x:v>
      </x:c>
      <x:c r="C13" s="38" t="str">
        <x:v>Lort Cha</x:v>
      </x:c>
      <x:c r="D13" s="38" t="str">
        <x:v>comforting</x:v>
      </x:c>
      <x:c r="E13" s="38" t="str">
        <x:v>NO ADD</x:v>
      </x:c>
      <x:c r="F13" s="38" t="str">
        <x:v>NO ADD — no high-confidence evidence strong enough to add this tag in the final V1 pass.</x:v>
      </x:c>
      <x:c r="G13" s="38" t="str">
        <x:v>NO ADD</x:v>
      </x:c>
      <x:c r="H13" s="38" t="str">
        <x:v>NO ADD — no high-confidence evidence strong enough to add this tag in the final V1 pass.</x:v>
      </x:c>
      <x:c r="I13" s="38" t="str">
        <x:v>NO ADD</x:v>
      </x:c>
      <x:c r="J13" s="38" t="str">
        <x:v>NO ADD — no high-confidence evidence strong enough to add this tag in the final V1 pass.</x:v>
      </x:c>
      <x:c r="K13" s="38" t="str">
        <x:v>NO ADD</x:v>
      </x:c>
      <x:c r="L13" s="38" t="str">
        <x:v>NO ADD — no high-confidence evidence strong enough to add this tag in the final V1 pass.</x:v>
      </x:c>
      <x:c r="M13" s="38" t="str">
        <x:v>comforting</x:v>
      </x:c>
      <x:c r="N13" s="38" t="str">
        <x:v>none</x:v>
      </x:c>
      <x:c r="O13" s="38" t="str">
        <x:v>FROZEN / NO HIGH-CONFIDENCE CHANGE</x:v>
      </x:c>
      <x:c r="P13" s="38" t="str">
        <x:v>Cambodian stir-fried rice noodles with beef, egg, and chives.</x:v>
      </x:c>
      <x:c r="Q13" s="38" t="str">
        <x:v>Six-flavor V1 taxonomy frozen after this audit.</x:v>
      </x:c>
    </x:row>
    <x:row r="14" ht="56" customHeight="1">
      <x:c r="A14" s="38" t="n">
        <x:v>2</x:v>
      </x:c>
      <x:c r="B14" s="38" t="str">
        <x:v>mie-goreng</x:v>
      </x:c>
      <x:c r="C14" s="38" t="str">
        <x:v>Mie Goreng</x:v>
      </x:c>
      <x:c r="D14" s="38" t="str">
        <x:v>NONE</x:v>
      </x:c>
      <x:c r="E14" s="38" t="str">
        <x:v>ADD</x:v>
      </x:c>
      <x:c r="F14" s="38" t="str">
        <x:v>ADD — the current description explicitly says the noodles are often seasoned with sambal, giving a direct heat cue.</x:v>
      </x:c>
      <x:c r="G14" s="38" t="str">
        <x:v>NO ADD</x:v>
      </x:c>
      <x:c r="H14" s="38" t="str">
        <x:v>NO ADD — no high-confidence evidence strong enough to add this tag in the final V1 pass.</x:v>
      </x:c>
      <x:c r="I14" s="38" t="str">
        <x:v>NO ADD</x:v>
      </x:c>
      <x:c r="J14" s="38" t="str">
        <x:v>NO ADD — no high-confidence evidence strong enough to add this tag in the final V1 pass.</x:v>
      </x:c>
      <x:c r="K14" s="38" t="str">
        <x:v>NO ADD</x:v>
      </x:c>
      <x:c r="L14" s="38" t="str">
        <x:v>NO ADD — no high-confidence evidence strong enough to add this tag in the final V1 pass.</x:v>
      </x:c>
      <x:c r="M14" s="38" t="str">
        <x:v>spicy</x:v>
      </x:c>
      <x:c r="N14" s="38" t="str">
        <x:v>add spicy</x:v>
      </x:c>
      <x:c r="O14" s="38" t="str">
        <x:v>HIGH</x:v>
      </x:c>
      <x:c r="P14" s="38" t="str">
        <x:v>Indonesian stir-fried noodles with a sweet-savory flavor.</x:v>
      </x:c>
      <x:c r="Q14" s="38" t="str">
        <x:v>Six-flavor V1 taxonomy frozen after this audit.</x:v>
      </x:c>
    </x:row>
    <x:row r="15" ht="56" customHeight="1">
      <x:c r="A15" s="38" t="n">
        <x:v>3</x:v>
      </x:c>
      <x:c r="B15" s="38" t="str">
        <x:v>pancit-canton</x:v>
      </x:c>
      <x:c r="C15" s="38" t="str">
        <x:v>Pancit Canton</x:v>
      </x:c>
      <x:c r="D15" s="38" t="str">
        <x:v>comforting</x:v>
      </x:c>
      <x:c r="E15" s="38" t="str">
        <x:v>NO ADD</x:v>
      </x:c>
      <x:c r="F15" s="38" t="str">
        <x:v>NO ADD — no high-confidence evidence strong enough to add this tag in the final V1 pass.</x:v>
      </x:c>
      <x:c r="G15" s="38" t="str">
        <x:v>NO ADD</x:v>
      </x:c>
      <x:c r="H15" s="38" t="str">
        <x:v>NO ADD — no high-confidence evidence strong enough to add this tag in the final V1 pass.</x:v>
      </x:c>
      <x:c r="I15" s="38" t="str">
        <x:v>NO ADD</x:v>
      </x:c>
      <x:c r="J15" s="38" t="str">
        <x:v>NO ADD — no high-confidence evidence strong enough to add this tag in the final V1 pass.</x:v>
      </x:c>
      <x:c r="K15" s="38" t="str">
        <x:v>NO ADD</x:v>
      </x:c>
      <x:c r="L15" s="38" t="str">
        <x:v>NO ADD — no high-confidence evidence strong enough to add this tag in the final V1 pass.</x:v>
      </x:c>
      <x:c r="M15" s="38" t="str">
        <x:v>comforting</x:v>
      </x:c>
      <x:c r="N15" s="38" t="str">
        <x:v>none</x:v>
      </x:c>
      <x:c r="O15" s="38" t="str">
        <x:v>FROZEN / NO HIGH-CONFIDENCE CHANGE</x:v>
      </x:c>
      <x:c r="P15" s="38" t="str">
        <x:v>Filipino stir-fried noodles with vegetables and meat or seafood.</x:v>
      </x:c>
      <x:c r="Q15" s="38" t="str">
        <x:v>Six-flavor V1 taxonomy frozen after this audit.</x:v>
      </x:c>
    </x:row>
    <x:row r="16" ht="56" customHeight="1">
      <x:c r="A16" s="38" t="n">
        <x:v>4</x:v>
      </x:c>
      <x:c r="B16" s="38" t="str">
        <x:v>char-kway-teow</x:v>
      </x:c>
      <x:c r="C16" s="38" t="str">
        <x:v>Char Kway Teow</x:v>
      </x:c>
      <x:c r="D16" s="38" t="str">
        <x:v>rich</x:v>
      </x:c>
      <x:c r="E16" s="38" t="str">
        <x:v>NO ADD</x:v>
      </x:c>
      <x:c r="F16" s="38" t="str">
        <x:v>NO ADD — no high-confidence evidence strong enough to add this tag in the final V1 pass.</x:v>
      </x:c>
      <x:c r="G16" s="38" t="str">
        <x:v>NO ADD</x:v>
      </x:c>
      <x:c r="H16" s="38" t="str">
        <x:v>NO ADD — no high-confidence evidence strong enough to add this tag in the final V1 pass.</x:v>
      </x:c>
      <x:c r="I16" s="38" t="str">
        <x:v>NO ADD</x:v>
      </x:c>
      <x:c r="J16" s="38" t="str">
        <x:v>NO ADD — no high-confidence evidence strong enough to add this tag in the final V1 pass.</x:v>
      </x:c>
      <x:c r="K16" s="38" t="str">
        <x:v>NO ADD</x:v>
      </x:c>
      <x:c r="L16" s="38" t="str">
        <x:v>NO ADD — no high-confidence evidence strong enough to add this tag in the final V1 pass.</x:v>
      </x:c>
      <x:c r="M16" s="38" t="str">
        <x:v>rich</x:v>
      </x:c>
      <x:c r="N16" s="38" t="str">
        <x:v>none</x:v>
      </x:c>
      <x:c r="O16" s="38" t="str">
        <x:v>FROZEN / NO HIGH-CONFIDENCE CHANGE</x:v>
      </x:c>
      <x:c r="P16" s="38" t="str">
        <x:v>Malaysian stir-fried flat rice noodles with a smoky, savory flavor.</x:v>
      </x:c>
      <x:c r="Q16" s="38" t="str">
        <x:v>Six-flavor V1 taxonomy frozen after this audit.</x:v>
      </x:c>
    </x:row>
    <x:row r="17" ht="56" customHeight="1">
      <x:c r="A17" s="38" t="n">
        <x:v>5</x:v>
      </x:c>
      <x:c r="B17" s="38" t="str">
        <x:v>mi-quang</x:v>
      </x:c>
      <x:c r="C17" s="38" t="str">
        <x:v>Mì Quảng</x:v>
      </x:c>
      <x:c r="D17" s="38" t="str">
        <x:v>fresh</x:v>
      </x:c>
      <x:c r="E17" s="38" t="str">
        <x:v>NO ADD</x:v>
      </x:c>
      <x:c r="F17" s="38" t="str">
        <x:v>NO ADD — no high-confidence evidence strong enough to add this tag in the final V1 pass.</x:v>
      </x:c>
      <x:c r="G17" s="38" t="str">
        <x:v>KEEP</x:v>
      </x:c>
      <x:c r="H17" s="38" t="str">
        <x:v>KEEP — no high-confidence reason to remove the current tag in the final V1 pass.</x:v>
      </x:c>
      <x:c r="I17" s="38" t="str">
        <x:v>NO ADD</x:v>
      </x:c>
      <x:c r="J17" s="38" t="str">
        <x:v>NO ADD — no high-confidence evidence strong enough to add this tag in the final V1 pass.</x:v>
      </x:c>
      <x:c r="K17" s="38" t="str">
        <x:v>NO ADD</x:v>
      </x:c>
      <x:c r="L17" s="38" t="str">
        <x:v>NO ADD — no high-confidence evidence strong enough to add this tag in the final V1 pass.</x:v>
      </x:c>
      <x:c r="M17" s="38" t="str">
        <x:v>fresh</x:v>
      </x:c>
      <x:c r="N17" s="38" t="str">
        <x:v>none</x:v>
      </x:c>
      <x:c r="O17" s="38" t="str">
        <x:v>FROZEN / NO HIGH-CONFIDENCE CHANGE</x:v>
      </x:c>
      <x:c r="P17" s="38" t="str">
        <x:v>Vietnamese turmeric noodles with herbs, peanuts, and a little rich broth.</x:v>
      </x:c>
      <x:c r="Q17" s="38" t="str">
        <x:v>Six-flavor V1 taxonomy frozen after this audit.</x:v>
      </x:c>
    </x:row>
    <x:row r="18" ht="56" customHeight="1">
      <x:c r="A18" s="38" t="n">
        <x:v>6</x:v>
      </x:c>
      <x:c r="B18" s="38" t="str">
        <x:v>hokkien-mee</x:v>
      </x:c>
      <x:c r="C18" s="38" t="str">
        <x:v>Hokkien Mee</x:v>
      </x:c>
      <x:c r="D18" s="38" t="str">
        <x:v>rich</x:v>
      </x:c>
      <x:c r="E18" s="38" t="str">
        <x:v>NO ADD</x:v>
      </x:c>
      <x:c r="F18" s="38" t="str">
        <x:v>NO ADD — no high-confidence evidence strong enough to add this tag in the final V1 pass.</x:v>
      </x:c>
      <x:c r="G18" s="38" t="str">
        <x:v>NO ADD</x:v>
      </x:c>
      <x:c r="H18" s="38" t="str">
        <x:v>NO ADD — no high-confidence evidence strong enough to add this tag in the final V1 pass.</x:v>
      </x:c>
      <x:c r="I18" s="38" t="str">
        <x:v>NO ADD</x:v>
      </x:c>
      <x:c r="J18" s="38" t="str">
        <x:v>NO ADD — no high-confidence evidence strong enough to add this tag in the final V1 pass.</x:v>
      </x:c>
      <x:c r="K18" s="38" t="str">
        <x:v>NO ADD</x:v>
      </x:c>
      <x:c r="L18" s="38" t="str">
        <x:v>NO ADD — no high-confidence evidence strong enough to add this tag in the final V1 pass.</x:v>
      </x:c>
      <x:c r="M18" s="38" t="str">
        <x:v>rich</x:v>
      </x:c>
      <x:c r="N18" s="38" t="str">
        <x:v>none</x:v>
      </x:c>
      <x:c r="O18" s="38" t="str">
        <x:v>FROZEN / NO HIGH-CONFIDENCE CHANGE</x:v>
      </x:c>
      <x:c r="P18" s="38" t="str">
        <x:v>Singaporean noodles tossed in a rich, savory seafood sauce.</x:v>
      </x:c>
      <x:c r="Q18" s="38" t="str">
        <x:v>Six-flavor V1 taxonomy frozen after this audit.</x:v>
      </x:c>
    </x:row>
    <x:row r="19" ht="56" customHeight="1">
      <x:c r="A19" s="38" t="n">
        <x:v>7</x:v>
      </x:c>
      <x:c r="B19" s="38" t="str">
        <x:v>kolo-mee</x:v>
      </x:c>
      <x:c r="C19" s="38" t="str">
        <x:v>Kolo Mee</x:v>
      </x:c>
      <x:c r="D19" s="38" t="str">
        <x:v>comforting</x:v>
      </x:c>
      <x:c r="E19" s="38" t="str">
        <x:v>NO ADD</x:v>
      </x:c>
      <x:c r="F19" s="38" t="str">
        <x:v>NO ADD — no high-confidence evidence strong enough to add this tag in the final V1 pass.</x:v>
      </x:c>
      <x:c r="G19" s="38" t="str">
        <x:v>NO ADD</x:v>
      </x:c>
      <x:c r="H19" s="38" t="str">
        <x:v>NO ADD — no high-confidence evidence strong enough to add this tag in the final V1 pass.</x:v>
      </x:c>
      <x:c r="I19" s="38" t="str">
        <x:v>NO ADD</x:v>
      </x:c>
      <x:c r="J19" s="38" t="str">
        <x:v>NO ADD — no high-confidence evidence strong enough to add this tag in the final V1 pass.</x:v>
      </x:c>
      <x:c r="K19" s="38" t="str">
        <x:v>NO ADD</x:v>
      </x:c>
      <x:c r="L19" s="38" t="str">
        <x:v>NO ADD — no high-confidence evidence strong enough to add this tag in the final V1 pass.</x:v>
      </x:c>
      <x:c r="M19" s="38" t="str">
        <x:v>comforting</x:v>
      </x:c>
      <x:c r="N19" s="38" t="str">
        <x:v>none</x:v>
      </x:c>
      <x:c r="O19" s="38" t="str">
        <x:v>FROZEN / NO HIGH-CONFIDENCE CHANGE</x:v>
      </x:c>
      <x:c r="P19" s="38" t="str">
        <x:v>Springy Malaysian dry noodles with savory sauce and flavorful toppings.</x:v>
      </x:c>
      <x:c r="Q19" s="38" t="str">
        <x:v>Six-flavor V1 taxonomy frozen after this audit.</x:v>
      </x:c>
    </x:row>
    <x:row r="20" ht="56" customHeight="1">
      <x:c r="A20" s="38" t="n">
        <x:v>8</x:v>
      </x:c>
      <x:c r="B20" s="38" t="str">
        <x:v>pancit-bihon</x:v>
      </x:c>
      <x:c r="C20" s="38" t="str">
        <x:v>Pancit Bihon</x:v>
      </x:c>
      <x:c r="D20" s="38" t="str">
        <x:v>comforting</x:v>
      </x:c>
      <x:c r="E20" s="38" t="str">
        <x:v>NO ADD</x:v>
      </x:c>
      <x:c r="F20" s="38" t="str">
        <x:v>NO ADD — no high-confidence evidence strong enough to add this tag in the final V1 pass.</x:v>
      </x:c>
      <x:c r="G20" s="38" t="str">
        <x:v>NO ADD</x:v>
      </x:c>
      <x:c r="H20" s="38" t="str">
        <x:v>NO ADD — no high-confidence evidence strong enough to add this tag in the final V1 pass.</x:v>
      </x:c>
      <x:c r="I20" s="38" t="str">
        <x:v>NO ADD</x:v>
      </x:c>
      <x:c r="J20" s="38" t="str">
        <x:v>NO ADD — no high-confidence evidence strong enough to add this tag in the final V1 pass.</x:v>
      </x:c>
      <x:c r="K20" s="38" t="str">
        <x:v>NO ADD</x:v>
      </x:c>
      <x:c r="L20" s="38" t="str">
        <x:v>NO ADD — no high-confidence evidence strong enough to add this tag in the final V1 pass.</x:v>
      </x:c>
      <x:c r="M20" s="38" t="str">
        <x:v>comforting</x:v>
      </x:c>
      <x:c r="N20" s="38" t="str">
        <x:v>none</x:v>
      </x:c>
      <x:c r="O20" s="38" t="str">
        <x:v>FROZEN / NO HIGH-CONFIDENCE CHANGE</x:v>
      </x:c>
      <x:c r="P20" s="38" t="str">
        <x:v>Filipino rice noodles stir-fried with vegetables and your choice of protein.</x:v>
      </x:c>
      <x:c r="Q20" s="38" t="str">
        <x:v>Six-flavor V1 taxonomy frozen after this audit.</x:v>
      </x:c>
    </x:row>
    <x:row r="21" ht="56" customHeight="1">
      <x:c r="A21" s="38" t="n">
        <x:v>9</x:v>
      </x:c>
      <x:c r="B21" s="38" t="str">
        <x:v>cao-lau</x:v>
      </x:c>
      <x:c r="C21" s="38" t="str">
        <x:v>Cao Lầu</x:v>
      </x:c>
      <x:c r="D21" s="38" t="str">
        <x:v>fresh | crispy</x:v>
      </x:c>
      <x:c r="E21" s="38" t="str">
        <x:v>NO ADD</x:v>
      </x:c>
      <x:c r="F21" s="38" t="str">
        <x:v>NO ADD — no high-confidence evidence strong enough to add this tag in the final V1 pass.</x:v>
      </x:c>
      <x:c r="G21" s="38" t="str">
        <x:v>KEEP</x:v>
      </x:c>
      <x:c r="H21" s="38" t="str">
        <x:v>KEEP — no high-confidence reason to remove the current tag in the final V1 pass.</x:v>
      </x:c>
      <x:c r="I21" s="38" t="str">
        <x:v>KEEP</x:v>
      </x:c>
      <x:c r="J21" s="38" t="str">
        <x:v>KEEP — no high-confidence reason to remove the current tag in the final V1 pass.</x:v>
      </x:c>
      <x:c r="K21" s="38" t="str">
        <x:v>NO ADD</x:v>
      </x:c>
      <x:c r="L21" s="38" t="str">
        <x:v>NO ADD — no high-confidence evidence strong enough to add this tag in the final V1 pass.</x:v>
      </x:c>
      <x:c r="M21" s="38" t="str">
        <x:v>fresh | crispy</x:v>
      </x:c>
      <x:c r="N21" s="38" t="str">
        <x:v>none</x:v>
      </x:c>
      <x:c r="O21" s="38" t="str">
        <x:v>FROZEN / NO HIGH-CONFIDENCE CHANGE</x:v>
      </x:c>
      <x:c r="P21" s="38" t="str">
        <x:v>Chewy Vietnamese noodles with pork, herbs, greens, and crispy toppings.</x:v>
      </x:c>
      <x:c r="Q21" s="38" t="str">
        <x:v>Six-flavor V1 taxonomy frozen after this audit.</x:v>
      </x:c>
    </x:row>
    <x:row r="22" ht="56" customHeight="1">
      <x:c r="A22" s="38" t="n">
        <x:v>10</x:v>
      </x:c>
      <x:c r="B22" s="38" t="str">
        <x:v>num-banh-chok</x:v>
      </x:c>
      <x:c r="C22" s="38" t="str">
        <x:v>Num Banh Chok</x:v>
      </x:c>
      <x:c r="D22" s="38" t="str">
        <x:v>fresh | comforting</x:v>
      </x:c>
      <x:c r="E22" s="38" t="str">
        <x:v>NO ADD</x:v>
      </x:c>
      <x:c r="F22" s="38" t="str">
        <x:v>NO ADD — no high-confidence evidence strong enough to add this tag in the final V1 pass.</x:v>
      </x:c>
      <x:c r="G22" s="38" t="str">
        <x:v>KEEP</x:v>
      </x:c>
      <x:c r="H22" s="38" t="str">
        <x:v>KEEP — no high-confidence reason to remove the current tag in the final V1 pass.</x:v>
      </x:c>
      <x:c r="I22" s="38" t="str">
        <x:v>NO ADD</x:v>
      </x:c>
      <x:c r="J22" s="38" t="str">
        <x:v>NO ADD — no high-confidence evidence strong enough to add this tag in the final V1 pass.</x:v>
      </x:c>
      <x:c r="K22" s="38" t="str">
        <x:v>NO ADD</x:v>
      </x:c>
      <x:c r="L22" s="38" t="str">
        <x:v>NO ADD — no high-confidence evidence strong enough to add this tag in the final V1 pass.</x:v>
      </x:c>
      <x:c r="M22" s="38" t="str">
        <x:v>fresh | comforting</x:v>
      </x:c>
      <x:c r="N22" s="38" t="str">
        <x:v>none</x:v>
      </x:c>
      <x:c r="O22" s="38" t="str">
        <x:v>FROZEN / NO HIGH-CONFIDENCE CHANGE</x:v>
      </x:c>
      <x:c r="P22" s="38" t="str">
        <x:v>Cambodian rice noodles with fragrant curry gravy, herbs, and fresh vegetables.</x:v>
      </x:c>
      <x:c r="Q22" s="38" t="str">
        <x:v>Six-flavor V1 taxonomy frozen after this audit.</x:v>
      </x:c>
    </x:row>
    <x:row r="23" ht="56" customHeight="1">
      <x:c r="A23" s="38" t="n">
        <x:v>11</x:v>
      </x:c>
      <x:c r="B23" s="38" t="str">
        <x:v>ramen</x:v>
      </x:c>
      <x:c r="C23" s="38" t="str">
        <x:v>Ramen</x:v>
      </x:c>
      <x:c r="D23" s="38" t="str">
        <x:v>comforting</x:v>
      </x:c>
      <x:c r="E23" s="38" t="str">
        <x:v>NO ADD</x:v>
      </x:c>
      <x:c r="F23" s="38" t="str">
        <x:v>NO ADD — no high-confidence evidence strong enough to add this tag in the final V1 pass.</x:v>
      </x:c>
      <x:c r="G23" s="38" t="str">
        <x:v>NO ADD</x:v>
      </x:c>
      <x:c r="H23" s="38" t="str">
        <x:v>NO ADD — no high-confidence evidence strong enough to add this tag in the final V1 pass.</x:v>
      </x:c>
      <x:c r="I23" s="38" t="str">
        <x:v>NO ADD</x:v>
      </x:c>
      <x:c r="J23" s="38" t="str">
        <x:v>NO ADD — no high-confidence evidence strong enough to add this tag in the final V1 pass.</x:v>
      </x:c>
      <x:c r="K23" s="38" t="str">
        <x:v>NO ADD</x:v>
      </x:c>
      <x:c r="L23" s="38" t="str">
        <x:v>NO ADD — no high-confidence evidence strong enough to add this tag in the final V1 pass.</x:v>
      </x:c>
      <x:c r="M23" s="38" t="str">
        <x:v>comforting</x:v>
      </x:c>
      <x:c r="N23" s="38" t="str">
        <x:v>none</x:v>
      </x:c>
      <x:c r="O23" s="38" t="str">
        <x:v>FROZEN / NO HIGH-CONFIDENCE CHANGE</x:v>
      </x:c>
      <x:c r="P23" s="38" t="str">
        <x:v>Japanese wheat noodles served in a savory broth with varied regional toppings.</x:v>
      </x:c>
      <x:c r="Q23" s="38" t="str">
        <x:v>Six-flavor V1 taxonomy frozen after this audit.</x:v>
      </x:c>
    </x:row>
    <x:row r="24" ht="56" customHeight="1">
      <x:c r="A24" s="38" t="n">
        <x:v>12</x:v>
      </x:c>
      <x:c r="B24" s="38" t="str">
        <x:v>bibimbap</x:v>
      </x:c>
      <x:c r="C24" s="38" t="str">
        <x:v>Bibimbap</x:v>
      </x:c>
      <x:c r="D24" s="38" t="str">
        <x:v>fresh | spicy</x:v>
      </x:c>
      <x:c r="E24" s="38" t="str">
        <x:v>KEEP</x:v>
      </x:c>
      <x:c r="F24" s="38" t="str">
        <x:v>KEEP — no high-confidence reason to remove the current tag in the final V1 pass.</x:v>
      </x:c>
      <x:c r="G24" s="38" t="str">
        <x:v>KEEP</x:v>
      </x:c>
      <x:c r="H24" s="38" t="str">
        <x:v>KEEP — no high-confidence reason to remove the current tag in the final V1 pass.</x:v>
      </x:c>
      <x:c r="I24" s="38" t="str">
        <x:v>NO ADD</x:v>
      </x:c>
      <x:c r="J24" s="38" t="str">
        <x:v>NO ADD — no high-confidence evidence strong enough to add this tag in the final V1 pass.</x:v>
      </x:c>
      <x:c r="K24" s="38" t="str">
        <x:v>NO ADD</x:v>
      </x:c>
      <x:c r="L24" s="38" t="str">
        <x:v>NO ADD — no high-confidence evidence strong enough to add this tag in the final V1 pass.</x:v>
      </x:c>
      <x:c r="M24" s="38" t="str">
        <x:v>fresh | spicy</x:v>
      </x:c>
      <x:c r="N24" s="38" t="str">
        <x:v>none</x:v>
      </x:c>
      <x:c r="O24" s="38" t="str">
        <x:v>FROZEN / NO HIGH-CONFIDENCE CHANGE</x:v>
      </x:c>
      <x:c r="P24" s="38" t="str">
        <x:v>Korean rice topped with seasoned vegetables, gochujang, and often egg or beef.</x:v>
      </x:c>
      <x:c r="Q24" s="38" t="str">
        <x:v>Six-flavor V1 taxonomy frozen after this audit.</x:v>
      </x:c>
    </x:row>
    <x:row r="25" ht="56" customHeight="1">
      <x:c r="A25" s="38" t="n">
        <x:v>13</x:v>
      </x:c>
      <x:c r="B25" s="38" t="str">
        <x:v>yakitori</x:v>
      </x:c>
      <x:c r="C25" s="38" t="str">
        <x:v>Yakitori</x:v>
      </x:c>
      <x:c r="D25" s="38" t="str">
        <x:v>comforting</x:v>
      </x:c>
      <x:c r="E25" s="38" t="str">
        <x:v>NO ADD</x:v>
      </x:c>
      <x:c r="F25" s="38" t="str">
        <x:v>NO ADD — no high-confidence evidence strong enough to add this tag in the final V1 pass.</x:v>
      </x:c>
      <x:c r="G25" s="38" t="str">
        <x:v>NO ADD</x:v>
      </x:c>
      <x:c r="H25" s="38" t="str">
        <x:v>NO ADD — no high-confidence evidence strong enough to add this tag in the final V1 pass.</x:v>
      </x:c>
      <x:c r="I25" s="38" t="str">
        <x:v>NO ADD</x:v>
      </x:c>
      <x:c r="J25" s="38" t="str">
        <x:v>NO ADD — no high-confidence evidence strong enough to add this tag in the final V1 pass.</x:v>
      </x:c>
      <x:c r="K25" s="38" t="str">
        <x:v>NO ADD</x:v>
      </x:c>
      <x:c r="L25" s="38" t="str">
        <x:v>NO ADD — no high-confidence evidence strong enough to add this tag in the final V1 pass.</x:v>
      </x:c>
      <x:c r="M25" s="38" t="str">
        <x:v>comforting</x:v>
      </x:c>
      <x:c r="N25" s="38" t="str">
        <x:v>none</x:v>
      </x:c>
      <x:c r="O25" s="38" t="str">
        <x:v>FROZEN / NO HIGH-CONFIDENCE CHANGE</x:v>
      </x:c>
      <x:c r="P25" s="38" t="str">
        <x:v>Japanese skewered chicken grilled over charcoal and seasoned with salt or tare.</x:v>
      </x:c>
      <x:c r="Q25" s="38" t="str">
        <x:v>Six-flavor V1 taxonomy frozen after this audit.</x:v>
      </x:c>
    </x:row>
    <x:row r="26" ht="56" customHeight="1">
      <x:c r="A26" s="38" t="n">
        <x:v>14</x:v>
      </x:c>
      <x:c r="B26" s="38" t="str">
        <x:v>biryani</x:v>
      </x:c>
      <x:c r="C26" s="38" t="str">
        <x:v>Biryani</x:v>
      </x:c>
      <x:c r="D26" s="38" t="str">
        <x:v>rich | spicy</x:v>
      </x:c>
      <x:c r="E26" s="38" t="str">
        <x:v>REMOVE</x:v>
      </x:c>
      <x:c r="F26" s="38" t="str">
        <x:v>REMOVE — the row describes fragrant spices and aromatics but does not establish noticeable chile heat across the many regional styles.</x:v>
      </x:c>
      <x:c r="G26" s="38" t="str">
        <x:v>NO ADD</x:v>
      </x:c>
      <x:c r="H26" s="38" t="str">
        <x:v>NO ADD — no high-confidence evidence strong enough to add this tag in the final V1 pass.</x:v>
      </x:c>
      <x:c r="I26" s="38" t="str">
        <x:v>NO ADD</x:v>
      </x:c>
      <x:c r="J26" s="38" t="str">
        <x:v>NO ADD — no high-confidence evidence strong enough to add this tag in the final V1 pass.</x:v>
      </x:c>
      <x:c r="K26" s="38" t="str">
        <x:v>NO ADD</x:v>
      </x:c>
      <x:c r="L26" s="38" t="str">
        <x:v>NO ADD — no high-confidence evidence strong enough to add this tag in the final V1 pass.</x:v>
      </x:c>
      <x:c r="M26" s="38" t="str">
        <x:v>rich</x:v>
      </x:c>
      <x:c r="N26" s="38" t="str">
        <x:v>remove spicy</x:v>
      </x:c>
      <x:c r="O26" s="38" t="str">
        <x:v>HIGH</x:v>
      </x:c>
      <x:c r="P26" s="38" t="str">
        <x:v>Layered South Asian rice with spices, aromatics, and meat or vegetables.</x:v>
      </x:c>
      <x:c r="Q26" s="38" t="str">
        <x:v>Six-flavor V1 taxonomy frozen after this audit.</x:v>
      </x:c>
    </x:row>
    <x:row r="27" ht="56" customHeight="1">
      <x:c r="A27" s="38" t="n">
        <x:v>15</x:v>
      </x:c>
      <x:c r="B27" s="38" t="str">
        <x:v>masala-dosa</x:v>
      </x:c>
      <x:c r="C27" s="38" t="str">
        <x:v>Masala Dosa</x:v>
      </x:c>
      <x:c r="D27" s="38" t="str">
        <x:v>crispy | tangy</x:v>
      </x:c>
      <x:c r="E27" s="38" t="str">
        <x:v>NO ADD</x:v>
      </x:c>
      <x:c r="F27" s="38" t="str">
        <x:v>NO ADD — no high-confidence evidence strong enough to add this tag in the final V1 pass.</x:v>
      </x:c>
      <x:c r="G27" s="38" t="str">
        <x:v>NO ADD</x:v>
      </x:c>
      <x:c r="H27" s="38" t="str">
        <x:v>NO ADD — no high-confidence evidence strong enough to add this tag in the final V1 pass.</x:v>
      </x:c>
      <x:c r="I27" s="38" t="str">
        <x:v>KEEP</x:v>
      </x:c>
      <x:c r="J27" s="38" t="str">
        <x:v>KEEP — no high-confidence reason to remove the current tag in the final V1 pass.</x:v>
      </x:c>
      <x:c r="K27" s="38" t="str">
        <x:v>KEEP</x:v>
      </x:c>
      <x:c r="L27" s="38" t="str">
        <x:v>KEEP — no high-confidence reason to remove the current tag in the final V1 pass.</x:v>
      </x:c>
      <x:c r="M27" s="38" t="str">
        <x:v>crispy | tangy</x:v>
      </x:c>
      <x:c r="N27" s="38" t="str">
        <x:v>none</x:v>
      </x:c>
      <x:c r="O27" s="38" t="str">
        <x:v>FROZEN / NO HIGH-CONFIDENCE CHANGE</x:v>
      </x:c>
      <x:c r="P27" s="38" t="str">
        <x:v>Crisp South Indian dosa filled with spiced potato and served with chutney and sambar.</x:v>
      </x:c>
      <x:c r="Q27" s="38" t="str">
        <x:v>Six-flavor V1 taxonomy frozen after this audit.</x:v>
      </x:c>
    </x:row>
    <x:row r="28" ht="56" customHeight="1">
      <x:c r="A28" s="38" t="n">
        <x:v>16</x:v>
      </x:c>
      <x:c r="B28" s="38" t="str">
        <x:v>mansaf</x:v>
      </x:c>
      <x:c r="C28" s="38" t="str">
        <x:v>Mansaf</x:v>
      </x:c>
      <x:c r="D28" s="38" t="str">
        <x:v>rich | tangy</x:v>
      </x:c>
      <x:c r="E28" s="38" t="str">
        <x:v>NO ADD</x:v>
      </x:c>
      <x:c r="F28" s="38" t="str">
        <x:v>NO ADD — no high-confidence evidence strong enough to add this tag in the final V1 pass.</x:v>
      </x:c>
      <x:c r="G28" s="38" t="str">
        <x:v>NO ADD</x:v>
      </x:c>
      <x:c r="H28" s="38" t="str">
        <x:v>NO ADD — no high-confidence evidence strong enough to add this tag in the final V1 pass.</x:v>
      </x:c>
      <x:c r="I28" s="38" t="str">
        <x:v>NO ADD</x:v>
      </x:c>
      <x:c r="J28" s="38" t="str">
        <x:v>NO ADD — no high-confidence evidence strong enough to add this tag in the final V1 pass.</x:v>
      </x:c>
      <x:c r="K28" s="38" t="str">
        <x:v>KEEP</x:v>
      </x:c>
      <x:c r="L28" s="38" t="str">
        <x:v>KEEP — no high-confidence reason to remove the current tag in the final V1 pass.</x:v>
      </x:c>
      <x:c r="M28" s="38" t="str">
        <x:v>rich | tangy</x:v>
      </x:c>
      <x:c r="N28" s="38" t="str">
        <x:v>none</x:v>
      </x:c>
      <x:c r="O28" s="38" t="str">
        <x:v>FROZEN / NO HIGH-CONFIDENCE CHANGE</x:v>
      </x:c>
      <x:c r="P28" s="38" t="str">
        <x:v>Jordanian lamb with jameed yogurt sauce, rice or bulgur, and flatbread.</x:v>
      </x:c>
      <x:c r="Q28" s="38" t="str">
        <x:v>Six-flavor V1 taxonomy frozen after this audit.</x:v>
      </x:c>
    </x:row>
    <x:row r="29" ht="56" customHeight="1">
      <x:c r="A29" s="38" t="n">
        <x:v>17</x:v>
      </x:c>
      <x:c r="B29" s="38" t="str">
        <x:v>shish-taouk</x:v>
      </x:c>
      <x:c r="C29" s="38" t="str">
        <x:v>Shish Taouk</x:v>
      </x:c>
      <x:c r="D29" s="38" t="str">
        <x:v>fresh | tangy</x:v>
      </x:c>
      <x:c r="E29" s="38" t="str">
        <x:v>NO ADD</x:v>
      </x:c>
      <x:c r="F29" s="38" t="str">
        <x:v>NO ADD — no high-confidence evidence strong enough to add this tag in the final V1 pass.</x:v>
      </x:c>
      <x:c r="G29" s="38" t="str">
        <x:v>REMOVE</x:v>
      </x:c>
      <x:c r="H29" s="38" t="str">
        <x:v>REMOVE — the row centers grilled marinated chicken; fresh sides are not part of the defining description.</x:v>
      </x:c>
      <x:c r="I29" s="38" t="str">
        <x:v>NO ADD</x:v>
      </x:c>
      <x:c r="J29" s="38" t="str">
        <x:v>NO ADD — no high-confidence evidence strong enough to add this tag in the final V1 pass.</x:v>
      </x:c>
      <x:c r="K29" s="38" t="str">
        <x:v>KEEP</x:v>
      </x:c>
      <x:c r="L29" s="38" t="str">
        <x:v>KEEP — no high-confidence reason to remove the current tag in the final V1 pass.</x:v>
      </x:c>
      <x:c r="M29" s="38" t="str">
        <x:v>tangy</x:v>
      </x:c>
      <x:c r="N29" s="38" t="str">
        <x:v>remove fresh</x:v>
      </x:c>
      <x:c r="O29" s="38" t="str">
        <x:v>HIGH</x:v>
      </x:c>
      <x:c r="P29" s="38" t="str">
        <x:v>Marinated chicken skewers grilled until charred, common across Middle Eastern cuisines.</x:v>
      </x:c>
      <x:c r="Q29" s="38" t="str">
        <x:v>Six-flavor V1 taxonomy frozen after this audit.</x:v>
      </x:c>
    </x:row>
    <x:row r="30" ht="56" customHeight="1">
      <x:c r="A30" s="38" t="n">
        <x:v>18</x:v>
      </x:c>
      <x:c r="B30" s="38" t="str">
        <x:v>harira</x:v>
      </x:c>
      <x:c r="C30" s="38" t="str">
        <x:v>Harira</x:v>
      </x:c>
      <x:c r="D30" s="38" t="str">
        <x:v>comforting</x:v>
      </x:c>
      <x:c r="E30" s="38" t="str">
        <x:v>NO ADD</x:v>
      </x:c>
      <x:c r="F30" s="38" t="str">
        <x:v>NO ADD — no high-confidence evidence strong enough to add this tag in the final V1 pass.</x:v>
      </x:c>
      <x:c r="G30" s="38" t="str">
        <x:v>NO ADD</x:v>
      </x:c>
      <x:c r="H30" s="38" t="str">
        <x:v>NO ADD — no high-confidence evidence strong enough to add this tag in the final V1 pass.</x:v>
      </x:c>
      <x:c r="I30" s="38" t="str">
        <x:v>NO ADD</x:v>
      </x:c>
      <x:c r="J30" s="38" t="str">
        <x:v>NO ADD — no high-confidence evidence strong enough to add this tag in the final V1 pass.</x:v>
      </x:c>
      <x:c r="K30" s="38" t="str">
        <x:v>NO ADD</x:v>
      </x:c>
      <x:c r="L30" s="38" t="str">
        <x:v>NO ADD — no high-confidence evidence strong enough to add this tag in the final V1 pass.</x:v>
      </x:c>
      <x:c r="M30" s="38" t="str">
        <x:v>comforting</x:v>
      </x:c>
      <x:c r="N30" s="38" t="str">
        <x:v>none</x:v>
      </x:c>
      <x:c r="O30" s="38" t="str">
        <x:v>FROZEN / NO HIGH-CONFIDENCE CHANGE</x:v>
      </x:c>
      <x:c r="P30" s="38" t="str">
        <x:v>Moroccan tomato, lentil, and chickpea soup often enriched with meat and vermicelli.</x:v>
      </x:c>
      <x:c r="Q30" s="38" t="str">
        <x:v>Six-flavor V1 taxonomy frozen after this audit.</x:v>
      </x:c>
    </x:row>
    <x:row r="31" ht="56" customHeight="1">
      <x:c r="A31" s="38" t="n">
        <x:v>19</x:v>
      </x:c>
      <x:c r="B31" s="38" t="str">
        <x:v>suya</x:v>
      </x:c>
      <x:c r="C31" s="38" t="str">
        <x:v>Suya</x:v>
      </x:c>
      <x:c r="D31" s="38" t="str">
        <x:v>spicy</x:v>
      </x:c>
      <x:c r="E31" s="38" t="str">
        <x:v>KEEP</x:v>
      </x:c>
      <x:c r="F31" s="38" t="str">
        <x:v>KEEP — no high-confidence reason to remove the current tag in the final V1 pass.</x:v>
      </x:c>
      <x:c r="G31" s="38" t="str">
        <x:v>NO ADD</x:v>
      </x:c>
      <x:c r="H31" s="38" t="str">
        <x:v>NO ADD — no high-confidence evidence strong enough to add this tag in the final V1 pass.</x:v>
      </x:c>
      <x:c r="I31" s="38" t="str">
        <x:v>NO ADD</x:v>
      </x:c>
      <x:c r="J31" s="38" t="str">
        <x:v>NO ADD — no high-confidence evidence strong enough to add this tag in the final V1 pass.</x:v>
      </x:c>
      <x:c r="K31" s="38" t="str">
        <x:v>NO ADD</x:v>
      </x:c>
      <x:c r="L31" s="38" t="str">
        <x:v>NO ADD — no high-confidence evidence strong enough to add this tag in the final V1 pass.</x:v>
      </x:c>
      <x:c r="M31" s="38" t="str">
        <x:v>spicy</x:v>
      </x:c>
      <x:c r="N31" s="38" t="str">
        <x:v>none</x:v>
      </x:c>
      <x:c r="O31" s="38" t="str">
        <x:v>FROZEN / NO HIGH-CONFIDENCE CHANGE</x:v>
      </x:c>
      <x:c r="P31" s="38" t="str">
        <x:v>Nigerian grilled meat skewers coated in a spicy, nutty yaji seasoning.</x:v>
      </x:c>
      <x:c r="Q31" s="38" t="str">
        <x:v>Six-flavor V1 taxonomy frozen after this audit.</x:v>
      </x:c>
    </x:row>
    <x:row r="32" ht="56" customHeight="1">
      <x:c r="A32" s="38" t="n">
        <x:v>20</x:v>
      </x:c>
      <x:c r="B32" s="38" t="str">
        <x:v>carbonara</x:v>
      </x:c>
      <x:c r="C32" s="38" t="str">
        <x:v>Spaghetti Carbonara</x:v>
      </x:c>
      <x:c r="D32" s="38" t="str">
        <x:v>rich | comforting</x:v>
      </x:c>
      <x:c r="E32" s="38" t="str">
        <x:v>NO ADD</x:v>
      </x:c>
      <x:c r="F32" s="38" t="str">
        <x:v>NO ADD — no high-confidence evidence strong enough to add this tag in the final V1 pass.</x:v>
      </x:c>
      <x:c r="G32" s="38" t="str">
        <x:v>NO ADD</x:v>
      </x:c>
      <x:c r="H32" s="38" t="str">
        <x:v>NO ADD — no high-confidence evidence strong enough to add this tag in the final V1 pass.</x:v>
      </x:c>
      <x:c r="I32" s="38" t="str">
        <x:v>NO ADD</x:v>
      </x:c>
      <x:c r="J32" s="38" t="str">
        <x:v>NO ADD — no high-confidence evidence strong enough to add this tag in the final V1 pass.</x:v>
      </x:c>
      <x:c r="K32" s="38" t="str">
        <x:v>NO ADD</x:v>
      </x:c>
      <x:c r="L32" s="38" t="str">
        <x:v>NO ADD — no high-confidence evidence strong enough to add this tag in the final V1 pass.</x:v>
      </x:c>
      <x:c r="M32" s="38" t="str">
        <x:v>rich | comforting</x:v>
      </x:c>
      <x:c r="N32" s="38" t="str">
        <x:v>none</x:v>
      </x:c>
      <x:c r="O32" s="38" t="str">
        <x:v>FROZEN / NO HIGH-CONFIDENCE CHANGE</x:v>
      </x:c>
      <x:c r="P32" s="38" t="str">
        <x:v>Roman pasta with egg, cured pork, hard cheese, and black pepper.</x:v>
      </x:c>
      <x:c r="Q32" s="38" t="str">
        <x:v>Six-flavor V1 taxonomy frozen after this audit.</x:v>
      </x:c>
    </x:row>
    <x:row r="33" ht="56" customHeight="1">
      <x:c r="A33" s="38" t="n">
        <x:v>21</x:v>
      </x:c>
      <x:c r="B33" s="38" t="str">
        <x:v>french-onion-soup</x:v>
      </x:c>
      <x:c r="C33" s="38" t="str">
        <x:v>French Onion Soup</x:v>
      </x:c>
      <x:c r="D33" s="38" t="str">
        <x:v>rich | comforting</x:v>
      </x:c>
      <x:c r="E33" s="38" t="str">
        <x:v>NO ADD</x:v>
      </x:c>
      <x:c r="F33" s="38" t="str">
        <x:v>NO ADD — no high-confidence evidence strong enough to add this tag in the final V1 pass.</x:v>
      </x:c>
      <x:c r="G33" s="38" t="str">
        <x:v>NO ADD</x:v>
      </x:c>
      <x:c r="H33" s="38" t="str">
        <x:v>NO ADD — no high-confidence evidence strong enough to add this tag in the final V1 pass.</x:v>
      </x:c>
      <x:c r="I33" s="38" t="str">
        <x:v>NO ADD</x:v>
      </x:c>
      <x:c r="J33" s="38" t="str">
        <x:v>NO ADD — no high-confidence evidence strong enough to add this tag in the final V1 pass.</x:v>
      </x:c>
      <x:c r="K33" s="38" t="str">
        <x:v>NO ADD</x:v>
      </x:c>
      <x:c r="L33" s="38" t="str">
        <x:v>NO ADD — no high-confidence evidence strong enough to add this tag in the final V1 pass.</x:v>
      </x:c>
      <x:c r="M33" s="38" t="str">
        <x:v>rich | comforting</x:v>
      </x:c>
      <x:c r="N33" s="38" t="str">
        <x:v>none</x:v>
      </x:c>
      <x:c r="O33" s="38" t="str">
        <x:v>FROZEN / NO HIGH-CONFIDENCE CHANGE</x:v>
      </x:c>
      <x:c r="P33" s="38" t="str">
        <x:v>French onion soup with deeply cooked onions, broth, bread, and melted cheese.</x:v>
      </x:c>
      <x:c r="Q33" s="38" t="str">
        <x:v>Six-flavor V1 taxonomy frozen after this audit.</x:v>
      </x:c>
    </x:row>
    <x:row r="34" ht="56" customHeight="1">
      <x:c r="A34" s="38" t="n">
        <x:v>22</x:v>
      </x:c>
      <x:c r="B34" s="38" t="str">
        <x:v>tacos-al-pastor</x:v>
      </x:c>
      <x:c r="C34" s="38" t="str">
        <x:v>Tacos al Pastor</x:v>
      </x:c>
      <x:c r="D34" s="38" t="str">
        <x:v>spicy | tangy</x:v>
      </x:c>
      <x:c r="E34" s="38" t="str">
        <x:v>REMOVE</x:v>
      </x:c>
      <x:c r="F34" s="38" t="str">
        <x:v>REMOVE — the row centers marinated pork, onion, cilantro, and pineapple; it does not establish heat as a defining trait.</x:v>
      </x:c>
      <x:c r="G34" s="38" t="str">
        <x:v>ADD</x:v>
      </x:c>
      <x:c r="H34" s="38" t="str">
        <x:v>ADD — onion, cilantro, and pineapple are standard fresh accompaniments in the current description, giving a repeatable fresh component.</x:v>
      </x:c>
      <x:c r="I34" s="38" t="str">
        <x:v>NO ADD</x:v>
      </x:c>
      <x:c r="J34" s="38" t="str">
        <x:v>NO ADD — no high-confidence evidence strong enough to add this tag in the final V1 pass.</x:v>
      </x:c>
      <x:c r="K34" s="38" t="str">
        <x:v>REMOVE</x:v>
      </x:c>
      <x:c r="L34" s="38" t="str">
        <x:v>REMOVE — pineapple does not by itself make the overall taco reliably tangy in the current description.</x:v>
      </x:c>
      <x:c r="M34" s="38" t="str">
        <x:v>fresh</x:v>
      </x:c>
      <x:c r="N34" s="38" t="str">
        <x:v>remove spicy; add fresh; remove tangy</x:v>
      </x:c>
      <x:c r="O34" s="38" t="str">
        <x:v>HIGH</x:v>
      </x:c>
      <x:c r="P34" s="38" t="str">
        <x:v>Mexican tacos with spit-grilled marinated pork, onion, cilantro, and pineapple.</x:v>
      </x:c>
      <x:c r="Q34" s="38" t="str">
        <x:v>Six-flavor V1 taxonomy frozen after this audit.</x:v>
      </x:c>
    </x:row>
    <x:row r="35" ht="56" customHeight="1">
      <x:c r="A35" s="38" t="n">
        <x:v>23</x:v>
      </x:c>
      <x:c r="B35" s="38" t="str">
        <x:v>sopa-de-lima</x:v>
      </x:c>
      <x:c r="C35" s="38" t="str">
        <x:v>Sopa de Lima</x:v>
      </x:c>
      <x:c r="D35" s="38" t="str">
        <x:v>fresh | tangy</x:v>
      </x:c>
      <x:c r="E35" s="38" t="str">
        <x:v>NO ADD</x:v>
      </x:c>
      <x:c r="F35" s="38" t="str">
        <x:v>NO ADD — no high-confidence evidence strong enough to add this tag in the final V1 pass.</x:v>
      </x:c>
      <x:c r="G35" s="38" t="str">
        <x:v>KEEP</x:v>
      </x:c>
      <x:c r="H35" s="38" t="str">
        <x:v>KEEP — no high-confidence reason to remove the current tag in the final V1 pass.</x:v>
      </x:c>
      <x:c r="I35" s="38" t="str">
        <x:v>ADD</x:v>
      </x:c>
      <x:c r="J35" s="38" t="str">
        <x:v>ADD — crisp/fried tortilla strips are explicitly part of the defining presentation.</x:v>
      </x:c>
      <x:c r="K35" s="38" t="str">
        <x:v>KEEP</x:v>
      </x:c>
      <x:c r="L35" s="38" t="str">
        <x:v>KEEP — no high-confidence reason to remove the current tag in the final V1 pass.</x:v>
      </x:c>
      <x:c r="M35" s="38" t="str">
        <x:v>fresh | tangy | crispy</x:v>
      </x:c>
      <x:c r="N35" s="38" t="str">
        <x:v>add crispy</x:v>
      </x:c>
      <x:c r="O35" s="38" t="str">
        <x:v>HIGH</x:v>
      </x:c>
      <x:c r="P35" s="38" t="str">
        <x:v>Yucatecan chicken soup brightened with lime and topped with crisp tortilla strips.</x:v>
      </x:c>
      <x:c r="Q35" s="38" t="str">
        <x:v>Six-flavor V1 taxonomy frozen after this audit.</x:v>
      </x:c>
    </x:row>
    <x:row r="36" ht="56" customHeight="1">
      <x:c r="A36" s="38" t="n">
        <x:v>24</x:v>
      </x:c>
      <x:c r="B36" s="38" t="str">
        <x:v>jambalaya</x:v>
      </x:c>
      <x:c r="C36" s="38" t="str">
        <x:v>Jambalaya</x:v>
      </x:c>
      <x:c r="D36" s="38" t="str">
        <x:v>comforting</x:v>
      </x:c>
      <x:c r="E36" s="38" t="str">
        <x:v>NO ADD</x:v>
      </x:c>
      <x:c r="F36" s="38" t="str">
        <x:v>NO ADD — no high-confidence evidence strong enough to add this tag in the final V1 pass.</x:v>
      </x:c>
      <x:c r="G36" s="38" t="str">
        <x:v>NO ADD</x:v>
      </x:c>
      <x:c r="H36" s="38" t="str">
        <x:v>NO ADD — no high-confidence evidence strong enough to add this tag in the final V1 pass.</x:v>
      </x:c>
      <x:c r="I36" s="38" t="str">
        <x:v>NO ADD</x:v>
      </x:c>
      <x:c r="J36" s="38" t="str">
        <x:v>NO ADD — no high-confidence evidence strong enough to add this tag in the final V1 pass.</x:v>
      </x:c>
      <x:c r="K36" s="38" t="str">
        <x:v>NO ADD</x:v>
      </x:c>
      <x:c r="L36" s="38" t="str">
        <x:v>NO ADD — no high-confidence evidence strong enough to add this tag in the final V1 pass.</x:v>
      </x:c>
      <x:c r="M36" s="38" t="str">
        <x:v>comforting</x:v>
      </x:c>
      <x:c r="N36" s="38" t="str">
        <x:v>none</x:v>
      </x:c>
      <x:c r="O36" s="38" t="str">
        <x:v>FROZEN / NO HIGH-CONFIDENCE CHANGE</x:v>
      </x:c>
      <x:c r="P36" s="38" t="str">
        <x:v>Louisiana rice cooked with meat or seafood, vegetables, stock, and spices.</x:v>
      </x:c>
      <x:c r="Q36" s="38" t="str">
        <x:v>Six-flavor V1 taxonomy frozen after this audit.</x:v>
      </x:c>
    </x:row>
    <x:row r="37" ht="56" customHeight="1">
      <x:c r="A37" s="38" t="n">
        <x:v>25</x:v>
      </x:c>
      <x:c r="B37" s="38" t="str">
        <x:v>lobster-roll</x:v>
      </x:c>
      <x:c r="C37" s="38" t="str">
        <x:v>Lobster Roll</x:v>
      </x:c>
      <x:c r="D37" s="38" t="str">
        <x:v>rich | fresh</x:v>
      </x:c>
      <x:c r="E37" s="38" t="str">
        <x:v>NO ADD</x:v>
      </x:c>
      <x:c r="F37" s="38" t="str">
        <x:v>NO ADD — no high-confidence evidence strong enough to add this tag in the final V1 pass.</x:v>
      </x:c>
      <x:c r="G37" s="38" t="str">
        <x:v>REMOVE</x:v>
      </x:c>
      <x:c r="H37" s="38" t="str">
        <x:v>REMOVE — the row centers lobster with butter or mayonnaise in a grilled roll, not a bright/raw/vegetable-forward profile.</x:v>
      </x:c>
      <x:c r="I37" s="38" t="str">
        <x:v>NO ADD</x:v>
      </x:c>
      <x:c r="J37" s="38" t="str">
        <x:v>NO ADD — no high-confidence evidence strong enough to add this tag in the final V1 pass.</x:v>
      </x:c>
      <x:c r="K37" s="38" t="str">
        <x:v>NO ADD</x:v>
      </x:c>
      <x:c r="L37" s="38" t="str">
        <x:v>NO ADD — no high-confidence evidence strong enough to add this tag in the final V1 pass.</x:v>
      </x:c>
      <x:c r="M37" s="38" t="str">
        <x:v>rich</x:v>
      </x:c>
      <x:c r="N37" s="38" t="str">
        <x:v>remove fresh</x:v>
      </x:c>
      <x:c r="O37" s="38" t="str">
        <x:v>HIGH</x:v>
      </x:c>
      <x:c r="P37" s="38" t="str">
        <x:v>New England lobster served in a grilled split-top roll with butter or mayonnaise.</x:v>
      </x:c>
      <x:c r="Q37" s="38" t="str">
        <x:v>Six-flavor V1 taxonomy frozen after this audit.</x:v>
      </x:c>
    </x:row>
    <x:row r="38" ht="56" customHeight="1">
      <x:c r="A38" s="38" t="n">
        <x:v>26</x:v>
      </x:c>
      <x:c r="B38" s="38" t="str">
        <x:v>udon</x:v>
      </x:c>
      <x:c r="C38" s="38" t="str">
        <x:v>Udon</x:v>
      </x:c>
      <x:c r="D38" s="38" t="str">
        <x:v>comforting</x:v>
      </x:c>
      <x:c r="E38" s="38" t="str">
        <x:v>NO ADD</x:v>
      </x:c>
      <x:c r="F38" s="38" t="str">
        <x:v>NO ADD — no high-confidence evidence strong enough to add this tag in the final V1 pass.</x:v>
      </x:c>
      <x:c r="G38" s="38" t="str">
        <x:v>NO ADD</x:v>
      </x:c>
      <x:c r="H38" s="38" t="str">
        <x:v>NO ADD — no high-confidence evidence strong enough to add this tag in the final V1 pass.</x:v>
      </x:c>
      <x:c r="I38" s="38" t="str">
        <x:v>NO ADD</x:v>
      </x:c>
      <x:c r="J38" s="38" t="str">
        <x:v>NO ADD — no high-confidence evidence strong enough to add this tag in the final V1 pass.</x:v>
      </x:c>
      <x:c r="K38" s="38" t="str">
        <x:v>NO ADD</x:v>
      </x:c>
      <x:c r="L38" s="38" t="str">
        <x:v>NO ADD — no high-confidence evidence strong enough to add this tag in the final V1 pass.</x:v>
      </x:c>
      <x:c r="M38" s="38" t="str">
        <x:v>comforting</x:v>
      </x:c>
      <x:c r="N38" s="38" t="str">
        <x:v>none</x:v>
      </x:c>
      <x:c r="O38" s="38" t="str">
        <x:v>FROZEN / NO HIGH-CONFIDENCE CHANGE</x:v>
      </x:c>
      <x:c r="P38" s="38" t="str">
        <x:v>Thick Japanese wheat noodles served hot in broth or chilled with dipping sauce.</x:v>
      </x:c>
      <x:c r="Q38" s="38" t="str">
        <x:v>Six-flavor V1 taxonomy frozen after this audit.</x:v>
      </x:c>
    </x:row>
    <x:row r="39" ht="56" customHeight="1">
      <x:c r="A39" s="38" t="n">
        <x:v>27</x:v>
      </x:c>
      <x:c r="B39" s="38" t="str">
        <x:v>kimchi-jjigae</x:v>
      </x:c>
      <x:c r="C39" s="38" t="str">
        <x:v>Kimchi-jjigae</x:v>
      </x:c>
      <x:c r="D39" s="38" t="str">
        <x:v>spicy</x:v>
      </x:c>
      <x:c r="E39" s="38" t="str">
        <x:v>KEEP</x:v>
      </x:c>
      <x:c r="F39" s="38" t="str">
        <x:v>KEEP — no high-confidence reason to remove the current tag in the final V1 pass.</x:v>
      </x:c>
      <x:c r="G39" s="38" t="str">
        <x:v>NO ADD</x:v>
      </x:c>
      <x:c r="H39" s="38" t="str">
        <x:v>NO ADD — no high-confidence evidence strong enough to add this tag in the final V1 pass.</x:v>
      </x:c>
      <x:c r="I39" s="38" t="str">
        <x:v>NO ADD</x:v>
      </x:c>
      <x:c r="J39" s="38" t="str">
        <x:v>NO ADD — no high-confidence evidence strong enough to add this tag in the final V1 pass.</x:v>
      </x:c>
      <x:c r="K39" s="38" t="str">
        <x:v>NO ADD</x:v>
      </x:c>
      <x:c r="L39" s="38" t="str">
        <x:v>NO ADD — no high-confidence evidence strong enough to add this tag in the final V1 pass.</x:v>
      </x:c>
      <x:c r="M39" s="38" t="str">
        <x:v>spicy</x:v>
      </x:c>
      <x:c r="N39" s="38" t="str">
        <x:v>none</x:v>
      </x:c>
      <x:c r="O39" s="38" t="str">
        <x:v>FROZEN / NO HIGH-CONFIDENCE CHANGE</x:v>
      </x:c>
      <x:c r="P39" s="38" t="str">
        <x:v>Korean kimchi stew simmered with tofu, pork, scallions, and a deeply savory broth.</x:v>
      </x:c>
      <x:c r="Q39" s="38" t="str">
        <x:v>Six-flavor V1 taxonomy frozen after this audit.</x:v>
      </x:c>
    </x:row>
    <x:row r="40" ht="56" customHeight="1">
      <x:c r="A40" s="38" t="n">
        <x:v>28</x:v>
      </x:c>
      <x:c r="B40" s="38" t="str">
        <x:v>bulgogi</x:v>
      </x:c>
      <x:c r="C40" s="38" t="str">
        <x:v>Bulgogi</x:v>
      </x:c>
      <x:c r="D40" s="38" t="str">
        <x:v>comforting | rich</x:v>
      </x:c>
      <x:c r="E40" s="38" t="str">
        <x:v>NO ADD</x:v>
      </x:c>
      <x:c r="F40" s="38" t="str">
        <x:v>NO ADD — no high-confidence evidence strong enough to add this tag in the final V1 pass.</x:v>
      </x:c>
      <x:c r="G40" s="38" t="str">
        <x:v>NO ADD</x:v>
      </x:c>
      <x:c r="H40" s="38" t="str">
        <x:v>NO ADD — no high-confidence evidence strong enough to add this tag in the final V1 pass.</x:v>
      </x:c>
      <x:c r="I40" s="38" t="str">
        <x:v>NO ADD</x:v>
      </x:c>
      <x:c r="J40" s="38" t="str">
        <x:v>NO ADD — no high-confidence evidence strong enough to add this tag in the final V1 pass.</x:v>
      </x:c>
      <x:c r="K40" s="38" t="str">
        <x:v>NO ADD</x:v>
      </x:c>
      <x:c r="L40" s="38" t="str">
        <x:v>NO ADD — no high-confidence evidence strong enough to add this tag in the final V1 pass.</x:v>
      </x:c>
      <x:c r="M40" s="38" t="str">
        <x:v>comforting | rich</x:v>
      </x:c>
      <x:c r="N40" s="38" t="str">
        <x:v>none</x:v>
      </x:c>
      <x:c r="O40" s="38" t="str">
        <x:v>FROZEN / NO HIGH-CONFIDENCE CHANGE</x:v>
      </x:c>
      <x:c r="P40" s="38" t="str">
        <x:v>Korean marinated beef grilled or pan-cooked with a sweet-savory soy-based seasoning.</x:v>
      </x:c>
      <x:c r="Q40" s="38" t="str">
        <x:v>Six-flavor V1 taxonomy frozen after this audit.</x:v>
      </x:c>
    </x:row>
    <x:row r="41" ht="56" customHeight="1">
      <x:c r="A41" s="38" t="n">
        <x:v>29</x:v>
      </x:c>
      <x:c r="B41" s="38" t="str">
        <x:v>jianbing</x:v>
      </x:c>
      <x:c r="C41" s="38" t="str">
        <x:v>Jianbing</x:v>
      </x:c>
      <x:c r="D41" s="38" t="str">
        <x:v>crispy</x:v>
      </x:c>
      <x:c r="E41" s="38" t="str">
        <x:v>NO ADD</x:v>
      </x:c>
      <x:c r="F41" s="38" t="str">
        <x:v>NO ADD — no high-confidence evidence strong enough to add this tag in the final V1 pass.</x:v>
      </x:c>
      <x:c r="G41" s="38" t="str">
        <x:v>NO ADD</x:v>
      </x:c>
      <x:c r="H41" s="38" t="str">
        <x:v>NO ADD — no high-confidence evidence strong enough to add this tag in the final V1 pass.</x:v>
      </x:c>
      <x:c r="I41" s="38" t="str">
        <x:v>KEEP</x:v>
      </x:c>
      <x:c r="J41" s="38" t="str">
        <x:v>KEEP — no high-confidence reason to remove the current tag in the final V1 pass.</x:v>
      </x:c>
      <x:c r="K41" s="38" t="str">
        <x:v>NO ADD</x:v>
      </x:c>
      <x:c r="L41" s="38" t="str">
        <x:v>NO ADD — no high-confidence evidence strong enough to add this tag in the final V1 pass.</x:v>
      </x:c>
      <x:c r="M41" s="38" t="str">
        <x:v>crispy</x:v>
      </x:c>
      <x:c r="N41" s="38" t="str">
        <x:v>none</x:v>
      </x:c>
      <x:c r="O41" s="38" t="str">
        <x:v>FROZEN / NO HIGH-CONFIDENCE CHANGE</x:v>
      </x:c>
      <x:c r="P41" s="38" t="str">
        <x:v>Chinese breakfast crepe layered with egg, sauces, herbs, and a crisp cracker.</x:v>
      </x:c>
      <x:c r="Q41" s="38" t="str">
        <x:v>Six-flavor V1 taxonomy frozen after this audit.</x:v>
      </x:c>
    </x:row>
    <x:row r="42" ht="56" customHeight="1">
      <x:c r="A42" s="38" t="n">
        <x:v>30</x:v>
      </x:c>
      <x:c r="B42" s="38" t="str">
        <x:v>chole-bhature</x:v>
      </x:c>
      <x:c r="C42" s="38" t="str">
        <x:v>Chole Bhature</x:v>
      </x:c>
      <x:c r="D42" s="38" t="str">
        <x:v>rich | spicy</x:v>
      </x:c>
      <x:c r="E42" s="38" t="str">
        <x:v>REMOVE</x:v>
      </x:c>
      <x:c r="F42" s="38" t="str">
        <x:v>REMOVE — 'spiced chickpea curry' does not by itself establish chile heat as a defining trait.</x:v>
      </x:c>
      <x:c r="G42" s="38" t="str">
        <x:v>NO ADD</x:v>
      </x:c>
      <x:c r="H42" s="38" t="str">
        <x:v>NO ADD — no high-confidence evidence strong enough to add this tag in the final V1 pass.</x:v>
      </x:c>
      <x:c r="I42" s="38" t="str">
        <x:v>NO ADD</x:v>
      </x:c>
      <x:c r="J42" s="38" t="str">
        <x:v>NO ADD — no high-confidence evidence strong enough to add this tag in the final V1 pass.</x:v>
      </x:c>
      <x:c r="K42" s="38" t="str">
        <x:v>NO ADD</x:v>
      </x:c>
      <x:c r="L42" s="38" t="str">
        <x:v>NO ADD — no high-confidence evidence strong enough to add this tag in the final V1 pass.</x:v>
      </x:c>
      <x:c r="M42" s="38" t="str">
        <x:v>rich</x:v>
      </x:c>
      <x:c r="N42" s="38" t="str">
        <x:v>remove spicy</x:v>
      </x:c>
      <x:c r="O42" s="38" t="str">
        <x:v>HIGH</x:v>
      </x:c>
      <x:c r="P42" s="38" t="str">
        <x:v>North Indian chickpea curry served with a large puffed, deep-fried bhatura bread.</x:v>
      </x:c>
      <x:c r="Q42" s="38" t="str">
        <x:v>Six-flavor V1 taxonomy frozen after this audit.</x:v>
      </x:c>
    </x:row>
    <x:row r="43" ht="56" customHeight="1">
      <x:c r="A43" s="38" t="n">
        <x:v>31</x:v>
      </x:c>
      <x:c r="B43" s="38" t="str">
        <x:v>chicken-tikka</x:v>
      </x:c>
      <x:c r="C43" s="38" t="str">
        <x:v>Chicken Tikka</x:v>
      </x:c>
      <x:c r="D43" s="38" t="str">
        <x:v>tangy</x:v>
      </x:c>
      <x:c r="E43" s="38" t="str">
        <x:v>NO ADD</x:v>
      </x:c>
      <x:c r="F43" s="38" t="str">
        <x:v>NO ADD — no high-confidence evidence strong enough to add this tag in the final V1 pass.</x:v>
      </x:c>
      <x:c r="G43" s="38" t="str">
        <x:v>NO ADD</x:v>
      </x:c>
      <x:c r="H43" s="38" t="str">
        <x:v>NO ADD — no high-confidence evidence strong enough to add this tag in the final V1 pass.</x:v>
      </x:c>
      <x:c r="I43" s="38" t="str">
        <x:v>NO ADD</x:v>
      </x:c>
      <x:c r="J43" s="38" t="str">
        <x:v>NO ADD — no high-confidence evidence strong enough to add this tag in the final V1 pass.</x:v>
      </x:c>
      <x:c r="K43" s="38" t="str">
        <x:v>KEEP</x:v>
      </x:c>
      <x:c r="L43" s="38" t="str">
        <x:v>KEEP — no high-confidence reason to remove the current tag in the final V1 pass.</x:v>
      </x:c>
      <x:c r="M43" s="38" t="str">
        <x:v>tangy</x:v>
      </x:c>
      <x:c r="N43" s="38" t="str">
        <x:v>none</x:v>
      </x:c>
      <x:c r="O43" s="38" t="str">
        <x:v>FROZEN / NO HIGH-CONFIDENCE CHANGE</x:v>
      </x:c>
      <x:c r="P43" s="38" t="str">
        <x:v>Yogurt-and-spice marinated chicken pieces cooked over high heat, often in a tandoor.</x:v>
      </x:c>
      <x:c r="Q43" s="38" t="str">
        <x:v>Six-flavor V1 taxonomy frozen after this audit.</x:v>
      </x:c>
    </x:row>
    <x:row r="44" ht="56" customHeight="1">
      <x:c r="A44" s="38" t="n">
        <x:v>32</x:v>
      </x:c>
      <x:c r="B44" s="38" t="str">
        <x:v>haleem</x:v>
      </x:c>
      <x:c r="C44" s="38" t="str">
        <x:v>Haleem</x:v>
      </x:c>
      <x:c r="D44" s="38" t="str">
        <x:v>rich | comforting</x:v>
      </x:c>
      <x:c r="E44" s="38" t="str">
        <x:v>NO ADD</x:v>
      </x:c>
      <x:c r="F44" s="38" t="str">
        <x:v>NO ADD — no high-confidence evidence strong enough to add this tag in the final V1 pass.</x:v>
      </x:c>
      <x:c r="G44" s="38" t="str">
        <x:v>NO ADD</x:v>
      </x:c>
      <x:c r="H44" s="38" t="str">
        <x:v>NO ADD — no high-confidence evidence strong enough to add this tag in the final V1 pass.</x:v>
      </x:c>
      <x:c r="I44" s="38" t="str">
        <x:v>NO ADD</x:v>
      </x:c>
      <x:c r="J44" s="38" t="str">
        <x:v>NO ADD — no high-confidence evidence strong enough to add this tag in the final V1 pass.</x:v>
      </x:c>
      <x:c r="K44" s="38" t="str">
        <x:v>NO ADD</x:v>
      </x:c>
      <x:c r="L44" s="38" t="str">
        <x:v>NO ADD — no high-confidence evidence strong enough to add this tag in the final V1 pass.</x:v>
      </x:c>
      <x:c r="M44" s="38" t="str">
        <x:v>rich | comforting</x:v>
      </x:c>
      <x:c r="N44" s="38" t="str">
        <x:v>none</x:v>
      </x:c>
      <x:c r="O44" s="38" t="str">
        <x:v>FROZEN / NO HIGH-CONFIDENCE CHANGE</x:v>
      </x:c>
      <x:c r="P44" s="38" t="str">
        <x:v>Slow-cooked South Asian stew of meat, grains, lentils, and warming spices.</x:v>
      </x:c>
      <x:c r="Q44" s="38" t="str">
        <x:v>Six-flavor V1 taxonomy frozen after this audit.</x:v>
      </x:c>
    </x:row>
    <x:row r="45" ht="56" customHeight="1">
      <x:c r="A45" s="38" t="n">
        <x:v>33</x:v>
      </x:c>
      <x:c r="B45" s="38" t="str">
        <x:v>kabsa</x:v>
      </x:c>
      <x:c r="C45" s="38" t="str">
        <x:v>Kabsa</x:v>
      </x:c>
      <x:c r="D45" s="38" t="str">
        <x:v>comforting</x:v>
      </x:c>
      <x:c r="E45" s="38" t="str">
        <x:v>NO ADD</x:v>
      </x:c>
      <x:c r="F45" s="38" t="str">
        <x:v>NO ADD — no high-confidence evidence strong enough to add this tag in the final V1 pass.</x:v>
      </x:c>
      <x:c r="G45" s="38" t="str">
        <x:v>NO ADD</x:v>
      </x:c>
      <x:c r="H45" s="38" t="str">
        <x:v>NO ADD — no high-confidence evidence strong enough to add this tag in the final V1 pass.</x:v>
      </x:c>
      <x:c r="I45" s="38" t="str">
        <x:v>NO ADD</x:v>
      </x:c>
      <x:c r="J45" s="38" t="str">
        <x:v>NO ADD — no high-confidence evidence strong enough to add this tag in the final V1 pass.</x:v>
      </x:c>
      <x:c r="K45" s="38" t="str">
        <x:v>NO ADD</x:v>
      </x:c>
      <x:c r="L45" s="38" t="str">
        <x:v>NO ADD — no high-confidence evidence strong enough to add this tag in the final V1 pass.</x:v>
      </x:c>
      <x:c r="M45" s="38" t="str">
        <x:v>comforting</x:v>
      </x:c>
      <x:c r="N45" s="38" t="str">
        <x:v>none</x:v>
      </x:c>
      <x:c r="O45" s="38" t="str">
        <x:v>FROZEN / NO HIGH-CONFIDENCE CHANGE</x:v>
      </x:c>
      <x:c r="P45" s="38" t="str">
        <x:v>Arabian spiced rice cooked with meat, tomatoes, and fragrant whole spices.</x:v>
      </x:c>
      <x:c r="Q45" s="38" t="str">
        <x:v>Six-flavor V1 taxonomy frozen after this audit.</x:v>
      </x:c>
    </x:row>
    <x:row r="46" ht="56" customHeight="1">
      <x:c r="A46" s="38" t="n">
        <x:v>34</x:v>
      </x:c>
      <x:c r="B46" s="38" t="str">
        <x:v>shawarma</x:v>
      </x:c>
      <x:c r="C46" s="38" t="str">
        <x:v>Shawarma</x:v>
      </x:c>
      <x:c r="D46" s="38" t="str">
        <x:v>rich | tangy</x:v>
      </x:c>
      <x:c r="E46" s="38" t="str">
        <x:v>NO ADD</x:v>
      </x:c>
      <x:c r="F46" s="38" t="str">
        <x:v>NO ADD — no high-confidence evidence strong enough to add this tag in the final V1 pass.</x:v>
      </x:c>
      <x:c r="G46" s="38" t="str">
        <x:v>NO ADD</x:v>
      </x:c>
      <x:c r="H46" s="38" t="str">
        <x:v>NO ADD — no high-confidence evidence strong enough to add this tag in the final V1 pass.</x:v>
      </x:c>
      <x:c r="I46" s="38" t="str">
        <x:v>NO ADD</x:v>
      </x:c>
      <x:c r="J46" s="38" t="str">
        <x:v>NO ADD — no high-confidence evidence strong enough to add this tag in the final V1 pass.</x:v>
      </x:c>
      <x:c r="K46" s="38" t="str">
        <x:v>REMOVE</x:v>
      </x:c>
      <x:c r="L46" s="38" t="str">
        <x:v>REMOVE — pickles/tahini/garlic sauce are optional serving choices; tangy is not a stable defining trait.</x:v>
      </x:c>
      <x:c r="M46" s="38" t="str">
        <x:v>rich</x:v>
      </x:c>
      <x:c r="N46" s="38" t="str">
        <x:v>remove tangy</x:v>
      </x:c>
      <x:c r="O46" s="38" t="str">
        <x:v>HIGH</x:v>
      </x:c>
      <x:c r="P46" s="38" t="str">
        <x:v>Thin slices of seasoned meat roasted on a vertical spit and wrapped with sauces and vegetables.</x:v>
      </x:c>
      <x:c r="Q46" s="38" t="str">
        <x:v>Six-flavor V1 taxonomy frozen after this audit.</x:v>
      </x:c>
    </x:row>
    <x:row r="47" ht="56" customHeight="1">
      <x:c r="A47" s="38" t="n">
        <x:v>35</x:v>
      </x:c>
      <x:c r="B47" s="38" t="str">
        <x:v>ash-reshteh</x:v>
      </x:c>
      <x:c r="C47" s="38" t="str">
        <x:v>Ash Reshteh</x:v>
      </x:c>
      <x:c r="D47" s="38" t="str">
        <x:v>comforting | rich</x:v>
      </x:c>
      <x:c r="E47" s="38" t="str">
        <x:v>NO ADD</x:v>
      </x:c>
      <x:c r="F47" s="38" t="str">
        <x:v>NO ADD — no high-confidence evidence strong enough to add this tag in the final V1 pass.</x:v>
      </x:c>
      <x:c r="G47" s="38" t="str">
        <x:v>NO ADD</x:v>
      </x:c>
      <x:c r="H47" s="38" t="str">
        <x:v>NO ADD — no high-confidence evidence strong enough to add this tag in the final V1 pass.</x:v>
      </x:c>
      <x:c r="I47" s="38" t="str">
        <x:v>NO ADD</x:v>
      </x:c>
      <x:c r="J47" s="38" t="str">
        <x:v>NO ADD — no high-confidence evidence strong enough to add this tag in the final V1 pass.</x:v>
      </x:c>
      <x:c r="K47" s="38" t="str">
        <x:v>NO ADD</x:v>
      </x:c>
      <x:c r="L47" s="38" t="str">
        <x:v>NO ADD — no high-confidence evidence strong enough to add this tag in the final V1 pass.</x:v>
      </x:c>
      <x:c r="M47" s="38" t="str">
        <x:v>comforting | rich</x:v>
      </x:c>
      <x:c r="N47" s="38" t="str">
        <x:v>none</x:v>
      </x:c>
      <x:c r="O47" s="38" t="str">
        <x:v>FROZEN / NO HIGH-CONFIDENCE CHANGE</x:v>
      </x:c>
      <x:c r="P47" s="38" t="str">
        <x:v>Iranian thick herb-and-legume soup with noodles, beans, lentils, and tangy kashk.</x:v>
      </x:c>
      <x:c r="Q47" s="38" t="str">
        <x:v>Six-flavor V1 taxonomy frozen after this audit.</x:v>
      </x:c>
    </x:row>
    <x:row r="48" ht="56" customHeight="1">
      <x:c r="A48" s="38" t="n">
        <x:v>36</x:v>
      </x:c>
      <x:c r="B48" s="38" t="str">
        <x:v>jollof-rice</x:v>
      </x:c>
      <x:c r="C48" s="38" t="str">
        <x:v>Jollof Rice</x:v>
      </x:c>
      <x:c r="D48" s="38" t="str">
        <x:v>comforting</x:v>
      </x:c>
      <x:c r="E48" s="38" t="str">
        <x:v>NO ADD</x:v>
      </x:c>
      <x:c r="F48" s="38" t="str">
        <x:v>NO ADD — no high-confidence evidence strong enough to add this tag in the final V1 pass.</x:v>
      </x:c>
      <x:c r="G48" s="38" t="str">
        <x:v>NO ADD</x:v>
      </x:c>
      <x:c r="H48" s="38" t="str">
        <x:v>NO ADD — no high-confidence evidence strong enough to add this tag in the final V1 pass.</x:v>
      </x:c>
      <x:c r="I48" s="38" t="str">
        <x:v>NO ADD</x:v>
      </x:c>
      <x:c r="J48" s="38" t="str">
        <x:v>NO ADD — no high-confidence evidence strong enough to add this tag in the final V1 pass.</x:v>
      </x:c>
      <x:c r="K48" s="38" t="str">
        <x:v>NO ADD</x:v>
      </x:c>
      <x:c r="L48" s="38" t="str">
        <x:v>NO ADD — no high-confidence evidence strong enough to add this tag in the final V1 pass.</x:v>
      </x:c>
      <x:c r="M48" s="38" t="str">
        <x:v>comforting</x:v>
      </x:c>
      <x:c r="N48" s="38" t="str">
        <x:v>none</x:v>
      </x:c>
      <x:c r="O48" s="38" t="str">
        <x:v>FROZEN / NO HIGH-CONFIDENCE CHANGE</x:v>
      </x:c>
      <x:c r="P48" s="38" t="str">
        <x:v>West African tomato-and-pepper rice cooked with aromatics, spices, and optional meat or vegetables.</x:v>
      </x:c>
      <x:c r="Q48" s="38" t="str">
        <x:v>Six-flavor V1 taxonomy frozen after this audit.</x:v>
      </x:c>
    </x:row>
    <x:row r="49" ht="56" customHeight="1">
      <x:c r="A49" s="38" t="n">
        <x:v>37</x:v>
      </x:c>
      <x:c r="B49" s="38" t="str">
        <x:v>doro-wat</x:v>
      </x:c>
      <x:c r="C49" s="38" t="str">
        <x:v>Doro Wat</x:v>
      </x:c>
      <x:c r="D49" s="38" t="str">
        <x:v>spicy | rich</x:v>
      </x:c>
      <x:c r="E49" s="38" t="str">
        <x:v>KEEP</x:v>
      </x:c>
      <x:c r="F49" s="38" t="str">
        <x:v>KEEP — no high-confidence reason to remove the current tag in the final V1 pass.</x:v>
      </x:c>
      <x:c r="G49" s="38" t="str">
        <x:v>NO ADD</x:v>
      </x:c>
      <x:c r="H49" s="38" t="str">
        <x:v>NO ADD — no high-confidence evidence strong enough to add this tag in the final V1 pass.</x:v>
      </x:c>
      <x:c r="I49" s="38" t="str">
        <x:v>NO ADD</x:v>
      </x:c>
      <x:c r="J49" s="38" t="str">
        <x:v>NO ADD — no high-confidence evidence strong enough to add this tag in the final V1 pass.</x:v>
      </x:c>
      <x:c r="K49" s="38" t="str">
        <x:v>NO ADD</x:v>
      </x:c>
      <x:c r="L49" s="38" t="str">
        <x:v>NO ADD — no high-confidence evidence strong enough to add this tag in the final V1 pass.</x:v>
      </x:c>
      <x:c r="M49" s="38" t="str">
        <x:v>spicy | rich</x:v>
      </x:c>
      <x:c r="N49" s="38" t="str">
        <x:v>none</x:v>
      </x:c>
      <x:c r="O49" s="38" t="str">
        <x:v>FROZEN / NO HIGH-CONFIDENCE CHANGE</x:v>
      </x:c>
      <x:c r="P49" s="38" t="str">
        <x:v>Ethiopian chicken stew simmered with berbere spices, onions, and often hard-boiled eggs.</x:v>
      </x:c>
      <x:c r="Q49" s="38" t="str">
        <x:v>Six-flavor V1 taxonomy frozen after this audit.</x:v>
      </x:c>
    </x:row>
    <x:row r="50" ht="56" customHeight="1">
      <x:c r="A50" s="38" t="n">
        <x:v>38</x:v>
      </x:c>
      <x:c r="B50" s="38" t="str">
        <x:v>koshari</x:v>
      </x:c>
      <x:c r="C50" s="38" t="str">
        <x:v>Koshari</x:v>
      </x:c>
      <x:c r="D50" s="38" t="str">
        <x:v>comforting | tangy</x:v>
      </x:c>
      <x:c r="E50" s="38" t="str">
        <x:v>NO ADD</x:v>
      </x:c>
      <x:c r="F50" s="38" t="str">
        <x:v>NO ADD — no high-confidence evidence strong enough to add this tag in the final V1 pass.</x:v>
      </x:c>
      <x:c r="G50" s="38" t="str">
        <x:v>NO ADD</x:v>
      </x:c>
      <x:c r="H50" s="38" t="str">
        <x:v>NO ADD — no high-confidence evidence strong enough to add this tag in the final V1 pass.</x:v>
      </x:c>
      <x:c r="I50" s="38" t="str">
        <x:v>ADD</x:v>
      </x:c>
      <x:c r="J50" s="38" t="str">
        <x:v>ADD — crisp fried onions are explicitly part of the dish and provide a repeatable crunchy component.</x:v>
      </x:c>
      <x:c r="K50" s="38" t="str">
        <x:v>KEEP</x:v>
      </x:c>
      <x:c r="L50" s="38" t="str">
        <x:v>KEEP — no high-confidence reason to remove the current tag in the final V1 pass.</x:v>
      </x:c>
      <x:c r="M50" s="38" t="str">
        <x:v>comforting | tangy | crispy</x:v>
      </x:c>
      <x:c r="N50" s="38" t="str">
        <x:v>add crispy</x:v>
      </x:c>
      <x:c r="O50" s="38" t="str">
        <x:v>HIGH</x:v>
      </x:c>
      <x:c r="P50" s="38" t="str">
        <x:v>Egyptian rice, lentils, pasta, chickpeas, tomato sauce, and crisp fried onions.</x:v>
      </x:c>
      <x:c r="Q50" s="38" t="str">
        <x:v>Six-flavor V1 taxonomy frozen after this audit.</x:v>
      </x:c>
    </x:row>
    <x:row r="51" ht="56" customHeight="1">
      <x:c r="A51" s="38" t="n">
        <x:v>39</x:v>
      </x:c>
      <x:c r="B51" s="38" t="str">
        <x:v>thieboudienne</x:v>
      </x:c>
      <x:c r="C51" s="38" t="str">
        <x:v>Thieboudienne</x:v>
      </x:c>
      <x:c r="D51" s="38" t="str">
        <x:v>comforting</x:v>
      </x:c>
      <x:c r="E51" s="38" t="str">
        <x:v>NO ADD</x:v>
      </x:c>
      <x:c r="F51" s="38" t="str">
        <x:v>NO ADD — no high-confidence evidence strong enough to add this tag in the final V1 pass.</x:v>
      </x:c>
      <x:c r="G51" s="38" t="str">
        <x:v>NO ADD</x:v>
      </x:c>
      <x:c r="H51" s="38" t="str">
        <x:v>NO ADD — no high-confidence evidence strong enough to add this tag in the final V1 pass.</x:v>
      </x:c>
      <x:c r="I51" s="38" t="str">
        <x:v>NO ADD</x:v>
      </x:c>
      <x:c r="J51" s="38" t="str">
        <x:v>NO ADD — no high-confidence evidence strong enough to add this tag in the final V1 pass.</x:v>
      </x:c>
      <x:c r="K51" s="38" t="str">
        <x:v>NO ADD</x:v>
      </x:c>
      <x:c r="L51" s="38" t="str">
        <x:v>NO ADD — no high-confidence evidence strong enough to add this tag in the final V1 pass.</x:v>
      </x:c>
      <x:c r="M51" s="38" t="str">
        <x:v>comforting</x:v>
      </x:c>
      <x:c r="N51" s="38" t="str">
        <x:v>none</x:v>
      </x:c>
      <x:c r="O51" s="38" t="str">
        <x:v>FROZEN / NO HIGH-CONFIDENCE CHANGE</x:v>
      </x:c>
      <x:c r="P51" s="38" t="str">
        <x:v>Senegalese fish and rice cooked with tomato, vegetables, herbs, and peppers in one pot.</x:v>
      </x:c>
      <x:c r="Q51" s="38" t="str">
        <x:v>Six-flavor V1 taxonomy frozen after this audit.</x:v>
      </x:c>
    </x:row>
    <x:row r="52" ht="56" customHeight="1">
      <x:c r="A52" s="38" t="n">
        <x:v>40</x:v>
      </x:c>
      <x:c r="B52" s="38" t="str">
        <x:v>paella</x:v>
      </x:c>
      <x:c r="C52" s="38" t="str">
        <x:v>Paella</x:v>
      </x:c>
      <x:c r="D52" s="38" t="str">
        <x:v>comforting</x:v>
      </x:c>
      <x:c r="E52" s="38" t="str">
        <x:v>NO ADD</x:v>
      </x:c>
      <x:c r="F52" s="38" t="str">
        <x:v>NO ADD — no high-confidence evidence strong enough to add this tag in the final V1 pass.</x:v>
      </x:c>
      <x:c r="G52" s="38" t="str">
        <x:v>NO ADD</x:v>
      </x:c>
      <x:c r="H52" s="38" t="str">
        <x:v>NO ADD — no high-confidence evidence strong enough to add this tag in the final V1 pass.</x:v>
      </x:c>
      <x:c r="I52" s="38" t="str">
        <x:v>NO ADD</x:v>
      </x:c>
      <x:c r="J52" s="38" t="str">
        <x:v>NO ADD — no high-confidence evidence strong enough to add this tag in the final V1 pass.</x:v>
      </x:c>
      <x:c r="K52" s="38" t="str">
        <x:v>NO ADD</x:v>
      </x:c>
      <x:c r="L52" s="38" t="str">
        <x:v>NO ADD — no high-confidence evidence strong enough to add this tag in the final V1 pass.</x:v>
      </x:c>
      <x:c r="M52" s="38" t="str">
        <x:v>comforting</x:v>
      </x:c>
      <x:c r="N52" s="38" t="str">
        <x:v>none</x:v>
      </x:c>
      <x:c r="O52" s="38" t="str">
        <x:v>FROZEN / NO HIGH-CONFIDENCE CHANGE</x:v>
      </x:c>
      <x:c r="P52" s="38" t="str">
        <x:v>Spanish rice cooked in a wide pan with saffron, vegetables, and seafood or meat.</x:v>
      </x:c>
      <x:c r="Q52" s="38" t="str">
        <x:v>Six-flavor V1 taxonomy frozen after this audit.</x:v>
      </x:c>
    </x:row>
    <x:row r="53" ht="56" customHeight="1">
      <x:c r="A53" s="38" t="n">
        <x:v>41</x:v>
      </x:c>
      <x:c r="B53" s="38" t="str">
        <x:v>goulash</x:v>
      </x:c>
      <x:c r="C53" s="38" t="str">
        <x:v>Goulash</x:v>
      </x:c>
      <x:c r="D53" s="38" t="str">
        <x:v>rich | comforting</x:v>
      </x:c>
      <x:c r="E53" s="38" t="str">
        <x:v>NO ADD</x:v>
      </x:c>
      <x:c r="F53" s="38" t="str">
        <x:v>NO ADD — no high-confidence evidence strong enough to add this tag in the final V1 pass.</x:v>
      </x:c>
      <x:c r="G53" s="38" t="str">
        <x:v>NO ADD</x:v>
      </x:c>
      <x:c r="H53" s="38" t="str">
        <x:v>NO ADD — no high-confidence evidence strong enough to add this tag in the final V1 pass.</x:v>
      </x:c>
      <x:c r="I53" s="38" t="str">
        <x:v>NO ADD</x:v>
      </x:c>
      <x:c r="J53" s="38" t="str">
        <x:v>NO ADD — no high-confidence evidence strong enough to add this tag in the final V1 pass.</x:v>
      </x:c>
      <x:c r="K53" s="38" t="str">
        <x:v>NO ADD</x:v>
      </x:c>
      <x:c r="L53" s="38" t="str">
        <x:v>NO ADD — no high-confidence evidence strong enough to add this tag in the final V1 pass.</x:v>
      </x:c>
      <x:c r="M53" s="38" t="str">
        <x:v>rich | comforting</x:v>
      </x:c>
      <x:c r="N53" s="38" t="str">
        <x:v>none</x:v>
      </x:c>
      <x:c r="O53" s="38" t="str">
        <x:v>FROZEN / NO HIGH-CONFIDENCE CHANGE</x:v>
      </x:c>
      <x:c r="P53" s="38" t="str">
        <x:v>Hungarian paprika-seasoned beef and vegetable soup or stew with a deep savory broth.</x:v>
      </x:c>
      <x:c r="Q53" s="38" t="str">
        <x:v>Six-flavor V1 taxonomy frozen after this audit.</x:v>
      </x:c>
    </x:row>
    <x:row r="54" ht="56" customHeight="1">
      <x:c r="A54" s="38" t="n">
        <x:v>42</x:v>
      </x:c>
      <x:c r="B54" s="38" t="str">
        <x:v>souvlaki</x:v>
      </x:c>
      <x:c r="C54" s="38" t="str">
        <x:v>Souvlaki</x:v>
      </x:c>
      <x:c r="D54" s="38" t="str">
        <x:v>fresh | tangy</x:v>
      </x:c>
      <x:c r="E54" s="38" t="str">
        <x:v>NO ADD</x:v>
      </x:c>
      <x:c r="F54" s="38" t="str">
        <x:v>NO ADD — no high-confidence evidence strong enough to add this tag in the final V1 pass.</x:v>
      </x:c>
      <x:c r="G54" s="38" t="str">
        <x:v>KEEP</x:v>
      </x:c>
      <x:c r="H54" s="38" t="str">
        <x:v>KEEP — no high-confidence reason to remove the current tag in the final V1 pass.</x:v>
      </x:c>
      <x:c r="I54" s="38" t="str">
        <x:v>NO ADD</x:v>
      </x:c>
      <x:c r="J54" s="38" t="str">
        <x:v>NO ADD — no high-confidence evidence strong enough to add this tag in the final V1 pass.</x:v>
      </x:c>
      <x:c r="K54" s="38" t="str">
        <x:v>REMOVE</x:v>
      </x:c>
      <x:c r="L54" s="38" t="str">
        <x:v>REMOVE — lemon is a common serving accompaniment, but the defining row is grilled meat rather than acidity.</x:v>
      </x:c>
      <x:c r="M54" s="38" t="str">
        <x:v>fresh</x:v>
      </x:c>
      <x:c r="N54" s="38" t="str">
        <x:v>remove tangy</x:v>
      </x:c>
      <x:c r="O54" s="38" t="str">
        <x:v>HIGH</x:v>
      </x:c>
      <x:c r="P54" s="38" t="str">
        <x:v>Greek skewered meat grilled over high heat and served with lemon, pita, or fresh sides.</x:v>
      </x:c>
      <x:c r="Q54" s="38" t="str">
        <x:v>Six-flavor V1 taxonomy frozen after this audit.</x:v>
      </x:c>
    </x:row>
    <x:row r="55" ht="56" customHeight="1">
      <x:c r="A55" s="38" t="n">
        <x:v>43</x:v>
      </x:c>
      <x:c r="B55" s="38" t="str">
        <x:v>pierogi</x:v>
      </x:c>
      <x:c r="C55" s="38" t="str">
        <x:v>Pierogi</x:v>
      </x:c>
      <x:c r="D55" s="38" t="str">
        <x:v>comforting | rich</x:v>
      </x:c>
      <x:c r="E55" s="38" t="str">
        <x:v>NO ADD</x:v>
      </x:c>
      <x:c r="F55" s="38" t="str">
        <x:v>NO ADD — no high-confidence evidence strong enough to add this tag in the final V1 pass.</x:v>
      </x:c>
      <x:c r="G55" s="38" t="str">
        <x:v>NO ADD</x:v>
      </x:c>
      <x:c r="H55" s="38" t="str">
        <x:v>NO ADD — no high-confidence evidence strong enough to add this tag in the final V1 pass.</x:v>
      </x:c>
      <x:c r="I55" s="38" t="str">
        <x:v>NO ADD</x:v>
      </x:c>
      <x:c r="J55" s="38" t="str">
        <x:v>NO ADD — no high-confidence evidence strong enough to add this tag in the final V1 pass.</x:v>
      </x:c>
      <x:c r="K55" s="38" t="str">
        <x:v>NO ADD</x:v>
      </x:c>
      <x:c r="L55" s="38" t="str">
        <x:v>NO ADD — no high-confidence evidence strong enough to add this tag in the final V1 pass.</x:v>
      </x:c>
      <x:c r="M55" s="38" t="str">
        <x:v>comforting | rich</x:v>
      </x:c>
      <x:c r="N55" s="38" t="str">
        <x:v>none</x:v>
      </x:c>
      <x:c r="O55" s="38" t="str">
        <x:v>FROZEN / NO HIGH-CONFIDENCE CHANGE</x:v>
      </x:c>
      <x:c r="P55" s="38" t="str">
        <x:v>Polish filled dumplings boiled or pan-fried with savory or sweet fillings.</x:v>
      </x:c>
      <x:c r="Q55" s="38" t="str">
        <x:v>Six-flavor V1 taxonomy frozen after this audit.</x:v>
      </x:c>
    </x:row>
    <x:row r="56" ht="56" customHeight="1">
      <x:c r="A56" s="38" t="n">
        <x:v>44</x:v>
      </x:c>
      <x:c r="B56" s="38" t="str">
        <x:v>arepa</x:v>
      </x:c>
      <x:c r="C56" s="38" t="str">
        <x:v>Arepa</x:v>
      </x:c>
      <x:c r="D56" s="38" t="str">
        <x:v>comforting</x:v>
      </x:c>
      <x:c r="E56" s="38" t="str">
        <x:v>NO ADD</x:v>
      </x:c>
      <x:c r="F56" s="38" t="str">
        <x:v>NO ADD — no high-confidence evidence strong enough to add this tag in the final V1 pass.</x:v>
      </x:c>
      <x:c r="G56" s="38" t="str">
        <x:v>NO ADD</x:v>
      </x:c>
      <x:c r="H56" s="38" t="str">
        <x:v>NO ADD — no high-confidence evidence strong enough to add this tag in the final V1 pass.</x:v>
      </x:c>
      <x:c r="I56" s="38" t="str">
        <x:v>NO ADD</x:v>
      </x:c>
      <x:c r="J56" s="38" t="str">
        <x:v>NO ADD — no high-confidence evidence strong enough to add this tag in the final V1 pass.</x:v>
      </x:c>
      <x:c r="K56" s="38" t="str">
        <x:v>NO ADD</x:v>
      </x:c>
      <x:c r="L56" s="38" t="str">
        <x:v>NO ADD — no high-confidence evidence strong enough to add this tag in the final V1 pass.</x:v>
      </x:c>
      <x:c r="M56" s="38" t="str">
        <x:v>comforting</x:v>
      </x:c>
      <x:c r="N56" s="38" t="str">
        <x:v>none</x:v>
      </x:c>
      <x:c r="O56" s="38" t="str">
        <x:v>FROZEN / NO HIGH-CONFIDENCE CHANGE</x:v>
      </x:c>
      <x:c r="P56" s="38" t="str">
        <x:v>Cornmeal cake split and filled with cheese, meats, beans, or other savory fillings.</x:v>
      </x:c>
      <x:c r="Q56" s="38" t="str">
        <x:v>Six-flavor V1 taxonomy frozen after this audit.</x:v>
      </x:c>
    </x:row>
    <x:row r="57" ht="56" customHeight="1">
      <x:c r="A57" s="38" t="n">
        <x:v>45</x:v>
      </x:c>
      <x:c r="B57" s="38" t="str">
        <x:v>ceviche</x:v>
      </x:c>
      <x:c r="C57" s="38" t="str">
        <x:v>Ceviche</x:v>
      </x:c>
      <x:c r="D57" s="38" t="str">
        <x:v>fresh | tangy</x:v>
      </x:c>
      <x:c r="E57" s="38" t="str">
        <x:v>NO ADD</x:v>
      </x:c>
      <x:c r="F57" s="38" t="str">
        <x:v>NO ADD — no high-confidence evidence strong enough to add this tag in the final V1 pass.</x:v>
      </x:c>
      <x:c r="G57" s="38" t="str">
        <x:v>KEEP</x:v>
      </x:c>
      <x:c r="H57" s="38" t="str">
        <x:v>KEEP — no high-confidence reason to remove the current tag in the final V1 pass.</x:v>
      </x:c>
      <x:c r="I57" s="38" t="str">
        <x:v>NO ADD</x:v>
      </x:c>
      <x:c r="J57" s="38" t="str">
        <x:v>NO ADD — no high-confidence evidence strong enough to add this tag in the final V1 pass.</x:v>
      </x:c>
      <x:c r="K57" s="38" t="str">
        <x:v>KEEP</x:v>
      </x:c>
      <x:c r="L57" s="38" t="str">
        <x:v>KEEP — no high-confidence reason to remove the current tag in the final V1 pass.</x:v>
      </x:c>
      <x:c r="M57" s="38" t="str">
        <x:v>fresh | tangy</x:v>
      </x:c>
      <x:c r="N57" s="38" t="str">
        <x:v>none</x:v>
      </x:c>
      <x:c r="O57" s="38" t="str">
        <x:v>FROZEN / NO HIGH-CONFIDENCE CHANGE</x:v>
      </x:c>
      <x:c r="P57" s="38" t="str">
        <x:v>Peruvian raw fish cured in citrus with onion, chile, and fresh herbs.</x:v>
      </x:c>
      <x:c r="Q57" s="38" t="str">
        <x:v>Six-flavor V1 taxonomy frozen after this audit.</x:v>
      </x:c>
    </x:row>
    <x:row r="58" ht="56" customHeight="1">
      <x:c r="A58" s="38" t="n">
        <x:v>46</x:v>
      </x:c>
      <x:c r="B58" s="38" t="str">
        <x:v>arroz-con-pollo</x:v>
      </x:c>
      <x:c r="C58" s="38" t="str">
        <x:v>Arroz con Pollo</x:v>
      </x:c>
      <x:c r="D58" s="38" t="str">
        <x:v>comforting</x:v>
      </x:c>
      <x:c r="E58" s="38" t="str">
        <x:v>NO ADD</x:v>
      </x:c>
      <x:c r="F58" s="38" t="str">
        <x:v>NO ADD — no high-confidence evidence strong enough to add this tag in the final V1 pass.</x:v>
      </x:c>
      <x:c r="G58" s="38" t="str">
        <x:v>NO ADD</x:v>
      </x:c>
      <x:c r="H58" s="38" t="str">
        <x:v>NO ADD — no high-confidence evidence strong enough to add this tag in the final V1 pass.</x:v>
      </x:c>
      <x:c r="I58" s="38" t="str">
        <x:v>NO ADD</x:v>
      </x:c>
      <x:c r="J58" s="38" t="str">
        <x:v>NO ADD — no high-confidence evidence strong enough to add this tag in the final V1 pass.</x:v>
      </x:c>
      <x:c r="K58" s="38" t="str">
        <x:v>NO ADD</x:v>
      </x:c>
      <x:c r="L58" s="38" t="str">
        <x:v>NO ADD — no high-confidence evidence strong enough to add this tag in the final V1 pass.</x:v>
      </x:c>
      <x:c r="M58" s="38" t="str">
        <x:v>comforting</x:v>
      </x:c>
      <x:c r="N58" s="38" t="str">
        <x:v>none</x:v>
      </x:c>
      <x:c r="O58" s="38" t="str">
        <x:v>FROZEN / NO HIGH-CONFIDENCE CHANGE</x:v>
      </x:c>
      <x:c r="P58" s="38" t="str">
        <x:v>Latin American chicken and rice cooked together with vegetables, seasonings, and broth.</x:v>
      </x:c>
      <x:c r="Q58" s="38" t="str">
        <x:v>Six-flavor V1 taxonomy frozen after this audit.</x:v>
      </x:c>
    </x:row>
    <x:row r="59" ht="56" customHeight="1">
      <x:c r="A59" s="38" t="n">
        <x:v>47</x:v>
      </x:c>
      <x:c r="B59" s="38" t="str">
        <x:v>sancocho</x:v>
      </x:c>
      <x:c r="C59" s="38" t="str">
        <x:v>Sancocho</x:v>
      </x:c>
      <x:c r="D59" s="38" t="str">
        <x:v>comforting</x:v>
      </x:c>
      <x:c r="E59" s="38" t="str">
        <x:v>NO ADD</x:v>
      </x:c>
      <x:c r="F59" s="38" t="str">
        <x:v>NO ADD — no high-confidence evidence strong enough to add this tag in the final V1 pass.</x:v>
      </x:c>
      <x:c r="G59" s="38" t="str">
        <x:v>NO ADD</x:v>
      </x:c>
      <x:c r="H59" s="38" t="str">
        <x:v>NO ADD — no high-confidence evidence strong enough to add this tag in the final V1 pass.</x:v>
      </x:c>
      <x:c r="I59" s="38" t="str">
        <x:v>NO ADD</x:v>
      </x:c>
      <x:c r="J59" s="38" t="str">
        <x:v>NO ADD — no high-confidence evidence strong enough to add this tag in the final V1 pass.</x:v>
      </x:c>
      <x:c r="K59" s="38" t="str">
        <x:v>NO ADD</x:v>
      </x:c>
      <x:c r="L59" s="38" t="str">
        <x:v>NO ADD — no high-confidence evidence strong enough to add this tag in the final V1 pass.</x:v>
      </x:c>
      <x:c r="M59" s="38" t="str">
        <x:v>comforting</x:v>
      </x:c>
      <x:c r="N59" s="38" t="str">
        <x:v>none</x:v>
      </x:c>
      <x:c r="O59" s="38" t="str">
        <x:v>FROZEN / NO HIGH-CONFIDENCE CHANGE</x:v>
      </x:c>
      <x:c r="P59" s="38" t="str">
        <x:v>Hearty Latin American stew with meat, root vegetables, plantain, corn, and broth.</x:v>
      </x:c>
      <x:c r="Q59" s="38" t="str">
        <x:v>Six-flavor V1 taxonomy frozen after this audit.</x:v>
      </x:c>
    </x:row>
    <x:row r="60" ht="56" customHeight="1">
      <x:c r="A60" s="38" t="n">
        <x:v>48</x:v>
      </x:c>
      <x:c r="B60" s="38" t="str">
        <x:v>gumbo</x:v>
      </x:c>
      <x:c r="C60" s="38" t="str">
        <x:v>Gumbo</x:v>
      </x:c>
      <x:c r="D60" s="38" t="str">
        <x:v>rich | spicy</x:v>
      </x:c>
      <x:c r="E60" s="38" t="str">
        <x:v>REMOVE</x:v>
      </x:c>
      <x:c r="F60" s="38" t="str">
        <x:v>REMOVE — the row describes a deeply savory Louisiana stew but does not make heat a defining characteristic.</x:v>
      </x:c>
      <x:c r="G60" s="38" t="str">
        <x:v>NO ADD</x:v>
      </x:c>
      <x:c r="H60" s="38" t="str">
        <x:v>NO ADD — no high-confidence evidence strong enough to add this tag in the final V1 pass.</x:v>
      </x:c>
      <x:c r="I60" s="38" t="str">
        <x:v>NO ADD</x:v>
      </x:c>
      <x:c r="J60" s="38" t="str">
        <x:v>NO ADD — no high-confidence evidence strong enough to add this tag in the final V1 pass.</x:v>
      </x:c>
      <x:c r="K60" s="38" t="str">
        <x:v>NO ADD</x:v>
      </x:c>
      <x:c r="L60" s="38" t="str">
        <x:v>NO ADD — no high-confidence evidence strong enough to add this tag in the final V1 pass.</x:v>
      </x:c>
      <x:c r="M60" s="38" t="str">
        <x:v>rich</x:v>
      </x:c>
      <x:c r="N60" s="38" t="str">
        <x:v>remove spicy</x:v>
      </x:c>
      <x:c r="O60" s="38" t="str">
        <x:v>HIGH</x:v>
      </x:c>
      <x:c r="P60" s="38" t="str">
        <x:v>Louisiana stew thickened with roux, okra, or filé and filled with meat or seafood.</x:v>
      </x:c>
      <x:c r="Q60" s="38" t="str">
        <x:v>Six-flavor V1 taxonomy frozen after this audit.</x:v>
      </x:c>
    </x:row>
    <x:row r="61" ht="56" customHeight="1">
      <x:c r="A61" s="38" t="n">
        <x:v>49</x:v>
      </x:c>
      <x:c r="B61" s="38" t="str">
        <x:v>smoked-brisket</x:v>
      </x:c>
      <x:c r="C61" s="38" t="str">
        <x:v>Smoked Brisket</x:v>
      </x:c>
      <x:c r="D61" s="38" t="str">
        <x:v>rich</x:v>
      </x:c>
      <x:c r="E61" s="38" t="str">
        <x:v>NO ADD</x:v>
      </x:c>
      <x:c r="F61" s="38" t="str">
        <x:v>NO ADD — no high-confidence evidence strong enough to add this tag in the final V1 pass.</x:v>
      </x:c>
      <x:c r="G61" s="38" t="str">
        <x:v>NO ADD</x:v>
      </x:c>
      <x:c r="H61" s="38" t="str">
        <x:v>NO ADD — no high-confidence evidence strong enough to add this tag in the final V1 pass.</x:v>
      </x:c>
      <x:c r="I61" s="38" t="str">
        <x:v>NO ADD</x:v>
      </x:c>
      <x:c r="J61" s="38" t="str">
        <x:v>NO ADD — no high-confidence evidence strong enough to add this tag in the final V1 pass.</x:v>
      </x:c>
      <x:c r="K61" s="38" t="str">
        <x:v>NO ADD</x:v>
      </x:c>
      <x:c r="L61" s="38" t="str">
        <x:v>NO ADD — no high-confidence evidence strong enough to add this tag in the final V1 pass.</x:v>
      </x:c>
      <x:c r="M61" s="38" t="str">
        <x:v>rich</x:v>
      </x:c>
      <x:c r="N61" s="38" t="str">
        <x:v>none</x:v>
      </x:c>
      <x:c r="O61" s="38" t="str">
        <x:v>FROZEN / NO HIGH-CONFIDENCE CHANGE</x:v>
      </x:c>
      <x:c r="P61" s="38" t="str">
        <x:v>Slow-smoked beef brisket with a dark bark, tender interior, and deep wood-smoke flavor.</x:v>
      </x:c>
      <x:c r="Q61" s="38" t="str">
        <x:v>Six-flavor V1 taxonomy frozen after this audit.</x:v>
      </x:c>
    </x:row>
    <x:row r="62" ht="56" customHeight="1">
      <x:c r="A62" s="38" t="n">
        <x:v>50</x:v>
      </x:c>
      <x:c r="B62" s="38" t="str">
        <x:v>poke-bowl</x:v>
      </x:c>
      <x:c r="C62" s="38" t="str">
        <x:v>Poke Bowl</x:v>
      </x:c>
      <x:c r="D62" s="38" t="str">
        <x:v>fresh | tangy</x:v>
      </x:c>
      <x:c r="E62" s="38" t="str">
        <x:v>NO ADD</x:v>
      </x:c>
      <x:c r="F62" s="38" t="str">
        <x:v>NO ADD — no high-confidence evidence strong enough to add this tag in the final V1 pass.</x:v>
      </x:c>
      <x:c r="G62" s="38" t="str">
        <x:v>KEEP</x:v>
      </x:c>
      <x:c r="H62" s="38" t="str">
        <x:v>KEEP — no high-confidence reason to remove the current tag in the final V1 pass.</x:v>
      </x:c>
      <x:c r="I62" s="38" t="str">
        <x:v>NO ADD</x:v>
      </x:c>
      <x:c r="J62" s="38" t="str">
        <x:v>NO ADD — no high-confidence evidence strong enough to add this tag in the final V1 pass.</x:v>
      </x:c>
      <x:c r="K62" s="38" t="str">
        <x:v>REMOVE</x:v>
      </x:c>
      <x:c r="L62" s="38" t="str">
        <x:v>REMOVE — the row describes seasoned raw fish, rice, vegetables, seaweed, and sauces without establishing acidity.</x:v>
      </x:c>
      <x:c r="M62" s="38" t="str">
        <x:v>fresh</x:v>
      </x:c>
      <x:c r="N62" s="38" t="str">
        <x:v>remove tangy</x:v>
      </x:c>
      <x:c r="O62" s="38" t="str">
        <x:v>HIGH</x:v>
      </x:c>
      <x:c r="P62" s="38" t="str">
        <x:v>Hawaiian-style rice bowl topped with seasoned raw fish, vegetables, and fresh garnishes.</x:v>
      </x:c>
      <x:c r="Q62" s="38" t="str">
        <x:v>Six-flavor V1 taxonomy frozen after this audit.</x:v>
      </x:c>
    </x:row>
    <x:row r="63" ht="56" customHeight="1">
      <x:c r="A63" s="38" t="n">
        <x:v>51</x:v>
      </x:c>
      <x:c r="B63" s="38" t="str">
        <x:v>nasi-goreng</x:v>
      </x:c>
      <x:c r="C63" s="38" t="str">
        <x:v>Nasi Goreng</x:v>
      </x:c>
      <x:c r="D63" s="38" t="str">
        <x:v>comforting</x:v>
      </x:c>
      <x:c r="E63" s="38" t="str">
        <x:v>ADD</x:v>
      </x:c>
      <x:c r="F63" s="38" t="str">
        <x:v>ADD — the current description explicitly lists chile among common seasonings.</x:v>
      </x:c>
      <x:c r="G63" s="38" t="str">
        <x:v>NO ADD</x:v>
      </x:c>
      <x:c r="H63" s="38" t="str">
        <x:v>NO ADD — no high-confidence evidence strong enough to add this tag in the final V1 pass.</x:v>
      </x:c>
      <x:c r="I63" s="38" t="str">
        <x:v>NO ADD</x:v>
      </x:c>
      <x:c r="J63" s="38" t="str">
        <x:v>NO ADD — no high-confidence evidence strong enough to add this tag in the final V1 pass.</x:v>
      </x:c>
      <x:c r="K63" s="38" t="str">
        <x:v>NO ADD</x:v>
      </x:c>
      <x:c r="L63" s="38" t="str">
        <x:v>NO ADD — no high-confidence evidence strong enough to add this tag in the final V1 pass.</x:v>
      </x:c>
      <x:c r="M63" s="38" t="str">
        <x:v>comforting | spicy</x:v>
      </x:c>
      <x:c r="N63" s="38" t="str">
        <x:v>add spicy</x:v>
      </x:c>
      <x:c r="O63" s="38" t="str">
        <x:v>HIGH</x:v>
      </x:c>
      <x:c r="P63" s="38" t="str">
        <x:v>Indonesian fried rice seasoned with sweet soy, aromatics, and savory toppings.</x:v>
      </x:c>
      <x:c r="Q63" s="38" t="str">
        <x:v>Six-flavor V1 taxonomy frozen after this audit.</x:v>
      </x:c>
    </x:row>
    <x:row r="64" ht="56" customHeight="1">
      <x:c r="A64" s="38" t="n">
        <x:v>52</x:v>
      </x:c>
      <x:c r="B64" s="38" t="str">
        <x:v>chicken-adobo</x:v>
      </x:c>
      <x:c r="C64" s="38" t="str">
        <x:v>Chicken Adobo</x:v>
      </x:c>
      <x:c r="D64" s="38" t="str">
        <x:v>comforting | tangy</x:v>
      </x:c>
      <x:c r="E64" s="38" t="str">
        <x:v>NO ADD</x:v>
      </x:c>
      <x:c r="F64" s="38" t="str">
        <x:v>NO ADD — no high-confidence evidence strong enough to add this tag in the final V1 pass.</x:v>
      </x:c>
      <x:c r="G64" s="38" t="str">
        <x:v>NO ADD</x:v>
      </x:c>
      <x:c r="H64" s="38" t="str">
        <x:v>NO ADD — no high-confidence evidence strong enough to add this tag in the final V1 pass.</x:v>
      </x:c>
      <x:c r="I64" s="38" t="str">
        <x:v>NO ADD</x:v>
      </x:c>
      <x:c r="J64" s="38" t="str">
        <x:v>NO ADD — no high-confidence evidence strong enough to add this tag in the final V1 pass.</x:v>
      </x:c>
      <x:c r="K64" s="38" t="str">
        <x:v>KEEP</x:v>
      </x:c>
      <x:c r="L64" s="38" t="str">
        <x:v>KEEP — no high-confidence reason to remove the current tag in the final V1 pass.</x:v>
      </x:c>
      <x:c r="M64" s="38" t="str">
        <x:v>comforting | tangy</x:v>
      </x:c>
      <x:c r="N64" s="38" t="str">
        <x:v>none</x:v>
      </x:c>
      <x:c r="O64" s="38" t="str">
        <x:v>FROZEN / NO HIGH-CONFIDENCE CHANGE</x:v>
      </x:c>
      <x:c r="P64" s="38" t="str">
        <x:v>Filipino chicken braised with vinegar, soy sauce, garlic, peppercorns, and bay leaves.</x:v>
      </x:c>
      <x:c r="Q64" s="38" t="str">
        <x:v>Six-flavor V1 taxonomy frozen after this audit.</x:v>
      </x:c>
    </x:row>
    <x:row r="65" ht="56" customHeight="1">
      <x:c r="A65" s="38" t="n">
        <x:v>53</x:v>
      </x:c>
      <x:c r="B65" s="38" t="str">
        <x:v>satay</x:v>
      </x:c>
      <x:c r="C65" s="38" t="str">
        <x:v>Satay</x:v>
      </x:c>
      <x:c r="D65" s="38" t="str">
        <x:v>rich | spicy</x:v>
      </x:c>
      <x:c r="E65" s="38" t="str">
        <x:v>REMOVE</x:v>
      </x:c>
      <x:c r="F65" s="38" t="str">
        <x:v>REMOVE — the row centers grilled skewers and peanut/sweet-soy sauces; heat is not established as a defining trait.</x:v>
      </x:c>
      <x:c r="G65" s="38" t="str">
        <x:v>NO ADD</x:v>
      </x:c>
      <x:c r="H65" s="38" t="str">
        <x:v>NO ADD — no high-confidence evidence strong enough to add this tag in the final V1 pass.</x:v>
      </x:c>
      <x:c r="I65" s="38" t="str">
        <x:v>NO ADD</x:v>
      </x:c>
      <x:c r="J65" s="38" t="str">
        <x:v>NO ADD — no high-confidence evidence strong enough to add this tag in the final V1 pass.</x:v>
      </x:c>
      <x:c r="K65" s="38" t="str">
        <x:v>NO ADD</x:v>
      </x:c>
      <x:c r="L65" s="38" t="str">
        <x:v>NO ADD — no high-confidence evidence strong enough to add this tag in the final V1 pass.</x:v>
      </x:c>
      <x:c r="M65" s="38" t="str">
        <x:v>rich</x:v>
      </x:c>
      <x:c r="N65" s="38" t="str">
        <x:v>remove spicy</x:v>
      </x:c>
      <x:c r="O65" s="38" t="str">
        <x:v>HIGH</x:v>
      </x:c>
      <x:c r="P65" s="38" t="str">
        <x:v>Southeast Asian skewered meat grilled over high heat and often served with peanut sauce.</x:v>
      </x:c>
      <x:c r="Q65" s="38" t="str">
        <x:v>Six-flavor V1 taxonomy frozen after this audit.</x:v>
      </x:c>
    </x:row>
    <x:row r="66" ht="56" customHeight="1">
      <x:c r="A66" s="38" t="n">
        <x:v>54</x:v>
      </x:c>
      <x:c r="B66" s="38" t="str">
        <x:v>laksa</x:v>
      </x:c>
      <x:c r="C66" s="38" t="str">
        <x:v>Laksa</x:v>
      </x:c>
      <x:c r="D66" s="38" t="str">
        <x:v>spicy</x:v>
      </x:c>
      <x:c r="E66" s="38" t="str">
        <x:v>KEEP</x:v>
      </x:c>
      <x:c r="F66" s="38" t="str">
        <x:v>KEEP — no high-confidence reason to remove the current tag in the final V1 pass.</x:v>
      </x:c>
      <x:c r="G66" s="38" t="str">
        <x:v>NO ADD</x:v>
      </x:c>
      <x:c r="H66" s="38" t="str">
        <x:v>NO ADD — no high-confidence evidence strong enough to add this tag in the final V1 pass.</x:v>
      </x:c>
      <x:c r="I66" s="38" t="str">
        <x:v>NO ADD</x:v>
      </x:c>
      <x:c r="J66" s="38" t="str">
        <x:v>NO ADD — no high-confidence evidence strong enough to add this tag in the final V1 pass.</x:v>
      </x:c>
      <x:c r="K66" s="38" t="str">
        <x:v>NO ADD</x:v>
      </x:c>
      <x:c r="L66" s="38" t="str">
        <x:v>NO ADD — no high-confidence evidence strong enough to add this tag in the final V1 pass.</x:v>
      </x:c>
      <x:c r="M66" s="38" t="str">
        <x:v>spicy</x:v>
      </x:c>
      <x:c r="N66" s="38" t="str">
        <x:v>none</x:v>
      </x:c>
      <x:c r="O66" s="38" t="str">
        <x:v>FROZEN / NO HIGH-CONFIDENCE CHANGE</x:v>
      </x:c>
      <x:c r="P66" s="38" t="str">
        <x:v>Southeast Asian noodle soup with a spicy, aromatic broth and varied regional toppings.</x:v>
      </x:c>
      <x:c r="Q66" s="38" t="str">
        <x:v>Six-flavor V1 taxonomy frozen after this audit.</x:v>
      </x:c>
    </x:row>
    <x:row r="67" ht="56" customHeight="1">
      <x:c r="A67" s="38" t="n">
        <x:v>55</x:v>
      </x:c>
      <x:c r="B67" s="38" t="str">
        <x:v>banh-mi</x:v>
      </x:c>
      <x:c r="C67" s="38" t="str">
        <x:v>Bánh Mì</x:v>
      </x:c>
      <x:c r="D67" s="38" t="str">
        <x:v>fresh | crispy | tangy</x:v>
      </x:c>
      <x:c r="E67" s="38" t="str">
        <x:v>NO ADD</x:v>
      </x:c>
      <x:c r="F67" s="38" t="str">
        <x:v>NO ADD — no high-confidence evidence strong enough to add this tag in the final V1 pass.</x:v>
      </x:c>
      <x:c r="G67" s="38" t="str">
        <x:v>KEEP</x:v>
      </x:c>
      <x:c r="H67" s="38" t="str">
        <x:v>KEEP — no high-confidence reason to remove the current tag in the final V1 pass.</x:v>
      </x:c>
      <x:c r="I67" s="38" t="str">
        <x:v>KEEP</x:v>
      </x:c>
      <x:c r="J67" s="38" t="str">
        <x:v>KEEP — no high-confidence reason to remove the current tag in the final V1 pass.</x:v>
      </x:c>
      <x:c r="K67" s="38" t="str">
        <x:v>KEEP</x:v>
      </x:c>
      <x:c r="L67" s="38" t="str">
        <x:v>KEEP — no high-confidence reason to remove the current tag in the final V1 pass.</x:v>
      </x:c>
      <x:c r="M67" s="38" t="str">
        <x:v>fresh | crispy | tangy</x:v>
      </x:c>
      <x:c r="N67" s="38" t="str">
        <x:v>none</x:v>
      </x:c>
      <x:c r="O67" s="38" t="str">
        <x:v>FROZEN / NO HIGH-CONFIDENCE CHANGE</x:v>
      </x:c>
      <x:c r="P67" s="38" t="str">
        <x:v>Vietnamese baguette sandwich layered with savory fillings, pickles, herbs, and chile.</x:v>
      </x:c>
      <x:c r="Q67" s="38" t="str">
        <x:v>Six-flavor V1 taxonomy frozen after this audit.</x:v>
      </x:c>
    </x:row>
    <x:row r="68" ht="56" customHeight="1">
      <x:c r="A68" s="38" t="n">
        <x:v>56</x:v>
      </x:c>
      <x:c r="B68" s="38" t="str">
        <x:v>sinigang</x:v>
      </x:c>
      <x:c r="C68" s="38" t="str">
        <x:v>Sinigang</x:v>
      </x:c>
      <x:c r="D68" s="38" t="str">
        <x:v>tangy | comforting</x:v>
      </x:c>
      <x:c r="E68" s="38" t="str">
        <x:v>NO ADD</x:v>
      </x:c>
      <x:c r="F68" s="38" t="str">
        <x:v>NO ADD — no high-confidence evidence strong enough to add this tag in the final V1 pass.</x:v>
      </x:c>
      <x:c r="G68" s="38" t="str">
        <x:v>NO ADD</x:v>
      </x:c>
      <x:c r="H68" s="38" t="str">
        <x:v>NO ADD — no high-confidence evidence strong enough to add this tag in the final V1 pass.</x:v>
      </x:c>
      <x:c r="I68" s="38" t="str">
        <x:v>NO ADD</x:v>
      </x:c>
      <x:c r="J68" s="38" t="str">
        <x:v>NO ADD — no high-confidence evidence strong enough to add this tag in the final V1 pass.</x:v>
      </x:c>
      <x:c r="K68" s="38" t="str">
        <x:v>KEEP</x:v>
      </x:c>
      <x:c r="L68" s="38" t="str">
        <x:v>KEEP — no high-confidence reason to remove the current tag in the final V1 pass.</x:v>
      </x:c>
      <x:c r="M68" s="38" t="str">
        <x:v>tangy | comforting</x:v>
      </x:c>
      <x:c r="N68" s="38" t="str">
        <x:v>none</x:v>
      </x:c>
      <x:c r="O68" s="38" t="str">
        <x:v>FROZEN / NO HIGH-CONFIDENCE CHANGE</x:v>
      </x:c>
      <x:c r="P68" s="38" t="str">
        <x:v>Filipino sour soup with meat or seafood, vegetables, and a bright tamarind-forward broth.</x:v>
      </x:c>
      <x:c r="Q68" s="38" t="str">
        <x:v>Six-flavor V1 taxonomy frozen after this audit.</x:v>
      </x:c>
    </x:row>
    <x:row r="69" ht="56" customHeight="1">
      <x:c r="A69" s="38" t="n">
        <x:v>57</x:v>
      </x:c>
      <x:c r="B69" s="38" t="str">
        <x:v>gyoza</x:v>
      </x:c>
      <x:c r="C69" s="38" t="str">
        <x:v>Gyoza</x:v>
      </x:c>
      <x:c r="D69" s="38" t="str">
        <x:v>crispy</x:v>
      </x:c>
      <x:c r="E69" s="38" t="str">
        <x:v>NO ADD</x:v>
      </x:c>
      <x:c r="F69" s="38" t="str">
        <x:v>NO ADD — no high-confidence evidence strong enough to add this tag in the final V1 pass.</x:v>
      </x:c>
      <x:c r="G69" s="38" t="str">
        <x:v>NO ADD</x:v>
      </x:c>
      <x:c r="H69" s="38" t="str">
        <x:v>NO ADD — no high-confidence evidence strong enough to add this tag in the final V1 pass.</x:v>
      </x:c>
      <x:c r="I69" s="38" t="str">
        <x:v>KEEP</x:v>
      </x:c>
      <x:c r="J69" s="38" t="str">
        <x:v>KEEP — no high-confidence reason to remove the current tag in the final V1 pass.</x:v>
      </x:c>
      <x:c r="K69" s="38" t="str">
        <x:v>NO ADD</x:v>
      </x:c>
      <x:c r="L69" s="38" t="str">
        <x:v>NO ADD — no high-confidence evidence strong enough to add this tag in the final V1 pass.</x:v>
      </x:c>
      <x:c r="M69" s="38" t="str">
        <x:v>crispy</x:v>
      </x:c>
      <x:c r="N69" s="38" t="str">
        <x:v>none</x:v>
      </x:c>
      <x:c r="O69" s="38" t="str">
        <x:v>FROZEN / NO HIGH-CONFIDENCE CHANGE</x:v>
      </x:c>
      <x:c r="P69" s="38" t="str">
        <x:v>Japanese dumplings filled with meat and vegetables, often pan-fried for a crisp base.</x:v>
      </x:c>
      <x:c r="Q69" s="38" t="str">
        <x:v>Six-flavor V1 taxonomy frozen after this audit.</x:v>
      </x:c>
    </x:row>
    <x:row r="70" ht="56" customHeight="1">
      <x:c r="A70" s="38" t="n">
        <x:v>58</x:v>
      </x:c>
      <x:c r="B70" s="38" t="str">
        <x:v>tonkatsu</x:v>
      </x:c>
      <x:c r="C70" s="38" t="str">
        <x:v>Tonkatsu</x:v>
      </x:c>
      <x:c r="D70" s="38" t="str">
        <x:v>crispy | comforting</x:v>
      </x:c>
      <x:c r="E70" s="38" t="str">
        <x:v>NO ADD</x:v>
      </x:c>
      <x:c r="F70" s="38" t="str">
        <x:v>NO ADD — no high-confidence evidence strong enough to add this tag in the final V1 pass.</x:v>
      </x:c>
      <x:c r="G70" s="38" t="str">
        <x:v>NO ADD</x:v>
      </x:c>
      <x:c r="H70" s="38" t="str">
        <x:v>NO ADD — no high-confidence evidence strong enough to add this tag in the final V1 pass.</x:v>
      </x:c>
      <x:c r="I70" s="38" t="str">
        <x:v>KEEP</x:v>
      </x:c>
      <x:c r="J70" s="38" t="str">
        <x:v>KEEP — no high-confidence reason to remove the current tag in the final V1 pass.</x:v>
      </x:c>
      <x:c r="K70" s="38" t="str">
        <x:v>NO ADD</x:v>
      </x:c>
      <x:c r="L70" s="38" t="str">
        <x:v>NO ADD — no high-confidence evidence strong enough to add this tag in the final V1 pass.</x:v>
      </x:c>
      <x:c r="M70" s="38" t="str">
        <x:v>crispy | comforting</x:v>
      </x:c>
      <x:c r="N70" s="38" t="str">
        <x:v>none</x:v>
      </x:c>
      <x:c r="O70" s="38" t="str">
        <x:v>FROZEN / NO HIGH-CONFIDENCE CHANGE</x:v>
      </x:c>
      <x:c r="P70" s="38" t="str">
        <x:v>Japanese breaded pork cutlet fried until crisp and served with shredded cabbage and sauce.</x:v>
      </x:c>
      <x:c r="Q70" s="38" t="str">
        <x:v>Six-flavor V1 taxonomy frozen after this audit.</x:v>
      </x:c>
    </x:row>
    <x:row r="71" ht="56" customHeight="1">
      <x:c r="A71" s="38" t="n">
        <x:v>59</x:v>
      </x:c>
      <x:c r="B71" s="38" t="str">
        <x:v>congee</x:v>
      </x:c>
      <x:c r="C71" s="38" t="str">
        <x:v>Congee</x:v>
      </x:c>
      <x:c r="D71" s="38" t="str">
        <x:v>comforting | fresh</x:v>
      </x:c>
      <x:c r="E71" s="38" t="str">
        <x:v>NO ADD</x:v>
      </x:c>
      <x:c r="F71" s="38" t="str">
        <x:v>NO ADD — no high-confidence evidence strong enough to add this tag in the final V1 pass.</x:v>
      </x:c>
      <x:c r="G71" s="38" t="str">
        <x:v>REMOVE</x:v>
      </x:c>
      <x:c r="H71" s="38" t="str">
        <x:v>REMOVE — the row centers soft rice porridge; herbs and condiments are optional toppings rather than a defining fresh profile.</x:v>
      </x:c>
      <x:c r="I71" s="38" t="str">
        <x:v>NO ADD</x:v>
      </x:c>
      <x:c r="J71" s="38" t="str">
        <x:v>NO ADD — no high-confidence evidence strong enough to add this tag in the final V1 pass.</x:v>
      </x:c>
      <x:c r="K71" s="38" t="str">
        <x:v>NO ADD</x:v>
      </x:c>
      <x:c r="L71" s="38" t="str">
        <x:v>NO ADD — no high-confidence evidence strong enough to add this tag in the final V1 pass.</x:v>
      </x:c>
      <x:c r="M71" s="38" t="str">
        <x:v>comforting</x:v>
      </x:c>
      <x:c r="N71" s="38" t="str">
        <x:v>remove fresh</x:v>
      </x:c>
      <x:c r="O71" s="38" t="str">
        <x:v>HIGH</x:v>
      </x:c>
      <x:c r="P71" s="38" t="str">
        <x:v>Soft rice porridge served plain or topped with savory meats, eggs, herbs, and condiments.</x:v>
      </x:c>
      <x:c r="Q71" s="38" t="str">
        <x:v>Six-flavor V1 taxonomy frozen after this audit.</x:v>
      </x:c>
    </x:row>
    <x:row r="72" ht="56" customHeight="1">
      <x:c r="A72" s="38" t="n">
        <x:v>60</x:v>
      </x:c>
      <x:c r="B72" s="38" t="str">
        <x:v>samosa</x:v>
      </x:c>
      <x:c r="C72" s="38" t="str">
        <x:v>Samosa</x:v>
      </x:c>
      <x:c r="D72" s="38" t="str">
        <x:v>crispy | spicy</x:v>
      </x:c>
      <x:c r="E72" s="38" t="str">
        <x:v>REMOVE</x:v>
      </x:c>
      <x:c r="F72" s="38" t="str">
        <x:v>REMOVE — the row describes seasoned fillings, but seasoning is not the same as noticeable chile heat.</x:v>
      </x:c>
      <x:c r="G72" s="38" t="str">
        <x:v>NO ADD</x:v>
      </x:c>
      <x:c r="H72" s="38" t="str">
        <x:v>NO ADD — no high-confidence evidence strong enough to add this tag in the final V1 pass.</x:v>
      </x:c>
      <x:c r="I72" s="38" t="str">
        <x:v>KEEP</x:v>
      </x:c>
      <x:c r="J72" s="38" t="str">
        <x:v>KEEP — no high-confidence reason to remove the current tag in the final V1 pass.</x:v>
      </x:c>
      <x:c r="K72" s="38" t="str">
        <x:v>NO ADD</x:v>
      </x:c>
      <x:c r="L72" s="38" t="str">
        <x:v>NO ADD — no high-confidence evidence strong enough to add this tag in the final V1 pass.</x:v>
      </x:c>
      <x:c r="M72" s="38" t="str">
        <x:v>crispy</x:v>
      </x:c>
      <x:c r="N72" s="38" t="str">
        <x:v>remove spicy</x:v>
      </x:c>
      <x:c r="O72" s="38" t="str">
        <x:v>HIGH</x:v>
      </x:c>
      <x:c r="P72" s="38" t="str">
        <x:v>Crisp South Asian pastry filled with spiced potato, peas, meat, or other savory fillings.</x:v>
      </x:c>
      <x:c r="Q72" s="38" t="str">
        <x:v>Six-flavor V1 taxonomy frozen after this audit.</x:v>
      </x:c>
    </x:row>
    <x:row r="73" ht="56" customHeight="1">
      <x:c r="A73" s="38" t="n">
        <x:v>61</x:v>
      </x:c>
      <x:c r="B73" s="38" t="str">
        <x:v>tandoori-chicken</x:v>
      </x:c>
      <x:c r="C73" s="38" t="str">
        <x:v>Tandoori Chicken</x:v>
      </x:c>
      <x:c r="D73" s="38" t="str">
        <x:v>tangy</x:v>
      </x:c>
      <x:c r="E73" s="38" t="str">
        <x:v>NO ADD</x:v>
      </x:c>
      <x:c r="F73" s="38" t="str">
        <x:v>NO ADD — no high-confidence evidence strong enough to add this tag in the final V1 pass.</x:v>
      </x:c>
      <x:c r="G73" s="38" t="str">
        <x:v>NO ADD</x:v>
      </x:c>
      <x:c r="H73" s="38" t="str">
        <x:v>NO ADD — no high-confidence evidence strong enough to add this tag in the final V1 pass.</x:v>
      </x:c>
      <x:c r="I73" s="38" t="str">
        <x:v>NO ADD</x:v>
      </x:c>
      <x:c r="J73" s="38" t="str">
        <x:v>NO ADD — no high-confidence evidence strong enough to add this tag in the final V1 pass.</x:v>
      </x:c>
      <x:c r="K73" s="38" t="str">
        <x:v>KEEP</x:v>
      </x:c>
      <x:c r="L73" s="38" t="str">
        <x:v>KEEP — no high-confidence reason to remove the current tag in the final V1 pass.</x:v>
      </x:c>
      <x:c r="M73" s="38" t="str">
        <x:v>tangy</x:v>
      </x:c>
      <x:c r="N73" s="38" t="str">
        <x:v>none</x:v>
      </x:c>
      <x:c r="O73" s="38" t="str">
        <x:v>FROZEN / NO HIGH-CONFIDENCE CHANGE</x:v>
      </x:c>
      <x:c r="P73" s="38" t="str">
        <x:v>Yogurt-and-spice marinated chicken roasted at high heat in a tandoor.</x:v>
      </x:c>
      <x:c r="Q73" s="38" t="str">
        <x:v>Six-flavor V1 taxonomy frozen after this audit.</x:v>
      </x:c>
    </x:row>
    <x:row r="74" ht="56" customHeight="1">
      <x:c r="A74" s="38" t="n">
        <x:v>62</x:v>
      </x:c>
      <x:c r="B74" s="38" t="str">
        <x:v>idiyappam</x:v>
      </x:c>
      <x:c r="C74" s="38" t="str">
        <x:v>Idiyappam</x:v>
      </x:c>
      <x:c r="D74" s="38" t="str">
        <x:v>comforting | fresh</x:v>
      </x:c>
      <x:c r="E74" s="38" t="str">
        <x:v>NO ADD</x:v>
      </x:c>
      <x:c r="F74" s="38" t="str">
        <x:v>NO ADD — no high-confidence evidence strong enough to add this tag in the final V1 pass.</x:v>
      </x:c>
      <x:c r="G74" s="38" t="str">
        <x:v>REMOVE</x:v>
      </x:c>
      <x:c r="H74" s="38" t="str">
        <x:v>REMOVE — steamed rice-flour noodles with curries/coconut milk do not establish a defining fresh profile.</x:v>
      </x:c>
      <x:c r="I74" s="38" t="str">
        <x:v>NO ADD</x:v>
      </x:c>
      <x:c r="J74" s="38" t="str">
        <x:v>NO ADD — no high-confidence evidence strong enough to add this tag in the final V1 pass.</x:v>
      </x:c>
      <x:c r="K74" s="38" t="str">
        <x:v>NO ADD</x:v>
      </x:c>
      <x:c r="L74" s="38" t="str">
        <x:v>NO ADD — no high-confidence evidence strong enough to add this tag in the final V1 pass.</x:v>
      </x:c>
      <x:c r="M74" s="38" t="str">
        <x:v>comforting</x:v>
      </x:c>
      <x:c r="N74" s="38" t="str">
        <x:v>remove fresh</x:v>
      </x:c>
      <x:c r="O74" s="38" t="str">
        <x:v>HIGH</x:v>
      </x:c>
      <x:c r="P74" s="38" t="str">
        <x:v>Steamed rice-flour noodle nests served with curries, coconut milk, or savory accompaniments.</x:v>
      </x:c>
      <x:c r="Q74" s="38" t="str">
        <x:v>Six-flavor V1 taxonomy frozen after this audit.</x:v>
      </x:c>
    </x:row>
    <x:row r="75" ht="56" customHeight="1">
      <x:c r="A75" s="38" t="n">
        <x:v>63</x:v>
      </x:c>
      <x:c r="B75" s="38" t="str">
        <x:v>falafel</x:v>
      </x:c>
      <x:c r="C75" s="38" t="str">
        <x:v>Falafel</x:v>
      </x:c>
      <x:c r="D75" s="38" t="str">
        <x:v>crispy | fresh</x:v>
      </x:c>
      <x:c r="E75" s="38" t="str">
        <x:v>NO ADD</x:v>
      </x:c>
      <x:c r="F75" s="38" t="str">
        <x:v>NO ADD — no high-confidence evidence strong enough to add this tag in the final V1 pass.</x:v>
      </x:c>
      <x:c r="G75" s="38" t="str">
        <x:v>KEEP</x:v>
      </x:c>
      <x:c r="H75" s="38" t="str">
        <x:v>KEEP — no high-confidence reason to remove the current tag in the final V1 pass.</x:v>
      </x:c>
      <x:c r="I75" s="38" t="str">
        <x:v>KEEP</x:v>
      </x:c>
      <x:c r="J75" s="38" t="str">
        <x:v>KEEP — no high-confidence reason to remove the current tag in the final V1 pass.</x:v>
      </x:c>
      <x:c r="K75" s="38" t="str">
        <x:v>NO ADD</x:v>
      </x:c>
      <x:c r="L75" s="38" t="str">
        <x:v>NO ADD — no high-confidence evidence strong enough to add this tag in the final V1 pass.</x:v>
      </x:c>
      <x:c r="M75" s="38" t="str">
        <x:v>crispy | fresh</x:v>
      </x:c>
      <x:c r="N75" s="38" t="str">
        <x:v>none</x:v>
      </x:c>
      <x:c r="O75" s="38" t="str">
        <x:v>FROZEN / NO HIGH-CONFIDENCE CHANGE</x:v>
      </x:c>
      <x:c r="P75" s="38" t="str">
        <x:v>Fried chickpea or fava-bean patties served in flatbread with vegetables, herbs, and sauces.</x:v>
      </x:c>
      <x:c r="Q75" s="38" t="str">
        <x:v>Six-flavor V1 taxonomy frozen after this audit.</x:v>
      </x:c>
    </x:row>
    <x:row r="76" ht="56" customHeight="1">
      <x:c r="A76" s="38" t="n">
        <x:v>64</x:v>
      </x:c>
      <x:c r="B76" s="38" t="str">
        <x:v>kabab-koobideh</x:v>
      </x:c>
      <x:c r="C76" s="38" t="str">
        <x:v>Kabab Koobideh</x:v>
      </x:c>
      <x:c r="D76" s="38" t="str">
        <x:v>rich</x:v>
      </x:c>
      <x:c r="E76" s="38" t="str">
        <x:v>NO ADD</x:v>
      </x:c>
      <x:c r="F76" s="38" t="str">
        <x:v>NO ADD — no high-confidence evidence strong enough to add this tag in the final V1 pass.</x:v>
      </x:c>
      <x:c r="G76" s="38" t="str">
        <x:v>NO ADD</x:v>
      </x:c>
      <x:c r="H76" s="38" t="str">
        <x:v>NO ADD — no high-confidence evidence strong enough to add this tag in the final V1 pass.</x:v>
      </x:c>
      <x:c r="I76" s="38" t="str">
        <x:v>NO ADD</x:v>
      </x:c>
      <x:c r="J76" s="38" t="str">
        <x:v>NO ADD — no high-confidence evidence strong enough to add this tag in the final V1 pass.</x:v>
      </x:c>
      <x:c r="K76" s="38" t="str">
        <x:v>NO ADD</x:v>
      </x:c>
      <x:c r="L76" s="38" t="str">
        <x:v>NO ADD — no high-confidence evidence strong enough to add this tag in the final V1 pass.</x:v>
      </x:c>
      <x:c r="M76" s="38" t="str">
        <x:v>rich</x:v>
      </x:c>
      <x:c r="N76" s="38" t="str">
        <x:v>none</x:v>
      </x:c>
      <x:c r="O76" s="38" t="str">
        <x:v>FROZEN / NO HIGH-CONFIDENCE CHANGE</x:v>
      </x:c>
      <x:c r="P76" s="38" t="str">
        <x:v>Iranian ground-meat kebab seasoned with onion and grilled on wide skewers.</x:v>
      </x:c>
      <x:c r="Q76" s="38" t="str">
        <x:v>Six-flavor V1 taxonomy frozen after this audit.</x:v>
      </x:c>
    </x:row>
    <x:row r="77" ht="56" customHeight="1">
      <x:c r="A77" s="38" t="n">
        <x:v>65</x:v>
      </x:c>
      <x:c r="B77" s="38" t="str">
        <x:v>mujadara</x:v>
      </x:c>
      <x:c r="C77" s="38" t="str">
        <x:v>Mujadara</x:v>
      </x:c>
      <x:c r="D77" s="38" t="str">
        <x:v>comforting | fresh</x:v>
      </x:c>
      <x:c r="E77" s="38" t="str">
        <x:v>NO ADD</x:v>
      </x:c>
      <x:c r="F77" s="38" t="str">
        <x:v>NO ADD — no high-confidence evidence strong enough to add this tag in the final V1 pass.</x:v>
      </x:c>
      <x:c r="G77" s="38" t="str">
        <x:v>REMOVE</x:v>
      </x:c>
      <x:c r="H77" s="38" t="str">
        <x:v>REMOVE — lentils, rice/grain, and deeply browned onions are cooked and earthy; fresh is not defining.</x:v>
      </x:c>
      <x:c r="I77" s="38" t="str">
        <x:v>NO ADD</x:v>
      </x:c>
      <x:c r="J77" s="38" t="str">
        <x:v>NO ADD — no high-confidence evidence strong enough to add this tag in the final V1 pass.</x:v>
      </x:c>
      <x:c r="K77" s="38" t="str">
        <x:v>NO ADD</x:v>
      </x:c>
      <x:c r="L77" s="38" t="str">
        <x:v>NO ADD — no high-confidence evidence strong enough to add this tag in the final V1 pass.</x:v>
      </x:c>
      <x:c r="M77" s="38" t="str">
        <x:v>comforting</x:v>
      </x:c>
      <x:c r="N77" s="38" t="str">
        <x:v>remove fresh</x:v>
      </x:c>
      <x:c r="O77" s="38" t="str">
        <x:v>HIGH</x:v>
      </x:c>
      <x:c r="P77" s="38" t="str">
        <x:v>Levantine lentils and rice topped with deeply browned onions.</x:v>
      </x:c>
      <x:c r="Q77" s="38" t="str">
        <x:v>Six-flavor V1 taxonomy frozen after this audit.</x:v>
      </x:c>
    </x:row>
    <x:row r="78" ht="56" customHeight="1">
      <x:c r="A78" s="38" t="n">
        <x:v>66</x:v>
      </x:c>
      <x:c r="B78" s="38" t="str">
        <x:v>bunny-chow</x:v>
      </x:c>
      <x:c r="C78" s="38" t="str">
        <x:v>Bunny Chow</x:v>
      </x:c>
      <x:c r="D78" s="38" t="str">
        <x:v>spicy | rich</x:v>
      </x:c>
      <x:c r="E78" s="38" t="str">
        <x:v>REMOVE</x:v>
      </x:c>
      <x:c r="F78" s="38" t="str">
        <x:v>REMOVE — the curry filling varies widely; the row does not establish heat strongly enough for a spicy recommendation.</x:v>
      </x:c>
      <x:c r="G78" s="38" t="str">
        <x:v>NO ADD</x:v>
      </x:c>
      <x:c r="H78" s="38" t="str">
        <x:v>NO ADD — no high-confidence evidence strong enough to add this tag in the final V1 pass.</x:v>
      </x:c>
      <x:c r="I78" s="38" t="str">
        <x:v>NO ADD</x:v>
      </x:c>
      <x:c r="J78" s="38" t="str">
        <x:v>NO ADD — no high-confidence evidence strong enough to add this tag in the final V1 pass.</x:v>
      </x:c>
      <x:c r="K78" s="38" t="str">
        <x:v>NO ADD</x:v>
      </x:c>
      <x:c r="L78" s="38" t="str">
        <x:v>NO ADD — no high-confidence evidence strong enough to add this tag in the final V1 pass.</x:v>
      </x:c>
      <x:c r="M78" s="38" t="str">
        <x:v>rich</x:v>
      </x:c>
      <x:c r="N78" s="38" t="str">
        <x:v>remove spicy</x:v>
      </x:c>
      <x:c r="O78" s="38" t="str">
        <x:v>HIGH</x:v>
      </x:c>
      <x:c r="P78" s="38" t="str">
        <x:v>South African hollowed bread loaf filled with a rich, spiced curry.</x:v>
      </x:c>
      <x:c r="Q78" s="38" t="str">
        <x:v>Six-flavor V1 taxonomy frozen after this audit.</x:v>
      </x:c>
    </x:row>
    <x:row r="79" ht="56" customHeight="1">
      <x:c r="A79" s="38" t="n">
        <x:v>67</x:v>
      </x:c>
      <x:c r="B79" s="38" t="str">
        <x:v>bobotie</x:v>
      </x:c>
      <x:c r="C79" s="38" t="str">
        <x:v>Bobotie</x:v>
      </x:c>
      <x:c r="D79" s="38" t="str">
        <x:v>rich | comforting</x:v>
      </x:c>
      <x:c r="E79" s="38" t="str">
        <x:v>NO ADD</x:v>
      </x:c>
      <x:c r="F79" s="38" t="str">
        <x:v>NO ADD — no high-confidence evidence strong enough to add this tag in the final V1 pass.</x:v>
      </x:c>
      <x:c r="G79" s="38" t="str">
        <x:v>NO ADD</x:v>
      </x:c>
      <x:c r="H79" s="38" t="str">
        <x:v>NO ADD — no high-confidence evidence strong enough to add this tag in the final V1 pass.</x:v>
      </x:c>
      <x:c r="I79" s="38" t="str">
        <x:v>NO ADD</x:v>
      </x:c>
      <x:c r="J79" s="38" t="str">
        <x:v>NO ADD — no high-confidence evidence strong enough to add this tag in the final V1 pass.</x:v>
      </x:c>
      <x:c r="K79" s="38" t="str">
        <x:v>NO ADD</x:v>
      </x:c>
      <x:c r="L79" s="38" t="str">
        <x:v>NO ADD — no high-confidence evidence strong enough to add this tag in the final V1 pass.</x:v>
      </x:c>
      <x:c r="M79" s="38" t="str">
        <x:v>rich | comforting</x:v>
      </x:c>
      <x:c r="N79" s="38" t="str">
        <x:v>none</x:v>
      </x:c>
      <x:c r="O79" s="38" t="str">
        <x:v>FROZEN / NO HIGH-CONFIDENCE CHANGE</x:v>
      </x:c>
      <x:c r="P79" s="38" t="str">
        <x:v>South African spiced minced-meat bake topped with a savory egg custard.</x:v>
      </x:c>
      <x:c r="Q79" s="38" t="str">
        <x:v>Six-flavor V1 taxonomy frozen after this audit.</x:v>
      </x:c>
    </x:row>
    <x:row r="80" ht="56" customHeight="1">
      <x:c r="A80" s="38" t="n">
        <x:v>68</x:v>
      </x:c>
      <x:c r="B80" s="38" t="str">
        <x:v>egusi-soup</x:v>
      </x:c>
      <x:c r="C80" s="38" t="str">
        <x:v>Egusi Soup</x:v>
      </x:c>
      <x:c r="D80" s="38" t="str">
        <x:v>rich | spicy</x:v>
      </x:c>
      <x:c r="E80" s="38" t="str">
        <x:v>KEEP</x:v>
      </x:c>
      <x:c r="F80" s="38" t="str">
        <x:v>KEEP — no high-confidence reason to remove the current tag in the final V1 pass.</x:v>
      </x:c>
      <x:c r="G80" s="38" t="str">
        <x:v>NO ADD</x:v>
      </x:c>
      <x:c r="H80" s="38" t="str">
        <x:v>NO ADD — no high-confidence evidence strong enough to add this tag in the final V1 pass.</x:v>
      </x:c>
      <x:c r="I80" s="38" t="str">
        <x:v>NO ADD</x:v>
      </x:c>
      <x:c r="J80" s="38" t="str">
        <x:v>NO ADD — no high-confidence evidence strong enough to add this tag in the final V1 pass.</x:v>
      </x:c>
      <x:c r="K80" s="38" t="str">
        <x:v>NO ADD</x:v>
      </x:c>
      <x:c r="L80" s="38" t="str">
        <x:v>NO ADD — no high-confidence evidence strong enough to add this tag in the final V1 pass.</x:v>
      </x:c>
      <x:c r="M80" s="38" t="str">
        <x:v>rich | spicy</x:v>
      </x:c>
      <x:c r="N80" s="38" t="str">
        <x:v>none</x:v>
      </x:c>
      <x:c r="O80" s="38" t="str">
        <x:v>FROZEN / NO HIGH-CONFIDENCE CHANGE</x:v>
      </x:c>
      <x:c r="P80" s="38" t="str">
        <x:v>West African soup thickened with ground melon seeds and cooked with greens, meat, or fish.</x:v>
      </x:c>
      <x:c r="Q80" s="38" t="str">
        <x:v>Six-flavor V1 taxonomy frozen after this audit.</x:v>
      </x:c>
    </x:row>
    <x:row r="81" ht="56" customHeight="1">
      <x:c r="A81" s="38" t="n">
        <x:v>69</x:v>
      </x:c>
      <x:c r="B81" s="38" t="str">
        <x:v>risotto</x:v>
      </x:c>
      <x:c r="C81" s="38" t="str">
        <x:v>Risotto</x:v>
      </x:c>
      <x:c r="D81" s="38" t="str">
        <x:v>rich | comforting</x:v>
      </x:c>
      <x:c r="E81" s="38" t="str">
        <x:v>NO ADD</x:v>
      </x:c>
      <x:c r="F81" s="38" t="str">
        <x:v>NO ADD — no high-confidence evidence strong enough to add this tag in the final V1 pass.</x:v>
      </x:c>
      <x:c r="G81" s="38" t="str">
        <x:v>NO ADD</x:v>
      </x:c>
      <x:c r="H81" s="38" t="str">
        <x:v>NO ADD — no high-confidence evidence strong enough to add this tag in the final V1 pass.</x:v>
      </x:c>
      <x:c r="I81" s="38" t="str">
        <x:v>NO ADD</x:v>
      </x:c>
      <x:c r="J81" s="38" t="str">
        <x:v>NO ADD — no high-confidence evidence strong enough to add this tag in the final V1 pass.</x:v>
      </x:c>
      <x:c r="K81" s="38" t="str">
        <x:v>NO ADD</x:v>
      </x:c>
      <x:c r="L81" s="38" t="str">
        <x:v>NO ADD — no high-confidence evidence strong enough to add this tag in the final V1 pass.</x:v>
      </x:c>
      <x:c r="M81" s="38" t="str">
        <x:v>rich | comforting</x:v>
      </x:c>
      <x:c r="N81" s="38" t="str">
        <x:v>none</x:v>
      </x:c>
      <x:c r="O81" s="38" t="str">
        <x:v>FROZEN / NO HIGH-CONFIDENCE CHANGE</x:v>
      </x:c>
      <x:c r="P81" s="38" t="str">
        <x:v>Italian short-grain rice cooked gradually with stock until creamy while the grains stay firm.</x:v>
      </x:c>
      <x:c r="Q81" s="38" t="str">
        <x:v>Six-flavor V1 taxonomy frozen after this audit.</x:v>
      </x:c>
    </x:row>
    <x:row r="82" ht="56" customHeight="1">
      <x:c r="A82" s="38" t="n">
        <x:v>70</x:v>
      </x:c>
      <x:c r="B82" s="38" t="str">
        <x:v>arancini</x:v>
      </x:c>
      <x:c r="C82" s="38" t="str">
        <x:v>Arancini</x:v>
      </x:c>
      <x:c r="D82" s="38" t="str">
        <x:v>crispy | rich</x:v>
      </x:c>
      <x:c r="E82" s="38" t="str">
        <x:v>NO ADD</x:v>
      </x:c>
      <x:c r="F82" s="38" t="str">
        <x:v>NO ADD — no high-confidence evidence strong enough to add this tag in the final V1 pass.</x:v>
      </x:c>
      <x:c r="G82" s="38" t="str">
        <x:v>NO ADD</x:v>
      </x:c>
      <x:c r="H82" s="38" t="str">
        <x:v>NO ADD — no high-confidence evidence strong enough to add this tag in the final V1 pass.</x:v>
      </x:c>
      <x:c r="I82" s="38" t="str">
        <x:v>KEEP</x:v>
      </x:c>
      <x:c r="J82" s="38" t="str">
        <x:v>KEEP — no high-confidence reason to remove the current tag in the final V1 pass.</x:v>
      </x:c>
      <x:c r="K82" s="38" t="str">
        <x:v>NO ADD</x:v>
      </x:c>
      <x:c r="L82" s="38" t="str">
        <x:v>NO ADD — no high-confidence evidence strong enough to add this tag in the final V1 pass.</x:v>
      </x:c>
      <x:c r="M82" s="38" t="str">
        <x:v>crispy | rich</x:v>
      </x:c>
      <x:c r="N82" s="38" t="str">
        <x:v>none</x:v>
      </x:c>
      <x:c r="O82" s="38" t="str">
        <x:v>FROZEN / NO HIGH-CONFIDENCE CHANGE</x:v>
      </x:c>
      <x:c r="P82" s="38" t="str">
        <x:v>Sicilian stuffed rice balls breaded and fried until crisp.</x:v>
      </x:c>
      <x:c r="Q82" s="38" t="str">
        <x:v>Six-flavor V1 taxonomy frozen after this audit.</x:v>
      </x:c>
    </x:row>
    <x:row r="83" ht="56" customHeight="1">
      <x:c r="A83" s="38" t="n">
        <x:v>71</x:v>
      </x:c>
      <x:c r="B83" s="38" t="str">
        <x:v>schnitzel</x:v>
      </x:c>
      <x:c r="C83" s="38" t="str">
        <x:v>Schnitzel</x:v>
      </x:c>
      <x:c r="D83" s="38" t="str">
        <x:v>crispy | comforting</x:v>
      </x:c>
      <x:c r="E83" s="38" t="str">
        <x:v>NO ADD</x:v>
      </x:c>
      <x:c r="F83" s="38" t="str">
        <x:v>NO ADD — no high-confidence evidence strong enough to add this tag in the final V1 pass.</x:v>
      </x:c>
      <x:c r="G83" s="38" t="str">
        <x:v>NO ADD</x:v>
      </x:c>
      <x:c r="H83" s="38" t="str">
        <x:v>NO ADD — no high-confidence evidence strong enough to add this tag in the final V1 pass.</x:v>
      </x:c>
      <x:c r="I83" s="38" t="str">
        <x:v>KEEP</x:v>
      </x:c>
      <x:c r="J83" s="38" t="str">
        <x:v>KEEP — no high-confidence reason to remove the current tag in the final V1 pass.</x:v>
      </x:c>
      <x:c r="K83" s="38" t="str">
        <x:v>NO ADD</x:v>
      </x:c>
      <x:c r="L83" s="38" t="str">
        <x:v>NO ADD — no high-confidence evidence strong enough to add this tag in the final V1 pass.</x:v>
      </x:c>
      <x:c r="M83" s="38" t="str">
        <x:v>crispy | comforting</x:v>
      </x:c>
      <x:c r="N83" s="38" t="str">
        <x:v>none</x:v>
      </x:c>
      <x:c r="O83" s="38" t="str">
        <x:v>FROZEN / NO HIGH-CONFIDENCE CHANGE</x:v>
      </x:c>
      <x:c r="P83" s="38" t="str">
        <x:v>Thin breaded cutlet fried until golden and crisp, strongly associated with Austrian cuisine.</x:v>
      </x:c>
      <x:c r="Q83" s="38" t="str">
        <x:v>Six-flavor V1 taxonomy frozen after this audit.</x:v>
      </x:c>
    </x:row>
    <x:row r="84" ht="56" customHeight="1">
      <x:c r="A84" s="38" t="n">
        <x:v>72</x:v>
      </x:c>
      <x:c r="B84" s="38" t="str">
        <x:v>empanadas</x:v>
      </x:c>
      <x:c r="C84" s="38" t="str">
        <x:v>Empanadas</x:v>
      </x:c>
      <x:c r="D84" s="38" t="str">
        <x:v>comforting</x:v>
      </x:c>
      <x:c r="E84" s="38" t="str">
        <x:v>NO ADD</x:v>
      </x:c>
      <x:c r="F84" s="38" t="str">
        <x:v>NO ADD — no high-confidence evidence strong enough to add this tag in the final V1 pass.</x:v>
      </x:c>
      <x:c r="G84" s="38" t="str">
        <x:v>NO ADD</x:v>
      </x:c>
      <x:c r="H84" s="38" t="str">
        <x:v>NO ADD — no high-confidence evidence strong enough to add this tag in the final V1 pass.</x:v>
      </x:c>
      <x:c r="I84" s="38" t="str">
        <x:v>NO ADD</x:v>
      </x:c>
      <x:c r="J84" s="38" t="str">
        <x:v>NO ADD — no high-confidence evidence strong enough to add this tag in the final V1 pass.</x:v>
      </x:c>
      <x:c r="K84" s="38" t="str">
        <x:v>NO ADD</x:v>
      </x:c>
      <x:c r="L84" s="38" t="str">
        <x:v>NO ADD — no high-confidence evidence strong enough to add this tag in the final V1 pass.</x:v>
      </x:c>
      <x:c r="M84" s="38" t="str">
        <x:v>comforting</x:v>
      </x:c>
      <x:c r="N84" s="38" t="str">
        <x:v>none</x:v>
      </x:c>
      <x:c r="O84" s="38" t="str">
        <x:v>FROZEN / NO HIGH-CONFIDENCE CHANGE</x:v>
      </x:c>
      <x:c r="P84" s="38" t="str">
        <x:v>Filled pastries baked or fried with meat, cheese, vegetables, or other regional fillings.</x:v>
      </x:c>
      <x:c r="Q84" s="38" t="str">
        <x:v>Six-flavor V1 taxonomy frozen after this audit.</x:v>
      </x:c>
    </x:row>
    <x:row r="85" ht="56" customHeight="1">
      <x:c r="A85" s="38" t="n">
        <x:v>73</x:v>
      </x:c>
      <x:c r="B85" s="38" t="str">
        <x:v>feijoada</x:v>
      </x:c>
      <x:c r="C85" s="38" t="str">
        <x:v>Feijoada</x:v>
      </x:c>
      <x:c r="D85" s="38" t="str">
        <x:v>rich | comforting</x:v>
      </x:c>
      <x:c r="E85" s="38" t="str">
        <x:v>NO ADD</x:v>
      </x:c>
      <x:c r="F85" s="38" t="str">
        <x:v>NO ADD — no high-confidence evidence strong enough to add this tag in the final V1 pass.</x:v>
      </x:c>
      <x:c r="G85" s="38" t="str">
        <x:v>NO ADD</x:v>
      </x:c>
      <x:c r="H85" s="38" t="str">
        <x:v>NO ADD — no high-confidence evidence strong enough to add this tag in the final V1 pass.</x:v>
      </x:c>
      <x:c r="I85" s="38" t="str">
        <x:v>NO ADD</x:v>
      </x:c>
      <x:c r="J85" s="38" t="str">
        <x:v>NO ADD — no high-confidence evidence strong enough to add this tag in the final V1 pass.</x:v>
      </x:c>
      <x:c r="K85" s="38" t="str">
        <x:v>NO ADD</x:v>
      </x:c>
      <x:c r="L85" s="38" t="str">
        <x:v>NO ADD — no high-confidence evidence strong enough to add this tag in the final V1 pass.</x:v>
      </x:c>
      <x:c r="M85" s="38" t="str">
        <x:v>rich | comforting</x:v>
      </x:c>
      <x:c r="N85" s="38" t="str">
        <x:v>none</x:v>
      </x:c>
      <x:c r="O85" s="38" t="str">
        <x:v>FROZEN / NO HIGH-CONFIDENCE CHANGE</x:v>
      </x:c>
      <x:c r="P85" s="38" t="str">
        <x:v>Brazilian black-bean and meat stew served with rice and traditional accompaniments.</x:v>
      </x:c>
      <x:c r="Q85" s="38" t="str">
        <x:v>Six-flavor V1 taxonomy frozen after this audit.</x:v>
      </x:c>
    </x:row>
    <x:row r="86" ht="56" customHeight="1">
      <x:c r="A86" s="38" t="n">
        <x:v>74</x:v>
      </x:c>
      <x:c r="B86" s="38" t="str">
        <x:v>macaroni-and-cheese</x:v>
      </x:c>
      <x:c r="C86" s="38" t="str">
        <x:v>Macaroni and Cheese</x:v>
      </x:c>
      <x:c r="D86" s="38" t="str">
        <x:v>rich | comforting</x:v>
      </x:c>
      <x:c r="E86" s="38" t="str">
        <x:v>NO ADD</x:v>
      </x:c>
      <x:c r="F86" s="38" t="str">
        <x:v>NO ADD — no high-confidence evidence strong enough to add this tag in the final V1 pass.</x:v>
      </x:c>
      <x:c r="G86" s="38" t="str">
        <x:v>NO ADD</x:v>
      </x:c>
      <x:c r="H86" s="38" t="str">
        <x:v>NO ADD — no high-confidence evidence strong enough to add this tag in the final V1 pass.</x:v>
      </x:c>
      <x:c r="I86" s="38" t="str">
        <x:v>NO ADD</x:v>
      </x:c>
      <x:c r="J86" s="38" t="str">
        <x:v>NO ADD — no high-confidence evidence strong enough to add this tag in the final V1 pass.</x:v>
      </x:c>
      <x:c r="K86" s="38" t="str">
        <x:v>NO ADD</x:v>
      </x:c>
      <x:c r="L86" s="38" t="str">
        <x:v>NO ADD — no high-confidence evidence strong enough to add this tag in the final V1 pass.</x:v>
      </x:c>
      <x:c r="M86" s="38" t="str">
        <x:v>rich | comforting</x:v>
      </x:c>
      <x:c r="N86" s="38" t="str">
        <x:v>none</x:v>
      </x:c>
      <x:c r="O86" s="38" t="str">
        <x:v>FROZEN / NO HIGH-CONFIDENCE CHANGE</x:v>
      </x:c>
      <x:c r="P86" s="38" t="str">
        <x:v>Macaroni pasta coated in a rich cheese sauce and baked or served stovetop.</x:v>
      </x:c>
      <x:c r="Q86" s="38" t="str">
        <x:v>Six-flavor V1 taxonomy frozen after this audit.</x:v>
      </x:c>
    </x:row>
    <x:row r="87" ht="56" customHeight="1">
      <x:c r="A87" s="38" t="n">
        <x:v>75</x:v>
      </x:c>
      <x:c r="B87" s="38" t="str">
        <x:v>pulled-pork-sandwich</x:v>
      </x:c>
      <x:c r="C87" s="38" t="str">
        <x:v>Pulled Pork Sandwich</x:v>
      </x:c>
      <x:c r="D87" s="38" t="str">
        <x:v>rich | comforting</x:v>
      </x:c>
      <x:c r="E87" s="38" t="str">
        <x:v>NO ADD</x:v>
      </x:c>
      <x:c r="F87" s="38" t="str">
        <x:v>NO ADD — no high-confidence evidence strong enough to add this tag in the final V1 pass.</x:v>
      </x:c>
      <x:c r="G87" s="38" t="str">
        <x:v>NO ADD</x:v>
      </x:c>
      <x:c r="H87" s="38" t="str">
        <x:v>NO ADD — no high-confidence evidence strong enough to add this tag in the final V1 pass.</x:v>
      </x:c>
      <x:c r="I87" s="38" t="str">
        <x:v>NO ADD</x:v>
      </x:c>
      <x:c r="J87" s="38" t="str">
        <x:v>NO ADD — no high-confidence evidence strong enough to add this tag in the final V1 pass.</x:v>
      </x:c>
      <x:c r="K87" s="38" t="str">
        <x:v>NO ADD</x:v>
      </x:c>
      <x:c r="L87" s="38" t="str">
        <x:v>NO ADD — no high-confidence evidence strong enough to add this tag in the final V1 pass.</x:v>
      </x:c>
      <x:c r="M87" s="38" t="str">
        <x:v>rich | comforting</x:v>
      </x:c>
      <x:c r="N87" s="38" t="str">
        <x:v>none</x:v>
      </x:c>
      <x:c r="O87" s="38" t="str">
        <x:v>FROZEN / NO HIGH-CONFIDENCE CHANGE</x:v>
      </x:c>
      <x:c r="P87" s="38" t="str">
        <x:v>Slow-cooked shredded pork piled into a bun with barbecue sauce and optional slaw.</x:v>
      </x:c>
      <x:c r="Q87" s="38" t="str">
        <x:v>Six-flavor V1 taxonomy frozen after this audit.</x:v>
      </x:c>
    </x:row>
    <x:row r="88" ht="56" customHeight="1">
      <x:c r="A88" s="38" t="n">
        <x:v>76</x:v>
      </x:c>
      <x:c r="B88" s="38" t="str">
        <x:v>dandan-noodles</x:v>
      </x:c>
      <x:c r="C88" s="38" t="str">
        <x:v>Dandan Noodles</x:v>
      </x:c>
      <x:c r="D88" s="38" t="str">
        <x:v>spicy | rich</x:v>
      </x:c>
      <x:c r="E88" s="38" t="str">
        <x:v>KEEP</x:v>
      </x:c>
      <x:c r="F88" s="38" t="str">
        <x:v>KEEP — no high-confidence reason to remove the current tag in the final V1 pass.</x:v>
      </x:c>
      <x:c r="G88" s="38" t="str">
        <x:v>NO ADD</x:v>
      </x:c>
      <x:c r="H88" s="38" t="str">
        <x:v>NO ADD — no high-confidence evidence strong enough to add this tag in the final V1 pass.</x:v>
      </x:c>
      <x:c r="I88" s="38" t="str">
        <x:v>NO ADD</x:v>
      </x:c>
      <x:c r="J88" s="38" t="str">
        <x:v>NO ADD — no high-confidence evidence strong enough to add this tag in the final V1 pass.</x:v>
      </x:c>
      <x:c r="K88" s="38" t="str">
        <x:v>NO ADD</x:v>
      </x:c>
      <x:c r="L88" s="38" t="str">
        <x:v>NO ADD — no high-confidence evidence strong enough to add this tag in the final V1 pass.</x:v>
      </x:c>
      <x:c r="M88" s="38" t="str">
        <x:v>spicy | rich</x:v>
      </x:c>
      <x:c r="N88" s="38" t="str">
        <x:v>none</x:v>
      </x:c>
      <x:c r="O88" s="38" t="str">
        <x:v>FROZEN / NO HIGH-CONFIDENCE CHANGE</x:v>
      </x:c>
      <x:c r="P88" s="38" t="str">
        <x:v>Sichuan wheat noodles coated in a spicy chile-and-pepper sauce with savory toppings.</x:v>
      </x:c>
      <x:c r="Q88" s="38" t="str">
        <x:v>Six-flavor V1 taxonomy frozen after this audit.</x:v>
      </x:c>
    </x:row>
    <x:row r="89" ht="56" customHeight="1">
      <x:c r="A89" s="38" t="n">
        <x:v>77</x:v>
      </x:c>
      <x:c r="B89" s="38" t="str">
        <x:v>hot-and-sour-soup</x:v>
      </x:c>
      <x:c r="C89" s="38" t="str">
        <x:v>Hot and Sour Soup</x:v>
      </x:c>
      <x:c r="D89" s="38" t="str">
        <x:v>spicy | tangy</x:v>
      </x:c>
      <x:c r="E89" s="38" t="str">
        <x:v>KEEP</x:v>
      </x:c>
      <x:c r="F89" s="38" t="str">
        <x:v>KEEP — no high-confidence reason to remove the current tag in the final V1 pass.</x:v>
      </x:c>
      <x:c r="G89" s="38" t="str">
        <x:v>NO ADD</x:v>
      </x:c>
      <x:c r="H89" s="38" t="str">
        <x:v>NO ADD — no high-confidence evidence strong enough to add this tag in the final V1 pass.</x:v>
      </x:c>
      <x:c r="I89" s="38" t="str">
        <x:v>NO ADD</x:v>
      </x:c>
      <x:c r="J89" s="38" t="str">
        <x:v>NO ADD — no high-confidence evidence strong enough to add this tag in the final V1 pass.</x:v>
      </x:c>
      <x:c r="K89" s="38" t="str">
        <x:v>KEEP</x:v>
      </x:c>
      <x:c r="L89" s="38" t="str">
        <x:v>KEEP — no high-confidence reason to remove the current tag in the final V1 pass.</x:v>
      </x:c>
      <x:c r="M89" s="38" t="str">
        <x:v>spicy | tangy</x:v>
      </x:c>
      <x:c r="N89" s="38" t="str">
        <x:v>none</x:v>
      </x:c>
      <x:c r="O89" s="38" t="str">
        <x:v>FROZEN / NO HIGH-CONFIDENCE CHANGE</x:v>
      </x:c>
      <x:c r="P89" s="38" t="str">
        <x:v>Chinese soup balancing vinegar sourness, white-pepper heat, tofu, mushrooms, and bamboo shoots.</x:v>
      </x:c>
      <x:c r="Q89" s="38" t="str">
        <x:v>Six-flavor V1 taxonomy frozen after this audit.</x:v>
      </x:c>
    </x:row>
    <x:row r="90" ht="56" customHeight="1">
      <x:c r="A90" s="38" t="n">
        <x:v>78</x:v>
      </x:c>
      <x:c r="B90" s="38" t="str">
        <x:v>gimbap</x:v>
      </x:c>
      <x:c r="C90" s="38" t="str">
        <x:v>Gimbap</x:v>
      </x:c>
      <x:c r="D90" s="38" t="str">
        <x:v>fresh</x:v>
      </x:c>
      <x:c r="E90" s="38" t="str">
        <x:v>NO ADD</x:v>
      </x:c>
      <x:c r="F90" s="38" t="str">
        <x:v>NO ADD — no high-confidence evidence strong enough to add this tag in the final V1 pass.</x:v>
      </x:c>
      <x:c r="G90" s="38" t="str">
        <x:v>KEEP</x:v>
      </x:c>
      <x:c r="H90" s="38" t="str">
        <x:v>KEEP — no high-confidence reason to remove the current tag in the final V1 pass.</x:v>
      </x:c>
      <x:c r="I90" s="38" t="str">
        <x:v>NO ADD</x:v>
      </x:c>
      <x:c r="J90" s="38" t="str">
        <x:v>NO ADD — no high-confidence evidence strong enough to add this tag in the final V1 pass.</x:v>
      </x:c>
      <x:c r="K90" s="38" t="str">
        <x:v>NO ADD</x:v>
      </x:c>
      <x:c r="L90" s="38" t="str">
        <x:v>NO ADD — no high-confidence evidence strong enough to add this tag in the final V1 pass.</x:v>
      </x:c>
      <x:c r="M90" s="38" t="str">
        <x:v>fresh</x:v>
      </x:c>
      <x:c r="N90" s="38" t="str">
        <x:v>none</x:v>
      </x:c>
      <x:c r="O90" s="38" t="str">
        <x:v>FROZEN / NO HIGH-CONFIDENCE CHANGE</x:v>
      </x:c>
      <x:c r="P90" s="38" t="str">
        <x:v>Korean seaweed rice rolls filled with vegetables, egg, and savory proteins.</x:v>
      </x:c>
      <x:c r="Q90" s="38" t="str">
        <x:v>Six-flavor V1 taxonomy frozen after this audit.</x:v>
      </x:c>
    </x:row>
    <x:row r="91" ht="56" customHeight="1">
      <x:c r="A91" s="38" t="n">
        <x:v>79</x:v>
      </x:c>
      <x:c r="B91" s="38" t="str">
        <x:v>nasi-lemak</x:v>
      </x:c>
      <x:c r="C91" s="38" t="str">
        <x:v>Nasi Lemak</x:v>
      </x:c>
      <x:c r="D91" s="38" t="str">
        <x:v>rich | spicy</x:v>
      </x:c>
      <x:c r="E91" s="38" t="str">
        <x:v>KEEP</x:v>
      </x:c>
      <x:c r="F91" s="38" t="str">
        <x:v>KEEP — no high-confidence reason to remove the current tag in the final V1 pass.</x:v>
      </x:c>
      <x:c r="G91" s="38" t="str">
        <x:v>NO ADD</x:v>
      </x:c>
      <x:c r="H91" s="38" t="str">
        <x:v>NO ADD — no high-confidence evidence strong enough to add this tag in the final V1 pass.</x:v>
      </x:c>
      <x:c r="I91" s="38" t="str">
        <x:v>NO ADD</x:v>
      </x:c>
      <x:c r="J91" s="38" t="str">
        <x:v>NO ADD — no high-confidence evidence strong enough to add this tag in the final V1 pass.</x:v>
      </x:c>
      <x:c r="K91" s="38" t="str">
        <x:v>NO ADD</x:v>
      </x:c>
      <x:c r="L91" s="38" t="str">
        <x:v>NO ADD — no high-confidence evidence strong enough to add this tag in the final V1 pass.</x:v>
      </x:c>
      <x:c r="M91" s="38" t="str">
        <x:v>rich | spicy</x:v>
      </x:c>
      <x:c r="N91" s="38" t="str">
        <x:v>none</x:v>
      </x:c>
      <x:c r="O91" s="38" t="str">
        <x:v>FROZEN / NO HIGH-CONFIDENCE CHANGE</x:v>
      </x:c>
      <x:c r="P91" s="38" t="str">
        <x:v>Malay coconut rice served with sambal, anchovies, peanuts, egg, cucumber, and varied sides.</x:v>
      </x:c>
      <x:c r="Q91" s="38" t="str">
        <x:v>Six-flavor V1 taxonomy frozen after this audit.</x:v>
      </x:c>
    </x:row>
    <x:row r="92" ht="56" customHeight="1">
      <x:c r="A92" s="38" t="n">
        <x:v>80</x:v>
      </x:c>
      <x:c r="B92" s="38" t="str">
        <x:v>fried-lumpia</x:v>
      </x:c>
      <x:c r="C92" s="38" t="str">
        <x:v>Fried Lumpia</x:v>
      </x:c>
      <x:c r="D92" s="38" t="str">
        <x:v>crispy</x:v>
      </x:c>
      <x:c r="E92" s="38" t="str">
        <x:v>NO ADD</x:v>
      </x:c>
      <x:c r="F92" s="38" t="str">
        <x:v>NO ADD — no high-confidence evidence strong enough to add this tag in the final V1 pass.</x:v>
      </x:c>
      <x:c r="G92" s="38" t="str">
        <x:v>NO ADD</x:v>
      </x:c>
      <x:c r="H92" s="38" t="str">
        <x:v>NO ADD — no high-confidence evidence strong enough to add this tag in the final V1 pass.</x:v>
      </x:c>
      <x:c r="I92" s="38" t="str">
        <x:v>KEEP</x:v>
      </x:c>
      <x:c r="J92" s="38" t="str">
        <x:v>KEEP — no high-confidence reason to remove the current tag in the final V1 pass.</x:v>
      </x:c>
      <x:c r="K92" s="38" t="str">
        <x:v>NO ADD</x:v>
      </x:c>
      <x:c r="L92" s="38" t="str">
        <x:v>NO ADD — no high-confidence evidence strong enough to add this tag in the final V1 pass.</x:v>
      </x:c>
      <x:c r="M92" s="38" t="str">
        <x:v>crispy</x:v>
      </x:c>
      <x:c r="N92" s="38" t="str">
        <x:v>none</x:v>
      </x:c>
      <x:c r="O92" s="38" t="str">
        <x:v>FROZEN / NO HIGH-CONFIDENCE CHANGE</x:v>
      </x:c>
      <x:c r="P92" s="38" t="str">
        <x:v>Filipino fried spring rolls with thin wrappers and savory vegetable or meat fillings.</x:v>
      </x:c>
      <x:c r="Q92" s="38" t="str">
        <x:v>Six-flavor V1 taxonomy frozen after this audit.</x:v>
      </x:c>
    </x:row>
    <x:row r="93" ht="56" customHeight="1">
      <x:c r="A93" s="38" t="n">
        <x:v>81</x:v>
      </x:c>
      <x:c r="B93" s="38" t="str">
        <x:v>ayam-bakar</x:v>
      </x:c>
      <x:c r="C93" s="38" t="str">
        <x:v>Ayam Bakar</x:v>
      </x:c>
      <x:c r="D93" s="38" t="str">
        <x:v>spicy | rich</x:v>
      </x:c>
      <x:c r="E93" s="38" t="str">
        <x:v>KEEP</x:v>
      </x:c>
      <x:c r="F93" s="38" t="str">
        <x:v>KEEP — no high-confidence reason to remove the current tag in the final V1 pass.</x:v>
      </x:c>
      <x:c r="G93" s="38" t="str">
        <x:v>NO ADD</x:v>
      </x:c>
      <x:c r="H93" s="38" t="str">
        <x:v>NO ADD — no high-confidence evidence strong enough to add this tag in the final V1 pass.</x:v>
      </x:c>
      <x:c r="I93" s="38" t="str">
        <x:v>NO ADD</x:v>
      </x:c>
      <x:c r="J93" s="38" t="str">
        <x:v>NO ADD — no high-confidence evidence strong enough to add this tag in the final V1 pass.</x:v>
      </x:c>
      <x:c r="K93" s="38" t="str">
        <x:v>NO ADD</x:v>
      </x:c>
      <x:c r="L93" s="38" t="str">
        <x:v>NO ADD — no high-confidence evidence strong enough to add this tag in the final V1 pass.</x:v>
      </x:c>
      <x:c r="M93" s="38" t="str">
        <x:v>spicy | rich</x:v>
      </x:c>
      <x:c r="N93" s="38" t="str">
        <x:v>none</x:v>
      </x:c>
      <x:c r="O93" s="38" t="str">
        <x:v>FROZEN / NO HIGH-CONFIDENCE CHANGE</x:v>
      </x:c>
      <x:c r="P93" s="38" t="str">
        <x:v>Indonesian charcoal-grilled chicken marinated with spices, aromatics, and often sweet soy.</x:v>
      </x:c>
      <x:c r="Q93" s="38" t="str">
        <x:v>Six-flavor V1 taxonomy frozen after this audit.</x:v>
      </x:c>
    </x:row>
    <x:row r="94" ht="56" customHeight="1">
      <x:c r="A94" s="38" t="n">
        <x:v>82</x:v>
      </x:c>
      <x:c r="B94" s="38" t="str">
        <x:v>rendang</x:v>
      </x:c>
      <x:c r="C94" s="38" t="str">
        <x:v>Rendang</x:v>
      </x:c>
      <x:c r="D94" s="38" t="str">
        <x:v>rich | spicy</x:v>
      </x:c>
      <x:c r="E94" s="38" t="str">
        <x:v>KEEP</x:v>
      </x:c>
      <x:c r="F94" s="38" t="str">
        <x:v>KEEP — no high-confidence reason to remove the current tag in the final V1 pass.</x:v>
      </x:c>
      <x:c r="G94" s="38" t="str">
        <x:v>NO ADD</x:v>
      </x:c>
      <x:c r="H94" s="38" t="str">
        <x:v>NO ADD — no high-confidence evidence strong enough to add this tag in the final V1 pass.</x:v>
      </x:c>
      <x:c r="I94" s="38" t="str">
        <x:v>NO ADD</x:v>
      </x:c>
      <x:c r="J94" s="38" t="str">
        <x:v>NO ADD — no high-confidence evidence strong enough to add this tag in the final V1 pass.</x:v>
      </x:c>
      <x:c r="K94" s="38" t="str">
        <x:v>NO ADD</x:v>
      </x:c>
      <x:c r="L94" s="38" t="str">
        <x:v>NO ADD — no high-confidence evidence strong enough to add this tag in the final V1 pass.</x:v>
      </x:c>
      <x:c r="M94" s="38" t="str">
        <x:v>rich | spicy</x:v>
      </x:c>
      <x:c r="N94" s="38" t="str">
        <x:v>none</x:v>
      </x:c>
      <x:c r="O94" s="38" t="str">
        <x:v>FROZEN / NO HIGH-CONFIDENCE CHANGE</x:v>
      </x:c>
      <x:c r="P94" s="38" t="str">
        <x:v>Slow-cooked spiced meat reduced in coconut milk until deeply rich and concentrated.</x:v>
      </x:c>
      <x:c r="Q94" s="38" t="str">
        <x:v>Six-flavor V1 taxonomy frozen after this audit.</x:v>
      </x:c>
    </x:row>
    <x:row r="95" ht="56" customHeight="1">
      <x:c r="A95" s="38" t="n">
        <x:v>83</x:v>
      </x:c>
      <x:c r="B95" s="38" t="str">
        <x:v>kottu-roti</x:v>
      </x:c>
      <x:c r="C95" s="38" t="str">
        <x:v>Kottu Roti</x:v>
      </x:c>
      <x:c r="D95" s="38" t="str">
        <x:v>spicy | crispy</x:v>
      </x:c>
      <x:c r="E95" s="38" t="str">
        <x:v>REMOVE</x:v>
      </x:c>
      <x:c r="F95" s="38" t="str">
        <x:v>REMOVE — the row describes curry and spices but does not establish chile heat as a consistent defining trait.</x:v>
      </x:c>
      <x:c r="G95" s="38" t="str">
        <x:v>NO ADD</x:v>
      </x:c>
      <x:c r="H95" s="38" t="str">
        <x:v>NO ADD — no high-confidence evidence strong enough to add this tag in the final V1 pass.</x:v>
      </x:c>
      <x:c r="I95" s="38" t="str">
        <x:v>KEEP</x:v>
      </x:c>
      <x:c r="J95" s="38" t="str">
        <x:v>KEEP — no high-confidence reason to remove the current tag in the final V1 pass.</x:v>
      </x:c>
      <x:c r="K95" s="38" t="str">
        <x:v>NO ADD</x:v>
      </x:c>
      <x:c r="L95" s="38" t="str">
        <x:v>NO ADD — no high-confidence evidence strong enough to add this tag in the final V1 pass.</x:v>
      </x:c>
      <x:c r="M95" s="38" t="str">
        <x:v>crispy</x:v>
      </x:c>
      <x:c r="N95" s="38" t="str">
        <x:v>remove spicy</x:v>
      </x:c>
      <x:c r="O95" s="38" t="str">
        <x:v>HIGH</x:v>
      </x:c>
      <x:c r="P95" s="38" t="str">
        <x:v>Sri Lankan chopped roti stir-fried on a griddle with vegetables, egg, curry, and optional meat.</x:v>
      </x:c>
      <x:c r="Q95" s="38" t="str">
        <x:v>Six-flavor V1 taxonomy frozen after this audit.</x:v>
      </x:c>
    </x:row>
    <x:row r="96" ht="56" customHeight="1">
      <x:c r="A96" s="38" t="n">
        <x:v>84</x:v>
      </x:c>
      <x:c r="B96" s="38" t="str">
        <x:v>nihari</x:v>
      </x:c>
      <x:c r="C96" s="38" t="str">
        <x:v>Nihari</x:v>
      </x:c>
      <x:c r="D96" s="38" t="str">
        <x:v>rich | spicy</x:v>
      </x:c>
      <x:c r="E96" s="38" t="str">
        <x:v>REMOVE</x:v>
      </x:c>
      <x:c r="F96" s="38" t="str">
        <x:v>REMOVE — the row describes warming spices and a rich broth rather than explicit heat.</x:v>
      </x:c>
      <x:c r="G96" s="38" t="str">
        <x:v>NO ADD</x:v>
      </x:c>
      <x:c r="H96" s="38" t="str">
        <x:v>NO ADD — no high-confidence evidence strong enough to add this tag in the final V1 pass.</x:v>
      </x:c>
      <x:c r="I96" s="38" t="str">
        <x:v>NO ADD</x:v>
      </x:c>
      <x:c r="J96" s="38" t="str">
        <x:v>NO ADD — no high-confidence evidence strong enough to add this tag in the final V1 pass.</x:v>
      </x:c>
      <x:c r="K96" s="38" t="str">
        <x:v>NO ADD</x:v>
      </x:c>
      <x:c r="L96" s="38" t="str">
        <x:v>NO ADD — no high-confidence evidence strong enough to add this tag in the final V1 pass.</x:v>
      </x:c>
      <x:c r="M96" s="38" t="str">
        <x:v>rich</x:v>
      </x:c>
      <x:c r="N96" s="38" t="str">
        <x:v>remove spicy</x:v>
      </x:c>
      <x:c r="O96" s="38" t="str">
        <x:v>HIGH</x:v>
      </x:c>
      <x:c r="P96" s="38" t="str">
        <x:v>Slow-cooked South Asian meat stew with warming spices, marrow, and a deeply savory broth.</x:v>
      </x:c>
      <x:c r="Q96" s="38" t="str">
        <x:v>Six-flavor V1 taxonomy frozen after this audit.</x:v>
      </x:c>
    </x:row>
    <x:row r="97" ht="56" customHeight="1">
      <x:c r="A97" s="38" t="n">
        <x:v>85</x:v>
      </x:c>
      <x:c r="B97" s="38" t="str">
        <x:v>seekh-kebab</x:v>
      </x:c>
      <x:c r="C97" s="38" t="str">
        <x:v>Seekh Kebab</x:v>
      </x:c>
      <x:c r="D97" s="38" t="str">
        <x:v>spicy</x:v>
      </x:c>
      <x:c r="E97" s="38" t="str">
        <x:v>KEEP</x:v>
      </x:c>
      <x:c r="F97" s="38" t="str">
        <x:v>KEEP — no high-confidence reason to remove the current tag in the final V1 pass.</x:v>
      </x:c>
      <x:c r="G97" s="38" t="str">
        <x:v>NO ADD</x:v>
      </x:c>
      <x:c r="H97" s="38" t="str">
        <x:v>NO ADD — no high-confidence evidence strong enough to add this tag in the final V1 pass.</x:v>
      </x:c>
      <x:c r="I97" s="38" t="str">
        <x:v>NO ADD</x:v>
      </x:c>
      <x:c r="J97" s="38" t="str">
        <x:v>NO ADD — no high-confidence evidence strong enough to add this tag in the final V1 pass.</x:v>
      </x:c>
      <x:c r="K97" s="38" t="str">
        <x:v>NO ADD</x:v>
      </x:c>
      <x:c r="L97" s="38" t="str">
        <x:v>NO ADD — no high-confidence evidence strong enough to add this tag in the final V1 pass.</x:v>
      </x:c>
      <x:c r="M97" s="38" t="str">
        <x:v>spicy</x:v>
      </x:c>
      <x:c r="N97" s="38" t="str">
        <x:v>none</x:v>
      </x:c>
      <x:c r="O97" s="38" t="str">
        <x:v>FROZEN / NO HIGH-CONFIDENCE CHANGE</x:v>
      </x:c>
      <x:c r="P97" s="38" t="str">
        <x:v>Spiced minced meat shaped around skewers and grilled over intense heat.</x:v>
      </x:c>
      <x:c r="Q97" s="38" t="str">
        <x:v>Six-flavor V1 taxonomy frozen after this audit.</x:v>
      </x:c>
    </x:row>
    <x:row r="98" ht="56" customHeight="1">
      <x:c r="A98" s="38" t="n">
        <x:v>86</x:v>
      </x:c>
      <x:c r="B98" s="38" t="str">
        <x:v>thukpa</x:v>
      </x:c>
      <x:c r="C98" s="38" t="str">
        <x:v>Thukpa</x:v>
      </x:c>
      <x:c r="D98" s="38" t="str">
        <x:v>comforting | fresh</x:v>
      </x:c>
      <x:c r="E98" s="38" t="str">
        <x:v>NO ADD</x:v>
      </x:c>
      <x:c r="F98" s="38" t="str">
        <x:v>NO ADD — no high-confidence evidence strong enough to add this tag in the final V1 pass.</x:v>
      </x:c>
      <x:c r="G98" s="38" t="str">
        <x:v>KEEP</x:v>
      </x:c>
      <x:c r="H98" s="38" t="str">
        <x:v>KEEP — no high-confidence reason to remove the current tag in the final V1 pass.</x:v>
      </x:c>
      <x:c r="I98" s="38" t="str">
        <x:v>NO ADD</x:v>
      </x:c>
      <x:c r="J98" s="38" t="str">
        <x:v>NO ADD — no high-confidence evidence strong enough to add this tag in the final V1 pass.</x:v>
      </x:c>
      <x:c r="K98" s="38" t="str">
        <x:v>NO ADD</x:v>
      </x:c>
      <x:c r="L98" s="38" t="str">
        <x:v>NO ADD — no high-confidence evidence strong enough to add this tag in the final V1 pass.</x:v>
      </x:c>
      <x:c r="M98" s="38" t="str">
        <x:v>comforting | fresh</x:v>
      </x:c>
      <x:c r="N98" s="38" t="str">
        <x:v>none</x:v>
      </x:c>
      <x:c r="O98" s="38" t="str">
        <x:v>FROZEN / NO HIGH-CONFIDENCE CHANGE</x:v>
      </x:c>
      <x:c r="P98" s="38" t="str">
        <x:v>Tibetan and Nepalese noodle soup with vegetables, herbs, and optional meat or egg.</x:v>
      </x:c>
      <x:c r="Q98" s="38" t="str">
        <x:v>Six-flavor V1 taxonomy frozen after this audit.</x:v>
      </x:c>
    </x:row>
    <x:row r="99" ht="56" customHeight="1">
      <x:c r="A99" s="38" t="n">
        <x:v>87</x:v>
      </x:c>
      <x:c r="B99" s="38" t="str">
        <x:v>kibbeh</x:v>
      </x:c>
      <x:c r="C99" s="38" t="str">
        <x:v>Kibbeh</x:v>
      </x:c>
      <x:c r="D99" s="38" t="str">
        <x:v>crispy | rich</x:v>
      </x:c>
      <x:c r="E99" s="38" t="str">
        <x:v>NO ADD</x:v>
      </x:c>
      <x:c r="F99" s="38" t="str">
        <x:v>NO ADD — no high-confidence evidence strong enough to add this tag in the final V1 pass.</x:v>
      </x:c>
      <x:c r="G99" s="38" t="str">
        <x:v>NO ADD</x:v>
      </x:c>
      <x:c r="H99" s="38" t="str">
        <x:v>NO ADD — no high-confidence evidence strong enough to add this tag in the final V1 pass.</x:v>
      </x:c>
      <x:c r="I99" s="38" t="str">
        <x:v>KEEP</x:v>
      </x:c>
      <x:c r="J99" s="38" t="str">
        <x:v>KEEP — no high-confidence reason to remove the current tag in the final V1 pass.</x:v>
      </x:c>
      <x:c r="K99" s="38" t="str">
        <x:v>NO ADD</x:v>
      </x:c>
      <x:c r="L99" s="38" t="str">
        <x:v>NO ADD — no high-confidence evidence strong enough to add this tag in the final V1 pass.</x:v>
      </x:c>
      <x:c r="M99" s="38" t="str">
        <x:v>crispy | rich</x:v>
      </x:c>
      <x:c r="N99" s="38" t="str">
        <x:v>none</x:v>
      </x:c>
      <x:c r="O99" s="38" t="str">
        <x:v>FROZEN / NO HIGH-CONFIDENCE CHANGE</x:v>
      </x:c>
      <x:c r="P99" s="38" t="str">
        <x:v>Levantine bulgur-and-meat croquettes seasoned with spices and often fried until crisp.</x:v>
      </x:c>
      <x:c r="Q99" s="38" t="str">
        <x:v>Six-flavor V1 taxonomy frozen after this audit.</x:v>
      </x:c>
    </x:row>
    <x:row r="100" ht="56" customHeight="1">
      <x:c r="A100" s="38" t="n">
        <x:v>88</x:v>
      </x:c>
      <x:c r="B100" s="38" t="str">
        <x:v>reshteh-polow</x:v>
      </x:c>
      <x:c r="C100" s="38" t="str">
        <x:v>Reshteh Polow</x:v>
      </x:c>
      <x:c r="D100" s="38" t="str">
        <x:v>comforting</x:v>
      </x:c>
      <x:c r="E100" s="38" t="str">
        <x:v>NO ADD</x:v>
      </x:c>
      <x:c r="F100" s="38" t="str">
        <x:v>NO ADD — no high-confidence evidence strong enough to add this tag in the final V1 pass.</x:v>
      </x:c>
      <x:c r="G100" s="38" t="str">
        <x:v>NO ADD</x:v>
      </x:c>
      <x:c r="H100" s="38" t="str">
        <x:v>NO ADD — no high-confidence evidence strong enough to add this tag in the final V1 pass.</x:v>
      </x:c>
      <x:c r="I100" s="38" t="str">
        <x:v>NO ADD</x:v>
      </x:c>
      <x:c r="J100" s="38" t="str">
        <x:v>NO ADD — no high-confidence evidence strong enough to add this tag in the final V1 pass.</x:v>
      </x:c>
      <x:c r="K100" s="38" t="str">
        <x:v>NO ADD</x:v>
      </x:c>
      <x:c r="L100" s="38" t="str">
        <x:v>NO ADD — no high-confidence evidence strong enough to add this tag in the final V1 pass.</x:v>
      </x:c>
      <x:c r="M100" s="38" t="str">
        <x:v>comforting</x:v>
      </x:c>
      <x:c r="N100" s="38" t="str">
        <x:v>none</x:v>
      </x:c>
      <x:c r="O100" s="38" t="str">
        <x:v>FROZEN / NO HIGH-CONFIDENCE CHANGE</x:v>
      </x:c>
      <x:c r="P100" s="38" t="str">
        <x:v>Iranian rice-and-noodle pilaf combining browned reshteh noodles with fragrant rice.</x:v>
      </x:c>
      <x:c r="Q100" s="38" t="str">
        <x:v>Six-flavor V1 taxonomy frozen after this audit.</x:v>
      </x:c>
    </x:row>
    <x:row r="101" ht="56" customHeight="1">
      <x:c r="A101" s="38" t="n">
        <x:v>89</x:v>
      </x:c>
      <x:c r="B101" s="38" t="str">
        <x:v>fesenjan</x:v>
      </x:c>
      <x:c r="C101" s="38" t="str">
        <x:v>Fesenjan</x:v>
      </x:c>
      <x:c r="D101" s="38" t="str">
        <x:v>rich | tangy</x:v>
      </x:c>
      <x:c r="E101" s="38" t="str">
        <x:v>NO ADD</x:v>
      </x:c>
      <x:c r="F101" s="38" t="str">
        <x:v>NO ADD — no high-confidence evidence strong enough to add this tag in the final V1 pass.</x:v>
      </x:c>
      <x:c r="G101" s="38" t="str">
        <x:v>NO ADD</x:v>
      </x:c>
      <x:c r="H101" s="38" t="str">
        <x:v>NO ADD — no high-confidence evidence strong enough to add this tag in the final V1 pass.</x:v>
      </x:c>
      <x:c r="I101" s="38" t="str">
        <x:v>NO ADD</x:v>
      </x:c>
      <x:c r="J101" s="38" t="str">
        <x:v>NO ADD — no high-confidence evidence strong enough to add this tag in the final V1 pass.</x:v>
      </x:c>
      <x:c r="K101" s="38" t="str">
        <x:v>KEEP</x:v>
      </x:c>
      <x:c r="L101" s="38" t="str">
        <x:v>KEEP — no high-confidence reason to remove the current tag in the final V1 pass.</x:v>
      </x:c>
      <x:c r="M101" s="38" t="str">
        <x:v>rich | tangy</x:v>
      </x:c>
      <x:c r="N101" s="38" t="str">
        <x:v>none</x:v>
      </x:c>
      <x:c r="O101" s="38" t="str">
        <x:v>FROZEN / NO HIGH-CONFIDENCE CHANGE</x:v>
      </x:c>
      <x:c r="P101" s="38" t="str">
        <x:v>Iranian walnut-and-pomegranate stew with poultry or meat and a rich sweet-tart sauce.</x:v>
      </x:c>
      <x:c r="Q101" s="38" t="str">
        <x:v>Six-flavor V1 taxonomy frozen after this audit.</x:v>
      </x:c>
    </x:row>
    <x:row r="102" ht="56" customHeight="1">
      <x:c r="A102" s="38" t="n">
        <x:v>90</x:v>
      </x:c>
      <x:c r="B102" s="38" t="str">
        <x:v>akara</x:v>
      </x:c>
      <x:c r="C102" s="38" t="str">
        <x:v>Akara</x:v>
      </x:c>
      <x:c r="D102" s="38" t="str">
        <x:v>crispy | spicy</x:v>
      </x:c>
      <x:c r="E102" s="38" t="str">
        <x:v>KEEP</x:v>
      </x:c>
      <x:c r="F102" s="38" t="str">
        <x:v>KEEP — no high-confidence reason to remove the current tag in the final V1 pass.</x:v>
      </x:c>
      <x:c r="G102" s="38" t="str">
        <x:v>NO ADD</x:v>
      </x:c>
      <x:c r="H102" s="38" t="str">
        <x:v>NO ADD — no high-confidence evidence strong enough to add this tag in the final V1 pass.</x:v>
      </x:c>
      <x:c r="I102" s="38" t="str">
        <x:v>KEEP</x:v>
      </x:c>
      <x:c r="J102" s="38" t="str">
        <x:v>KEEP — no high-confidence reason to remove the current tag in the final V1 pass.</x:v>
      </x:c>
      <x:c r="K102" s="38" t="str">
        <x:v>NO ADD</x:v>
      </x:c>
      <x:c r="L102" s="38" t="str">
        <x:v>NO ADD — no high-confidence evidence strong enough to add this tag in the final V1 pass.</x:v>
      </x:c>
      <x:c r="M102" s="38" t="str">
        <x:v>crispy | spicy</x:v>
      </x:c>
      <x:c r="N102" s="38" t="str">
        <x:v>none</x:v>
      </x:c>
      <x:c r="O102" s="38" t="str">
        <x:v>FROZEN / NO HIGH-CONFIDENCE CHANGE</x:v>
      </x:c>
      <x:c r="P102" s="38" t="str">
        <x:v>West African black-eyed-pea fritters seasoned with onion and chile, then fried until crisp.</x:v>
      </x:c>
      <x:c r="Q102" s="38" t="str">
        <x:v>Six-flavor V1 taxonomy frozen after this audit.</x:v>
      </x:c>
    </x:row>
    <x:row r="103" ht="56" customHeight="1">
      <x:c r="A103" s="38" t="n">
        <x:v>91</x:v>
      </x:c>
      <x:c r="B103" s="38" t="str">
        <x:v>waakye</x:v>
      </x:c>
      <x:c r="C103" s="38" t="str">
        <x:v>Waakye</x:v>
      </x:c>
      <x:c r="D103" s="38" t="str">
        <x:v>comforting | fresh</x:v>
      </x:c>
      <x:c r="E103" s="38" t="str">
        <x:v>NO ADD</x:v>
      </x:c>
      <x:c r="F103" s="38" t="str">
        <x:v>NO ADD — no high-confidence evidence strong enough to add this tag in the final V1 pass.</x:v>
      </x:c>
      <x:c r="G103" s="38" t="str">
        <x:v>REMOVE</x:v>
      </x:c>
      <x:c r="H103" s="38" t="str">
        <x:v>REMOVE — vegetables are optional accompaniments to the rice-and-beans base, so fresh is not a stable defining trait.</x:v>
      </x:c>
      <x:c r="I103" s="38" t="str">
        <x:v>NO ADD</x:v>
      </x:c>
      <x:c r="J103" s="38" t="str">
        <x:v>NO ADD — no high-confidence evidence strong enough to add this tag in the final V1 pass.</x:v>
      </x:c>
      <x:c r="K103" s="38" t="str">
        <x:v>NO ADD</x:v>
      </x:c>
      <x:c r="L103" s="38" t="str">
        <x:v>NO ADD — no high-confidence evidence strong enough to add this tag in the final V1 pass.</x:v>
      </x:c>
      <x:c r="M103" s="38" t="str">
        <x:v>comforting</x:v>
      </x:c>
      <x:c r="N103" s="38" t="str">
        <x:v>remove fresh</x:v>
      </x:c>
      <x:c r="O103" s="38" t="str">
        <x:v>HIGH</x:v>
      </x:c>
      <x:c r="P103" s="38" t="str">
        <x:v>Ghanaian rice and beans served with spicy sauces, vegetables, egg, meat, or plantain.</x:v>
      </x:c>
      <x:c r="Q103" s="38" t="str">
        <x:v>Six-flavor V1 taxonomy frozen after this audit.</x:v>
      </x:c>
    </x:row>
    <x:row r="104" ht="56" customHeight="1">
      <x:c r="A104" s="38" t="n">
        <x:v>92</x:v>
      </x:c>
      <x:c r="B104" s="38" t="str">
        <x:v>maafe</x:v>
      </x:c>
      <x:c r="C104" s="38" t="str">
        <x:v>Maafe</x:v>
      </x:c>
      <x:c r="D104" s="38" t="str">
        <x:v>rich | spicy</x:v>
      </x:c>
      <x:c r="E104" s="38" t="str">
        <x:v>REMOVE</x:v>
      </x:c>
      <x:c r="F104" s="38" t="str">
        <x:v>REMOVE — the row centers a rich peanut-tomato stew without explicit heat cues.</x:v>
      </x:c>
      <x:c r="G104" s="38" t="str">
        <x:v>NO ADD</x:v>
      </x:c>
      <x:c r="H104" s="38" t="str">
        <x:v>NO ADD — no high-confidence evidence strong enough to add this tag in the final V1 pass.</x:v>
      </x:c>
      <x:c r="I104" s="38" t="str">
        <x:v>NO ADD</x:v>
      </x:c>
      <x:c r="J104" s="38" t="str">
        <x:v>NO ADD — no high-confidence evidence strong enough to add this tag in the final V1 pass.</x:v>
      </x:c>
      <x:c r="K104" s="38" t="str">
        <x:v>NO ADD</x:v>
      </x:c>
      <x:c r="L104" s="38" t="str">
        <x:v>NO ADD — no high-confidence evidence strong enough to add this tag in the final V1 pass.</x:v>
      </x:c>
      <x:c r="M104" s="38" t="str">
        <x:v>rich</x:v>
      </x:c>
      <x:c r="N104" s="38" t="str">
        <x:v>remove spicy</x:v>
      </x:c>
      <x:c r="O104" s="38" t="str">
        <x:v>HIGH</x:v>
      </x:c>
      <x:c r="P104" s="38" t="str">
        <x:v>West African peanut stew with meat or vegetables simmered in a rich tomato-groundnut sauce.</x:v>
      </x:c>
      <x:c r="Q104" s="38" t="str">
        <x:v>Six-flavor V1 taxonomy frozen after this audit.</x:v>
      </x:c>
    </x:row>
    <x:row r="105" ht="56" customHeight="1">
      <x:c r="A105" s="38" t="n">
        <x:v>93</x:v>
      </x:c>
      <x:c r="B105" s="38" t="str">
        <x:v>cacio-e-pepe</x:v>
      </x:c>
      <x:c r="C105" s="38" t="str">
        <x:v>Cacio e Pepe</x:v>
      </x:c>
      <x:c r="D105" s="38" t="str">
        <x:v>rich | comforting</x:v>
      </x:c>
      <x:c r="E105" s="38" t="str">
        <x:v>NO ADD</x:v>
      </x:c>
      <x:c r="F105" s="38" t="str">
        <x:v>NO ADD — no high-confidence evidence strong enough to add this tag in the final V1 pass.</x:v>
      </x:c>
      <x:c r="G105" s="38" t="str">
        <x:v>NO ADD</x:v>
      </x:c>
      <x:c r="H105" s="38" t="str">
        <x:v>NO ADD — no high-confidence evidence strong enough to add this tag in the final V1 pass.</x:v>
      </x:c>
      <x:c r="I105" s="38" t="str">
        <x:v>NO ADD</x:v>
      </x:c>
      <x:c r="J105" s="38" t="str">
        <x:v>NO ADD — no high-confidence evidence strong enough to add this tag in the final V1 pass.</x:v>
      </x:c>
      <x:c r="K105" s="38" t="str">
        <x:v>NO ADD</x:v>
      </x:c>
      <x:c r="L105" s="38" t="str">
        <x:v>NO ADD — no high-confidence evidence strong enough to add this tag in the final V1 pass.</x:v>
      </x:c>
      <x:c r="M105" s="38" t="str">
        <x:v>rich | comforting</x:v>
      </x:c>
      <x:c r="N105" s="38" t="str">
        <x:v>none</x:v>
      </x:c>
      <x:c r="O105" s="38" t="str">
        <x:v>FROZEN / NO HIGH-CONFIDENCE CHANGE</x:v>
      </x:c>
      <x:c r="P105" s="38" t="str">
        <x:v>Roman pasta coated with Pecorino Romano, black pepper, and starchy pasta water.</x:v>
      </x:c>
      <x:c r="Q105" s="38" t="str">
        <x:v>Six-flavor V1 taxonomy frozen after this audit.</x:v>
      </x:c>
    </x:row>
    <x:row r="106" ht="56" customHeight="1">
      <x:c r="A106" s="38" t="n">
        <x:v>94</x:v>
      </x:c>
      <x:c r="B106" s="38" t="str">
        <x:v>spaetzle</x:v>
      </x:c>
      <x:c r="C106" s="38" t="str">
        <x:v>Spätzle</x:v>
      </x:c>
      <x:c r="D106" s="38" t="str">
        <x:v>comforting</x:v>
      </x:c>
      <x:c r="E106" s="38" t="str">
        <x:v>NO ADD</x:v>
      </x:c>
      <x:c r="F106" s="38" t="str">
        <x:v>NO ADD — no high-confidence evidence strong enough to add this tag in the final V1 pass.</x:v>
      </x:c>
      <x:c r="G106" s="38" t="str">
        <x:v>NO ADD</x:v>
      </x:c>
      <x:c r="H106" s="38" t="str">
        <x:v>NO ADD — no high-confidence evidence strong enough to add this tag in the final V1 pass.</x:v>
      </x:c>
      <x:c r="I106" s="38" t="str">
        <x:v>NO ADD</x:v>
      </x:c>
      <x:c r="J106" s="38" t="str">
        <x:v>NO ADD — no high-confidence evidence strong enough to add this tag in the final V1 pass.</x:v>
      </x:c>
      <x:c r="K106" s="38" t="str">
        <x:v>NO ADD</x:v>
      </x:c>
      <x:c r="L106" s="38" t="str">
        <x:v>NO ADD — no high-confidence evidence strong enough to add this tag in the final V1 pass.</x:v>
      </x:c>
      <x:c r="M106" s="38" t="str">
        <x:v>comforting</x:v>
      </x:c>
      <x:c r="N106" s="38" t="str">
        <x:v>none</x:v>
      </x:c>
      <x:c r="O106" s="38" t="str">
        <x:v>FROZEN / NO HIGH-CONFIDENCE CHANGE</x:v>
      </x:c>
      <x:c r="P106" s="38" t="str">
        <x:v>Central European egg noodles with an irregular shape and tender, chewy texture.</x:v>
      </x:c>
      <x:c r="Q106" s="38" t="str">
        <x:v>Six-flavor V1 taxonomy frozen after this audit.</x:v>
      </x:c>
    </x:row>
    <x:row r="107" ht="56" customHeight="1">
      <x:c r="A107" s="38" t="n">
        <x:v>95</x:v>
      </x:c>
      <x:c r="B107" s="38" t="str">
        <x:v>tortellini-in-brodo</x:v>
      </x:c>
      <x:c r="C107" s="38" t="str">
        <x:v>Tortellini in Brodo</x:v>
      </x:c>
      <x:c r="D107" s="38" t="str">
        <x:v>comforting</x:v>
      </x:c>
      <x:c r="E107" s="38" t="str">
        <x:v>NO ADD</x:v>
      </x:c>
      <x:c r="F107" s="38" t="str">
        <x:v>NO ADD — no high-confidence evidence strong enough to add this tag in the final V1 pass.</x:v>
      </x:c>
      <x:c r="G107" s="38" t="str">
        <x:v>NO ADD</x:v>
      </x:c>
      <x:c r="H107" s="38" t="str">
        <x:v>NO ADD — no high-confidence evidence strong enough to add this tag in the final V1 pass.</x:v>
      </x:c>
      <x:c r="I107" s="38" t="str">
        <x:v>NO ADD</x:v>
      </x:c>
      <x:c r="J107" s="38" t="str">
        <x:v>NO ADD — no high-confidence evidence strong enough to add this tag in the final V1 pass.</x:v>
      </x:c>
      <x:c r="K107" s="38" t="str">
        <x:v>NO ADD</x:v>
      </x:c>
      <x:c r="L107" s="38" t="str">
        <x:v>NO ADD — no high-confidence evidence strong enough to add this tag in the final V1 pass.</x:v>
      </x:c>
      <x:c r="M107" s="38" t="str">
        <x:v>comforting</x:v>
      </x:c>
      <x:c r="N107" s="38" t="str">
        <x:v>none</x:v>
      </x:c>
      <x:c r="O107" s="38" t="str">
        <x:v>FROZEN / NO HIGH-CONFIDENCE CHANGE</x:v>
      </x:c>
      <x:c r="P107" s="38" t="str">
        <x:v>Emilia-Romagna stuffed tortellini served in a clear, deeply savory broth.</x:v>
      </x:c>
      <x:c r="Q107" s="38" t="str">
        <x:v>Six-flavor V1 taxonomy frozen after this audit.</x:v>
      </x:c>
    </x:row>
    <x:row r="108" ht="56" customHeight="1">
      <x:c r="A108" s="38" t="n">
        <x:v>96</x:v>
      </x:c>
      <x:c r="B108" s="38" t="str">
        <x:v>tallarines-verdes</x:v>
      </x:c>
      <x:c r="C108" s="38" t="str">
        <x:v>Tallarines Verdes</x:v>
      </x:c>
      <x:c r="D108" s="38" t="str">
        <x:v>fresh | rich</x:v>
      </x:c>
      <x:c r="E108" s="38" t="str">
        <x:v>NO ADD</x:v>
      </x:c>
      <x:c r="F108" s="38" t="str">
        <x:v>NO ADD — no high-confidence evidence strong enough to add this tag in the final V1 pass.</x:v>
      </x:c>
      <x:c r="G108" s="38" t="str">
        <x:v>KEEP</x:v>
      </x:c>
      <x:c r="H108" s="38" t="str">
        <x:v>KEEP — no high-confidence reason to remove the current tag in the final V1 pass.</x:v>
      </x:c>
      <x:c r="I108" s="38" t="str">
        <x:v>NO ADD</x:v>
      </x:c>
      <x:c r="J108" s="38" t="str">
        <x:v>NO ADD — no high-confidence evidence strong enough to add this tag in the final V1 pass.</x:v>
      </x:c>
      <x:c r="K108" s="38" t="str">
        <x:v>NO ADD</x:v>
      </x:c>
      <x:c r="L108" s="38" t="str">
        <x:v>NO ADD — no high-confidence evidence strong enough to add this tag in the final V1 pass.</x:v>
      </x:c>
      <x:c r="M108" s="38" t="str">
        <x:v>fresh | rich</x:v>
      </x:c>
      <x:c r="N108" s="38" t="str">
        <x:v>none</x:v>
      </x:c>
      <x:c r="O108" s="38" t="str">
        <x:v>FROZEN / NO HIGH-CONFIDENCE CHANGE</x:v>
      </x:c>
      <x:c r="P108" s="38" t="str">
        <x:v>Peruvian pasta in a creamy green basil-and-spinach sauce influenced by Italian pesto.</x:v>
      </x:c>
      <x:c r="Q108" s="38" t="str">
        <x:v>Six-flavor V1 taxonomy frozen after this audit.</x:v>
      </x:c>
    </x:row>
    <x:row r="109" ht="56" customHeight="1">
      <x:c r="A109" s="38" t="n">
        <x:v>97</x:v>
      </x:c>
      <x:c r="B109" s="38" t="str">
        <x:v>patacones</x:v>
      </x:c>
      <x:c r="C109" s="38" t="str">
        <x:v>Patacones</x:v>
      </x:c>
      <x:c r="D109" s="38" t="str">
        <x:v>crispy</x:v>
      </x:c>
      <x:c r="E109" s="38" t="str">
        <x:v>NO ADD</x:v>
      </x:c>
      <x:c r="F109" s="38" t="str">
        <x:v>NO ADD — no high-confidence evidence strong enough to add this tag in the final V1 pass.</x:v>
      </x:c>
      <x:c r="G109" s="38" t="str">
        <x:v>NO ADD</x:v>
      </x:c>
      <x:c r="H109" s="38" t="str">
        <x:v>NO ADD — no high-confidence evidence strong enough to add this tag in the final V1 pass.</x:v>
      </x:c>
      <x:c r="I109" s="38" t="str">
        <x:v>KEEP</x:v>
      </x:c>
      <x:c r="J109" s="38" t="str">
        <x:v>KEEP — no high-confidence reason to remove the current tag in the final V1 pass.</x:v>
      </x:c>
      <x:c r="K109" s="38" t="str">
        <x:v>NO ADD</x:v>
      </x:c>
      <x:c r="L109" s="38" t="str">
        <x:v>NO ADD — no high-confidence evidence strong enough to add this tag in the final V1 pass.</x:v>
      </x:c>
      <x:c r="M109" s="38" t="str">
        <x:v>crispy</x:v>
      </x:c>
      <x:c r="N109" s="38" t="str">
        <x:v>none</x:v>
      </x:c>
      <x:c r="O109" s="38" t="str">
        <x:v>FROZEN / NO HIGH-CONFIDENCE CHANGE</x:v>
      </x:c>
      <x:c r="P109" s="38" t="str">
        <x:v>Twice-fried green plantain slices served crisp and salty across Latin America and the Caribbean.</x:v>
      </x:c>
      <x:c r="Q109" s="38" t="str">
        <x:v>Six-flavor V1 taxonomy frozen after this audit.</x:v>
      </x:c>
    </x:row>
    <x:row r="110" ht="56" customHeight="1">
      <x:c r="A110" s="38" t="n">
        <x:v>98</x:v>
      </x:c>
      <x:c r="B110" s="38" t="str">
        <x:v>lomo-saltado</x:v>
      </x:c>
      <x:c r="C110" s="38" t="str">
        <x:v>Lomo Saltado</x:v>
      </x:c>
      <x:c r="D110" s="38" t="str">
        <x:v>rich | fresh</x:v>
      </x:c>
      <x:c r="E110" s="38" t="str">
        <x:v>NO ADD</x:v>
      </x:c>
      <x:c r="F110" s="38" t="str">
        <x:v>NO ADD — no high-confidence evidence strong enough to add this tag in the final V1 pass.</x:v>
      </x:c>
      <x:c r="G110" s="38" t="str">
        <x:v>REMOVE</x:v>
      </x:c>
      <x:c r="H110" s="38" t="str">
        <x:v>REMOVE — the row centers a cooked beef stir-fry served with fries and rice.</x:v>
      </x:c>
      <x:c r="I110" s="38" t="str">
        <x:v>NO ADD</x:v>
      </x:c>
      <x:c r="J110" s="38" t="str">
        <x:v>NO ADD — no high-confidence evidence strong enough to add this tag in the final V1 pass.</x:v>
      </x:c>
      <x:c r="K110" s="38" t="str">
        <x:v>NO ADD</x:v>
      </x:c>
      <x:c r="L110" s="38" t="str">
        <x:v>NO ADD — no high-confidence evidence strong enough to add this tag in the final V1 pass.</x:v>
      </x:c>
      <x:c r="M110" s="38" t="str">
        <x:v>rich</x:v>
      </x:c>
      <x:c r="N110" s="38" t="str">
        <x:v>remove fresh</x:v>
      </x:c>
      <x:c r="O110" s="38" t="str">
        <x:v>HIGH</x:v>
      </x:c>
      <x:c r="P110" s="38" t="str">
        <x:v>Peruvian stir-fried beef with onions and tomatoes, typically served with fries and rice.</x:v>
      </x:c>
      <x:c r="Q110" s="38" t="str">
        <x:v>Six-flavor V1 taxonomy frozen after this audit.</x:v>
      </x:c>
    </x:row>
    <x:row r="111" ht="56" customHeight="1">
      <x:c r="A111" s="38" t="n">
        <x:v>99</x:v>
      </x:c>
      <x:c r="B111" s="38" t="str">
        <x:v>new-england-clam-chowder</x:v>
      </x:c>
      <x:c r="C111" s="38" t="str">
        <x:v>New England Clam Chowder</x:v>
      </x:c>
      <x:c r="D111" s="38" t="str">
        <x:v>rich | comforting</x:v>
      </x:c>
      <x:c r="E111" s="38" t="str">
        <x:v>NO ADD</x:v>
      </x:c>
      <x:c r="F111" s="38" t="str">
        <x:v>NO ADD — no high-confidence evidence strong enough to add this tag in the final V1 pass.</x:v>
      </x:c>
      <x:c r="G111" s="38" t="str">
        <x:v>NO ADD</x:v>
      </x:c>
      <x:c r="H111" s="38" t="str">
        <x:v>NO ADD — no high-confidence evidence strong enough to add this tag in the final V1 pass.</x:v>
      </x:c>
      <x:c r="I111" s="38" t="str">
        <x:v>NO ADD</x:v>
      </x:c>
      <x:c r="J111" s="38" t="str">
        <x:v>NO ADD — no high-confidence evidence strong enough to add this tag in the final V1 pass.</x:v>
      </x:c>
      <x:c r="K111" s="38" t="str">
        <x:v>NO ADD</x:v>
      </x:c>
      <x:c r="L111" s="38" t="str">
        <x:v>NO ADD — no high-confidence evidence strong enough to add this tag in the final V1 pass.</x:v>
      </x:c>
      <x:c r="M111" s="38" t="str">
        <x:v>rich | comforting</x:v>
      </x:c>
      <x:c r="N111" s="38" t="str">
        <x:v>none</x:v>
      </x:c>
      <x:c r="O111" s="38" t="str">
        <x:v>FROZEN / NO HIGH-CONFIDENCE CHANGE</x:v>
      </x:c>
      <x:c r="P111" s="38" t="str">
        <x:v>Creamy New England chowder with clams, potatoes, onions, and often salt pork or bacon.</x:v>
      </x:c>
      <x:c r="Q111" s="38" t="str">
        <x:v>Six-flavor V1 taxonomy frozen after this audit.</x:v>
      </x:c>
    </x:row>
    <x:row r="112" ht="56" customHeight="1">
      <x:c r="A112" s="38" t="n">
        <x:v>100</x:v>
      </x:c>
      <x:c r="B112" s="38" t="str">
        <x:v>buffalo-wings</x:v>
      </x:c>
      <x:c r="C112" s="38" t="str">
        <x:v>Buffalo Wings</x:v>
      </x:c>
      <x:c r="D112" s="38" t="str">
        <x:v>spicy | tangy | crispy</x:v>
      </x:c>
      <x:c r="E112" s="38" t="str">
        <x:v>KEEP</x:v>
      </x:c>
      <x:c r="F112" s="38" t="str">
        <x:v>KEEP — no high-confidence reason to remove the current tag in the final V1 pass.</x:v>
      </x:c>
      <x:c r="G112" s="38" t="str">
        <x:v>NO ADD</x:v>
      </x:c>
      <x:c r="H112" s="38" t="str">
        <x:v>NO ADD — no high-confidence evidence strong enough to add this tag in the final V1 pass.</x:v>
      </x:c>
      <x:c r="I112" s="38" t="str">
        <x:v>KEEP</x:v>
      </x:c>
      <x:c r="J112" s="38" t="str">
        <x:v>KEEP — no high-confidence reason to remove the current tag in the final V1 pass.</x:v>
      </x:c>
      <x:c r="K112" s="38" t="str">
        <x:v>KEEP</x:v>
      </x:c>
      <x:c r="L112" s="38" t="str">
        <x:v>KEEP — no high-confidence reason to remove the current tag in the final V1 pass.</x:v>
      </x:c>
      <x:c r="M112" s="38" t="str">
        <x:v>spicy | tangy | crispy</x:v>
      </x:c>
      <x:c r="N112" s="38" t="str">
        <x:v>none</x:v>
      </x:c>
      <x:c r="O112" s="38" t="str">
        <x:v>FROZEN / NO HIGH-CONFIDENCE CHANGE</x:v>
      </x:c>
      <x:c r="P112" s="38" t="str">
        <x:v>Chicken wings fried until crisp and coated in a buttery, vinegar-based cayenne hot sauce.</x:v>
      </x:c>
      <x:c r="Q112" s="38" t="str">
        <x:v>Six-flavor V1 taxonomy frozen after this audit.</x:v>
      </x:c>
    </x:row>
    <x:row r="113" ht="56" customHeight="1">
      <x:c r="A113" s="38" t="n">
        <x:v>101</x:v>
      </x:c>
      <x:c r="B113" s="38" t="str">
        <x:v>zhajiangmian</x:v>
      </x:c>
      <x:c r="C113" s="38" t="str">
        <x:v>Zhajiangmian</x:v>
      </x:c>
      <x:c r="D113" s="38" t="str">
        <x:v>comforting | rich</x:v>
      </x:c>
      <x:c r="E113" s="38" t="str">
        <x:v>NO ADD</x:v>
      </x:c>
      <x:c r="F113" s="38" t="str">
        <x:v>NO ADD — no high-confidence evidence strong enough to add this tag in the final V1 pass.</x:v>
      </x:c>
      <x:c r="G113" s="38" t="str">
        <x:v>NO ADD</x:v>
      </x:c>
      <x:c r="H113" s="38" t="str">
        <x:v>NO ADD — no high-confidence evidence strong enough to add this tag in the final V1 pass.</x:v>
      </x:c>
      <x:c r="I113" s="38" t="str">
        <x:v>NO ADD</x:v>
      </x:c>
      <x:c r="J113" s="38" t="str">
        <x:v>NO ADD — no high-confidence evidence strong enough to add this tag in the final V1 pass.</x:v>
      </x:c>
      <x:c r="K113" s="38" t="str">
        <x:v>NO ADD</x:v>
      </x:c>
      <x:c r="L113" s="38" t="str">
        <x:v>NO ADD — no high-confidence evidence strong enough to add this tag in the final V1 pass.</x:v>
      </x:c>
      <x:c r="M113" s="38" t="str">
        <x:v>comforting | rich</x:v>
      </x:c>
      <x:c r="N113" s="38" t="str">
        <x:v>none</x:v>
      </x:c>
      <x:c r="O113" s="38" t="str">
        <x:v>FROZEN / NO HIGH-CONFIDENCE CHANGE</x:v>
      </x:c>
      <x:c r="P113" s="38" t="str">
        <x:v>Northern Chinese wheat noodles topped with a deeply savory fermented-bean meat sauce.</x:v>
      </x:c>
      <x:c r="Q113" s="38" t="str">
        <x:v>Six-flavor V1 taxonomy frozen after this audit.</x:v>
      </x:c>
    </x:row>
    <x:row r="114" ht="56" customHeight="1">
      <x:c r="A114" s="38" t="n">
        <x:v>102</x:v>
      </x:c>
      <x:c r="B114" s="38" t="str">
        <x:v>omurice</x:v>
      </x:c>
      <x:c r="C114" s="38" t="str">
        <x:v>Omurice</x:v>
      </x:c>
      <x:c r="D114" s="38" t="str">
        <x:v>comforting</x:v>
      </x:c>
      <x:c r="E114" s="38" t="str">
        <x:v>NO ADD</x:v>
      </x:c>
      <x:c r="F114" s="38" t="str">
        <x:v>NO ADD — no high-confidence evidence strong enough to add this tag in the final V1 pass.</x:v>
      </x:c>
      <x:c r="G114" s="38" t="str">
        <x:v>NO ADD</x:v>
      </x:c>
      <x:c r="H114" s="38" t="str">
        <x:v>NO ADD — no high-confidence evidence strong enough to add this tag in the final V1 pass.</x:v>
      </x:c>
      <x:c r="I114" s="38" t="str">
        <x:v>NO ADD</x:v>
      </x:c>
      <x:c r="J114" s="38" t="str">
        <x:v>NO ADD — no high-confidence evidence strong enough to add this tag in the final V1 pass.</x:v>
      </x:c>
      <x:c r="K114" s="38" t="str">
        <x:v>NO ADD</x:v>
      </x:c>
      <x:c r="L114" s="38" t="str">
        <x:v>NO ADD — no high-confidence evidence strong enough to add this tag in the final V1 pass.</x:v>
      </x:c>
      <x:c r="M114" s="38" t="str">
        <x:v>comforting</x:v>
      </x:c>
      <x:c r="N114" s="38" t="str">
        <x:v>none</x:v>
      </x:c>
      <x:c r="O114" s="38" t="str">
        <x:v>FROZEN / NO HIGH-CONFIDENCE CHANGE</x:v>
      </x:c>
      <x:c r="P114" s="38" t="str">
        <x:v>Japanese fried rice wrapped in a soft omelette and commonly finished with ketchup.</x:v>
      </x:c>
      <x:c r="Q114" s="38" t="str">
        <x:v>Six-flavor V1 taxonomy frozen after this audit.</x:v>
      </x:c>
    </x:row>
    <x:row r="115" ht="56" customHeight="1">
      <x:c r="A115" s="38" t="n">
        <x:v>103</x:v>
      </x:c>
      <x:c r="B115" s="38" t="str">
        <x:v>sukiyaki</x:v>
      </x:c>
      <x:c r="C115" s="38" t="str">
        <x:v>Sukiyaki</x:v>
      </x:c>
      <x:c r="D115" s="38" t="str">
        <x:v>rich | comforting</x:v>
      </x:c>
      <x:c r="E115" s="38" t="str">
        <x:v>NO ADD</x:v>
      </x:c>
      <x:c r="F115" s="38" t="str">
        <x:v>NO ADD — no high-confidence evidence strong enough to add this tag in the final V1 pass.</x:v>
      </x:c>
      <x:c r="G115" s="38" t="str">
        <x:v>NO ADD</x:v>
      </x:c>
      <x:c r="H115" s="38" t="str">
        <x:v>NO ADD — no high-confidence evidence strong enough to add this tag in the final V1 pass.</x:v>
      </x:c>
      <x:c r="I115" s="38" t="str">
        <x:v>NO ADD</x:v>
      </x:c>
      <x:c r="J115" s="38" t="str">
        <x:v>NO ADD — no high-confidence evidence strong enough to add this tag in the final V1 pass.</x:v>
      </x:c>
      <x:c r="K115" s="38" t="str">
        <x:v>NO ADD</x:v>
      </x:c>
      <x:c r="L115" s="38" t="str">
        <x:v>NO ADD — no high-confidence evidence strong enough to add this tag in the final V1 pass.</x:v>
      </x:c>
      <x:c r="M115" s="38" t="str">
        <x:v>rich | comforting</x:v>
      </x:c>
      <x:c r="N115" s="38" t="str">
        <x:v>none</x:v>
      </x:c>
      <x:c r="O115" s="38" t="str">
        <x:v>FROZEN / NO HIGH-CONFIDENCE CHANGE</x:v>
      </x:c>
      <x:c r="P115" s="38" t="str">
        <x:v>Japanese hot pot of thin-sliced beef, tofu, vegetables, and noodles simmered in a sweet-savory sauce.</x:v>
      </x:c>
      <x:c r="Q115" s="38" t="str">
        <x:v>Six-flavor V1 taxonomy frozen after this audit.</x:v>
      </x:c>
    </x:row>
    <x:row r="116" ht="56" customHeight="1">
      <x:c r="A116" s="38" t="n">
        <x:v>104</x:v>
      </x:c>
      <x:c r="B116" s="38" t="str">
        <x:v>hainanese-chicken-rice</x:v>
      </x:c>
      <x:c r="C116" s="38" t="str">
        <x:v>Hainanese Chicken Rice</x:v>
      </x:c>
      <x:c r="D116" s="38" t="str">
        <x:v>comforting | fresh</x:v>
      </x:c>
      <x:c r="E116" s="38" t="str">
        <x:v>NO ADD</x:v>
      </x:c>
      <x:c r="F116" s="38" t="str">
        <x:v>NO ADD — no high-confidence evidence strong enough to add this tag in the final V1 pass.</x:v>
      </x:c>
      <x:c r="G116" s="38" t="str">
        <x:v>KEEP</x:v>
      </x:c>
      <x:c r="H116" s="38" t="str">
        <x:v>KEEP — no high-confidence reason to remove the current tag in the final V1 pass.</x:v>
      </x:c>
      <x:c r="I116" s="38" t="str">
        <x:v>NO ADD</x:v>
      </x:c>
      <x:c r="J116" s="38" t="str">
        <x:v>NO ADD — no high-confidence evidence strong enough to add this tag in the final V1 pass.</x:v>
      </x:c>
      <x:c r="K116" s="38" t="str">
        <x:v>NO ADD</x:v>
      </x:c>
      <x:c r="L116" s="38" t="str">
        <x:v>NO ADD — no high-confidence evidence strong enough to add this tag in the final V1 pass.</x:v>
      </x:c>
      <x:c r="M116" s="38" t="str">
        <x:v>comforting | fresh</x:v>
      </x:c>
      <x:c r="N116" s="38" t="str">
        <x:v>none</x:v>
      </x:c>
      <x:c r="O116" s="38" t="str">
        <x:v>FROZEN / NO HIGH-CONFIDENCE CHANGE</x:v>
      </x:c>
      <x:c r="P116" s="38" t="str">
        <x:v>Poached chicken with fragrant seasoned rice, cucumber, and bright chile-ginger sauces.</x:v>
      </x:c>
      <x:c r="Q116" s="38" t="str">
        <x:v>Six-flavor V1 taxonomy frozen after this audit.</x:v>
      </x:c>
    </x:row>
    <x:row r="117" ht="56" customHeight="1">
      <x:c r="A117" s="38" t="n">
        <x:v>105</x:v>
      </x:c>
      <x:c r="B117" s="38" t="str">
        <x:v>mohinga</x:v>
      </x:c>
      <x:c r="C117" s="38" t="str">
        <x:v>Mohinga</x:v>
      </x:c>
      <x:c r="D117" s="38" t="str">
        <x:v>fresh</x:v>
      </x:c>
      <x:c r="E117" s="38" t="str">
        <x:v>NO ADD</x:v>
      </x:c>
      <x:c r="F117" s="38" t="str">
        <x:v>NO ADD — no high-confidence evidence strong enough to add this tag in the final V1 pass.</x:v>
      </x:c>
      <x:c r="G117" s="38" t="str">
        <x:v>KEEP</x:v>
      </x:c>
      <x:c r="H117" s="38" t="str">
        <x:v>KEEP — no high-confidence reason to remove the current tag in the final V1 pass.</x:v>
      </x:c>
      <x:c r="I117" s="38" t="str">
        <x:v>NO ADD</x:v>
      </x:c>
      <x:c r="J117" s="38" t="str">
        <x:v>NO ADD — no high-confidence evidence strong enough to add this tag in the final V1 pass.</x:v>
      </x:c>
      <x:c r="K117" s="38" t="str">
        <x:v>NO ADD</x:v>
      </x:c>
      <x:c r="L117" s="38" t="str">
        <x:v>NO ADD — no high-confidence evidence strong enough to add this tag in the final V1 pass.</x:v>
      </x:c>
      <x:c r="M117" s="38" t="str">
        <x:v>fresh</x:v>
      </x:c>
      <x:c r="N117" s="38" t="str">
        <x:v>none</x:v>
      </x:c>
      <x:c r="O117" s="38" t="str">
        <x:v>FROZEN / NO HIGH-CONFIDENCE CHANGE</x:v>
      </x:c>
      <x:c r="P117" s="38" t="str">
        <x:v>Myanmar rice-noodle fish soup scented with lemongrass, aromatics, and a savory broth.</x:v>
      </x:c>
      <x:c r="Q117" s="38" t="str">
        <x:v>Six-flavor V1 taxonomy frozen after this audit.</x:v>
      </x:c>
    </x:row>
    <x:row r="118" ht="56" customHeight="1">
      <x:c r="A118" s="38" t="n">
        <x:v>106</x:v>
      </x:c>
      <x:c r="B118" s="38" t="str">
        <x:v>pulao</x:v>
      </x:c>
      <x:c r="C118" s="38" t="str">
        <x:v>Pulao</x:v>
      </x:c>
      <x:c r="D118" s="38" t="str">
        <x:v>comforting</x:v>
      </x:c>
      <x:c r="E118" s="38" t="str">
        <x:v>NO ADD</x:v>
      </x:c>
      <x:c r="F118" s="38" t="str">
        <x:v>NO ADD — no high-confidence evidence strong enough to add this tag in the final V1 pass.</x:v>
      </x:c>
      <x:c r="G118" s="38" t="str">
        <x:v>NO ADD</x:v>
      </x:c>
      <x:c r="H118" s="38" t="str">
        <x:v>NO ADD — no high-confidence evidence strong enough to add this tag in the final V1 pass.</x:v>
      </x:c>
      <x:c r="I118" s="38" t="str">
        <x:v>NO ADD</x:v>
      </x:c>
      <x:c r="J118" s="38" t="str">
        <x:v>NO ADD — no high-confidence evidence strong enough to add this tag in the final V1 pass.</x:v>
      </x:c>
      <x:c r="K118" s="38" t="str">
        <x:v>NO ADD</x:v>
      </x:c>
      <x:c r="L118" s="38" t="str">
        <x:v>NO ADD — no high-confidence evidence strong enough to add this tag in the final V1 pass.</x:v>
      </x:c>
      <x:c r="M118" s="38" t="str">
        <x:v>comforting</x:v>
      </x:c>
      <x:c r="N118" s="38" t="str">
        <x:v>none</x:v>
      </x:c>
      <x:c r="O118" s="38" t="str">
        <x:v>FROZEN / NO HIGH-CONFIDENCE CHANGE</x:v>
      </x:c>
      <x:c r="P118" s="38" t="str">
        <x:v>Fragrant South Asian rice cooked in seasoned broth with vegetables, meat, or dried fruit.</x:v>
      </x:c>
      <x:c r="Q118" s="38" t="str">
        <x:v>Six-flavor V1 taxonomy frozen after this audit.</x:v>
      </x:c>
    </x:row>
    <x:row r="119" ht="56" customHeight="1">
      <x:c r="A119" s="38" t="n">
        <x:v>107</x:v>
      </x:c>
      <x:c r="B119" s="38" t="str">
        <x:v>momo</x:v>
      </x:c>
      <x:c r="C119" s="38" t="str">
        <x:v>Momo</x:v>
      </x:c>
      <x:c r="D119" s="38" t="str">
        <x:v>comforting</x:v>
      </x:c>
      <x:c r="E119" s="38" t="str">
        <x:v>NO ADD</x:v>
      </x:c>
      <x:c r="F119" s="38" t="str">
        <x:v>NO ADD — no high-confidence evidence strong enough to add this tag in the final V1 pass.</x:v>
      </x:c>
      <x:c r="G119" s="38" t="str">
        <x:v>NO ADD</x:v>
      </x:c>
      <x:c r="H119" s="38" t="str">
        <x:v>NO ADD — no high-confidence evidence strong enough to add this tag in the final V1 pass.</x:v>
      </x:c>
      <x:c r="I119" s="38" t="str">
        <x:v>NO ADD</x:v>
      </x:c>
      <x:c r="J119" s="38" t="str">
        <x:v>NO ADD — no high-confidence evidence strong enough to add this tag in the final V1 pass.</x:v>
      </x:c>
      <x:c r="K119" s="38" t="str">
        <x:v>NO ADD</x:v>
      </x:c>
      <x:c r="L119" s="38" t="str">
        <x:v>NO ADD — no high-confidence evidence strong enough to add this tag in the final V1 pass.</x:v>
      </x:c>
      <x:c r="M119" s="38" t="str">
        <x:v>comforting</x:v>
      </x:c>
      <x:c r="N119" s="38" t="str">
        <x:v>none</x:v>
      </x:c>
      <x:c r="O119" s="38" t="str">
        <x:v>FROZEN / NO HIGH-CONFIDENCE CHANGE</x:v>
      </x:c>
      <x:c r="P119" s="38" t="str">
        <x:v>Tibetan and Nepali filled dumplings steamed, pan-fried, or served in spicy sauces.</x:v>
      </x:c>
      <x:c r="Q119" s="38" t="str">
        <x:v>Six-flavor V1 taxonomy frozen after this audit.</x:v>
      </x:c>
    </x:row>
    <x:row r="120" ht="56" customHeight="1">
      <x:c r="A120" s="38" t="n">
        <x:v>108</x:v>
      </x:c>
      <x:c r="B120" s="38" t="str">
        <x:v>rasam</x:v>
      </x:c>
      <x:c r="C120" s="38" t="str">
        <x:v>Rasam</x:v>
      </x:c>
      <x:c r="D120" s="38" t="str">
        <x:v>tangy | spicy | fresh</x:v>
      </x:c>
      <x:c r="E120" s="38" t="str">
        <x:v>KEEP</x:v>
      </x:c>
      <x:c r="F120" s="38" t="str">
        <x:v>KEEP — no high-confidence reason to remove the current tag in the final V1 pass.</x:v>
      </x:c>
      <x:c r="G120" s="38" t="str">
        <x:v>KEEP</x:v>
      </x:c>
      <x:c r="H120" s="38" t="str">
        <x:v>KEEP — no high-confidence reason to remove the current tag in the final V1 pass.</x:v>
      </x:c>
      <x:c r="I120" s="38" t="str">
        <x:v>NO ADD</x:v>
      </x:c>
      <x:c r="J120" s="38" t="str">
        <x:v>NO ADD — no high-confidence evidence strong enough to add this tag in the final V1 pass.</x:v>
      </x:c>
      <x:c r="K120" s="38" t="str">
        <x:v>KEEP</x:v>
      </x:c>
      <x:c r="L120" s="38" t="str">
        <x:v>KEEP — no high-confidence reason to remove the current tag in the final V1 pass.</x:v>
      </x:c>
      <x:c r="M120" s="38" t="str">
        <x:v>tangy | spicy | fresh</x:v>
      </x:c>
      <x:c r="N120" s="38" t="str">
        <x:v>none</x:v>
      </x:c>
      <x:c r="O120" s="38" t="str">
        <x:v>FROZEN / NO HIGH-CONFIDENCE CHANGE</x:v>
      </x:c>
      <x:c r="P120" s="38" t="str">
        <x:v>Thin South Indian soup-like broth brightened with tamarind, tomato, spices, and herbs.</x:v>
      </x:c>
      <x:c r="Q120" s="38" t="str">
        <x:v>Six-flavor V1 taxonomy frozen after this audit.</x:v>
      </x:c>
    </x:row>
    <x:row r="121" ht="56" customHeight="1">
      <x:c r="A121" s="38" t="n">
        <x:v>109</x:v>
      </x:c>
      <x:c r="B121" s="38" t="str">
        <x:v>shorbat-adas</x:v>
      </x:c>
      <x:c r="C121" s="38" t="str">
        <x:v>Shorbat Adas</x:v>
      </x:c>
      <x:c r="D121" s="38" t="str">
        <x:v>comforting</x:v>
      </x:c>
      <x:c r="E121" s="38" t="str">
        <x:v>NO ADD</x:v>
      </x:c>
      <x:c r="F121" s="38" t="str">
        <x:v>NO ADD — no high-confidence evidence strong enough to add this tag in the final V1 pass.</x:v>
      </x:c>
      <x:c r="G121" s="38" t="str">
        <x:v>NO ADD</x:v>
      </x:c>
      <x:c r="H121" s="38" t="str">
        <x:v>NO ADD — no high-confidence evidence strong enough to add this tag in the final V1 pass.</x:v>
      </x:c>
      <x:c r="I121" s="38" t="str">
        <x:v>NO ADD</x:v>
      </x:c>
      <x:c r="J121" s="38" t="str">
        <x:v>NO ADD — no high-confidence evidence strong enough to add this tag in the final V1 pass.</x:v>
      </x:c>
      <x:c r="K121" s="38" t="str">
        <x:v>NO ADD</x:v>
      </x:c>
      <x:c r="L121" s="38" t="str">
        <x:v>NO ADD — no high-confidence evidence strong enough to add this tag in the final V1 pass.</x:v>
      </x:c>
      <x:c r="M121" s="38" t="str">
        <x:v>comforting</x:v>
      </x:c>
      <x:c r="N121" s="38" t="str">
        <x:v>none</x:v>
      </x:c>
      <x:c r="O121" s="38" t="str">
        <x:v>FROZEN / NO HIGH-CONFIDENCE CHANGE</x:v>
      </x:c>
      <x:c r="P121" s="38" t="str">
        <x:v>Middle Eastern lentil soup simmered until soft and finished with warm spices and lemon.</x:v>
      </x:c>
      <x:c r="Q121" s="38" t="str">
        <x:v>Six-flavor V1 taxonomy frozen after this audit.</x:v>
      </x:c>
    </x:row>
    <x:row r="122" ht="56" customHeight="1">
      <x:c r="A122" s="38" t="n">
        <x:v>110</x:v>
      </x:c>
      <x:c r="B122" s="38" t="str">
        <x:v>maqluba</x:v>
      </x:c>
      <x:c r="C122" s="38" t="str">
        <x:v>Maqluba</x:v>
      </x:c>
      <x:c r="D122" s="38" t="str">
        <x:v>rich | comforting</x:v>
      </x:c>
      <x:c r="E122" s="38" t="str">
        <x:v>NO ADD</x:v>
      </x:c>
      <x:c r="F122" s="38" t="str">
        <x:v>NO ADD — no high-confidence evidence strong enough to add this tag in the final V1 pass.</x:v>
      </x:c>
      <x:c r="G122" s="38" t="str">
        <x:v>NO ADD</x:v>
      </x:c>
      <x:c r="H122" s="38" t="str">
        <x:v>NO ADD — no high-confidence evidence strong enough to add this tag in the final V1 pass.</x:v>
      </x:c>
      <x:c r="I122" s="38" t="str">
        <x:v>NO ADD</x:v>
      </x:c>
      <x:c r="J122" s="38" t="str">
        <x:v>NO ADD — no high-confidence evidence strong enough to add this tag in the final V1 pass.</x:v>
      </x:c>
      <x:c r="K122" s="38" t="str">
        <x:v>NO ADD</x:v>
      </x:c>
      <x:c r="L122" s="38" t="str">
        <x:v>NO ADD — no high-confidence evidence strong enough to add this tag in the final V1 pass.</x:v>
      </x:c>
      <x:c r="M122" s="38" t="str">
        <x:v>rich | comforting</x:v>
      </x:c>
      <x:c r="N122" s="38" t="str">
        <x:v>none</x:v>
      </x:c>
      <x:c r="O122" s="38" t="str">
        <x:v>FROZEN / NO HIGH-CONFIDENCE CHANGE</x:v>
      </x:c>
      <x:c r="P122" s="38" t="str">
        <x:v>Levantine upside-down rice layered with vegetables and meat, then flipped to serve.</x:v>
      </x:c>
      <x:c r="Q122" s="38" t="str">
        <x:v>Six-flavor V1 taxonomy frozen after this audit.</x:v>
      </x:c>
    </x:row>
    <x:row r="123" ht="56" customHeight="1">
      <x:c r="A123" s="38" t="n">
        <x:v>111</x:v>
      </x:c>
      <x:c r="B123" s="38" t="str">
        <x:v>manakish</x:v>
      </x:c>
      <x:c r="C123" s="38" t="str">
        <x:v>Manakish</x:v>
      </x:c>
      <x:c r="D123" s="38" t="str">
        <x:v>comforting</x:v>
      </x:c>
      <x:c r="E123" s="38" t="str">
        <x:v>NO ADD</x:v>
      </x:c>
      <x:c r="F123" s="38" t="str">
        <x:v>NO ADD — no high-confidence evidence strong enough to add this tag in the final V1 pass.</x:v>
      </x:c>
      <x:c r="G123" s="38" t="str">
        <x:v>NO ADD</x:v>
      </x:c>
      <x:c r="H123" s="38" t="str">
        <x:v>NO ADD — no high-confidence evidence strong enough to add this tag in the final V1 pass.</x:v>
      </x:c>
      <x:c r="I123" s="38" t="str">
        <x:v>NO ADD</x:v>
      </x:c>
      <x:c r="J123" s="38" t="str">
        <x:v>NO ADD — no high-confidence evidence strong enough to add this tag in the final V1 pass.</x:v>
      </x:c>
      <x:c r="K123" s="38" t="str">
        <x:v>NO ADD</x:v>
      </x:c>
      <x:c r="L123" s="38" t="str">
        <x:v>NO ADD — no high-confidence evidence strong enough to add this tag in the final V1 pass.</x:v>
      </x:c>
      <x:c r="M123" s="38" t="str">
        <x:v>comforting</x:v>
      </x:c>
      <x:c r="N123" s="38" t="str">
        <x:v>none</x:v>
      </x:c>
      <x:c r="O123" s="38" t="str">
        <x:v>FROZEN / NO HIGH-CONFIDENCE CHANGE</x:v>
      </x:c>
      <x:c r="P123" s="38" t="str">
        <x:v>Levantine flatbread baked with za'atar, cheese, or seasoned meat toppings.</x:v>
      </x:c>
      <x:c r="Q123" s="38" t="str">
        <x:v>Six-flavor V1 taxonomy frozen after this audit.</x:v>
      </x:c>
    </x:row>
    <x:row r="124" ht="56" customHeight="1">
      <x:c r="A124" s="38" t="n">
        <x:v>112</x:v>
      </x:c>
      <x:c r="B124" s="38" t="str">
        <x:v>rechta</x:v>
      </x:c>
      <x:c r="C124" s="38" t="str">
        <x:v>Rechta</x:v>
      </x:c>
      <x:c r="D124" s="38" t="str">
        <x:v>comforting</x:v>
      </x:c>
      <x:c r="E124" s="38" t="str">
        <x:v>NO ADD</x:v>
      </x:c>
      <x:c r="F124" s="38" t="str">
        <x:v>NO ADD — no high-confidence evidence strong enough to add this tag in the final V1 pass.</x:v>
      </x:c>
      <x:c r="G124" s="38" t="str">
        <x:v>NO ADD</x:v>
      </x:c>
      <x:c r="H124" s="38" t="str">
        <x:v>NO ADD — no high-confidence evidence strong enough to add this tag in the final V1 pass.</x:v>
      </x:c>
      <x:c r="I124" s="38" t="str">
        <x:v>NO ADD</x:v>
      </x:c>
      <x:c r="J124" s="38" t="str">
        <x:v>NO ADD — no high-confidence evidence strong enough to add this tag in the final V1 pass.</x:v>
      </x:c>
      <x:c r="K124" s="38" t="str">
        <x:v>NO ADD</x:v>
      </x:c>
      <x:c r="L124" s="38" t="str">
        <x:v>NO ADD — no high-confidence evidence strong enough to add this tag in the final V1 pass.</x:v>
      </x:c>
      <x:c r="M124" s="38" t="str">
        <x:v>comforting</x:v>
      </x:c>
      <x:c r="N124" s="38" t="str">
        <x:v>none</x:v>
      </x:c>
      <x:c r="O124" s="38" t="str">
        <x:v>FROZEN / NO HIGH-CONFIDENCE CHANGE</x:v>
      </x:c>
      <x:c r="P124" s="38" t="str">
        <x:v>Algerian handmade pasta ribbons served with chicken, chickpeas, vegetables, and spiced sauce.</x:v>
      </x:c>
      <x:c r="Q124" s="38" t="str">
        <x:v>Six-flavor V1 taxonomy frozen after this audit.</x:v>
      </x:c>
    </x:row>
    <x:row r="125" ht="56" customHeight="1">
      <x:c r="A125" s="38" t="n">
        <x:v>113</x:v>
      </x:c>
      <x:c r="B125" s="38" t="str">
        <x:v>yassa</x:v>
      </x:c>
      <x:c r="C125" s="38" t="str">
        <x:v>Yassa</x:v>
      </x:c>
      <x:c r="D125" s="38" t="str">
        <x:v>tangy | spicy</x:v>
      </x:c>
      <x:c r="E125" s="38" t="str">
        <x:v>KEEP</x:v>
      </x:c>
      <x:c r="F125" s="38" t="str">
        <x:v>KEEP — no high-confidence reason to remove the current tag in the final V1 pass.</x:v>
      </x:c>
      <x:c r="G125" s="38" t="str">
        <x:v>NO ADD</x:v>
      </x:c>
      <x:c r="H125" s="38" t="str">
        <x:v>NO ADD — no high-confidence evidence strong enough to add this tag in the final V1 pass.</x:v>
      </x:c>
      <x:c r="I125" s="38" t="str">
        <x:v>NO ADD</x:v>
      </x:c>
      <x:c r="J125" s="38" t="str">
        <x:v>NO ADD — no high-confidence evidence strong enough to add this tag in the final V1 pass.</x:v>
      </x:c>
      <x:c r="K125" s="38" t="str">
        <x:v>KEEP</x:v>
      </x:c>
      <x:c r="L125" s="38" t="str">
        <x:v>KEEP — no high-confidence reason to remove the current tag in the final V1 pass.</x:v>
      </x:c>
      <x:c r="M125" s="38" t="str">
        <x:v>tangy | spicy</x:v>
      </x:c>
      <x:c r="N125" s="38" t="str">
        <x:v>none</x:v>
      </x:c>
      <x:c r="O125" s="38" t="str">
        <x:v>FROZEN / NO HIGH-CONFIDENCE CHANGE</x:v>
      </x:c>
      <x:c r="P125" s="38" t="str">
        <x:v>Senegalese marinated chicken or fish cooked with onions, citrus, mustard, and chile.</x:v>
      </x:c>
      <x:c r="Q125" s="38" t="str">
        <x:v>Six-flavor V1 taxonomy frozen after this audit.</x:v>
      </x:c>
    </x:row>
    <x:row r="126" ht="56" customHeight="1">
      <x:c r="A126" s="38" t="n">
        <x:v>114</x:v>
      </x:c>
      <x:c r="B126" s="38" t="str">
        <x:v>bissara</x:v>
      </x:c>
      <x:c r="C126" s="38" t="str">
        <x:v>Bissara</x:v>
      </x:c>
      <x:c r="D126" s="38" t="str">
        <x:v>comforting</x:v>
      </x:c>
      <x:c r="E126" s="38" t="str">
        <x:v>NO ADD</x:v>
      </x:c>
      <x:c r="F126" s="38" t="str">
        <x:v>NO ADD — no high-confidence evidence strong enough to add this tag in the final V1 pass.</x:v>
      </x:c>
      <x:c r="G126" s="38" t="str">
        <x:v>NO ADD</x:v>
      </x:c>
      <x:c r="H126" s="38" t="str">
        <x:v>NO ADD — no high-confidence evidence strong enough to add this tag in the final V1 pass.</x:v>
      </x:c>
      <x:c r="I126" s="38" t="str">
        <x:v>NO ADD</x:v>
      </x:c>
      <x:c r="J126" s="38" t="str">
        <x:v>NO ADD — no high-confidence evidence strong enough to add this tag in the final V1 pass.</x:v>
      </x:c>
      <x:c r="K126" s="38" t="str">
        <x:v>NO ADD</x:v>
      </x:c>
      <x:c r="L126" s="38" t="str">
        <x:v>NO ADD — no high-confidence evidence strong enough to add this tag in the final V1 pass.</x:v>
      </x:c>
      <x:c r="M126" s="38" t="str">
        <x:v>comforting</x:v>
      </x:c>
      <x:c r="N126" s="38" t="str">
        <x:v>none</x:v>
      </x:c>
      <x:c r="O126" s="38" t="str">
        <x:v>FROZEN / NO HIGH-CONFIDENCE CHANGE</x:v>
      </x:c>
      <x:c r="P126" s="38" t="str">
        <x:v>North African fava-bean soup or purée finished with olive oil, cumin, and paprika.</x:v>
      </x:c>
      <x:c r="Q126" s="38" t="str">
        <x:v>Six-flavor V1 taxonomy frozen after this audit.</x:v>
      </x:c>
    </x:row>
    <x:row r="127" ht="56" customHeight="1">
      <x:c r="A127" s="38" t="n">
        <x:v>115</x:v>
      </x:c>
      <x:c r="B127" s="38" t="str">
        <x:v>shisa-nyama</x:v>
      </x:c>
      <x:c r="C127" s="38" t="str">
        <x:v>Shisa Nyama</x:v>
      </x:c>
      <x:c r="D127" s="38" t="str">
        <x:v>rich</x:v>
      </x:c>
      <x:c r="E127" s="38" t="str">
        <x:v>NO ADD</x:v>
      </x:c>
      <x:c r="F127" s="38" t="str">
        <x:v>NO ADD — no high-confidence evidence strong enough to add this tag in the final V1 pass.</x:v>
      </x:c>
      <x:c r="G127" s="38" t="str">
        <x:v>NO ADD</x:v>
      </x:c>
      <x:c r="H127" s="38" t="str">
        <x:v>NO ADD — no high-confidence evidence strong enough to add this tag in the final V1 pass.</x:v>
      </x:c>
      <x:c r="I127" s="38" t="str">
        <x:v>NO ADD</x:v>
      </x:c>
      <x:c r="J127" s="38" t="str">
        <x:v>NO ADD — no high-confidence evidence strong enough to add this tag in the final V1 pass.</x:v>
      </x:c>
      <x:c r="K127" s="38" t="str">
        <x:v>NO ADD</x:v>
      </x:c>
      <x:c r="L127" s="38" t="str">
        <x:v>NO ADD — no high-confidence evidence strong enough to add this tag in the final V1 pass.</x:v>
      </x:c>
      <x:c r="M127" s="38" t="str">
        <x:v>rich</x:v>
      </x:c>
      <x:c r="N127" s="38" t="str">
        <x:v>none</x:v>
      </x:c>
      <x:c r="O127" s="38" t="str">
        <x:v>FROZEN / NO HIGH-CONFIDENCE CHANGE</x:v>
      </x:c>
      <x:c r="P127" s="38" t="str">
        <x:v>South African township barbecue centered on meats grilled over hot coals and shared socially.</x:v>
      </x:c>
      <x:c r="Q127" s="38" t="str">
        <x:v>Six-flavor V1 taxonomy frozen after this audit.</x:v>
      </x:c>
    </x:row>
    <x:row r="128" ht="56" customHeight="1">
      <x:c r="A128" s="38" t="n">
        <x:v>116</x:v>
      </x:c>
      <x:c r="B128" s="38" t="str">
        <x:v>fideua</x:v>
      </x:c>
      <x:c r="C128" s="38" t="str">
        <x:v>Fideuà</x:v>
      </x:c>
      <x:c r="D128" s="38" t="str">
        <x:v>rich</x:v>
      </x:c>
      <x:c r="E128" s="38" t="str">
        <x:v>NO ADD</x:v>
      </x:c>
      <x:c r="F128" s="38" t="str">
        <x:v>NO ADD — no high-confidence evidence strong enough to add this tag in the final V1 pass.</x:v>
      </x:c>
      <x:c r="G128" s="38" t="str">
        <x:v>NO ADD</x:v>
      </x:c>
      <x:c r="H128" s="38" t="str">
        <x:v>NO ADD — no high-confidence evidence strong enough to add this tag in the final V1 pass.</x:v>
      </x:c>
      <x:c r="I128" s="38" t="str">
        <x:v>NO ADD</x:v>
      </x:c>
      <x:c r="J128" s="38" t="str">
        <x:v>NO ADD — no high-confidence evidence strong enough to add this tag in the final V1 pass.</x:v>
      </x:c>
      <x:c r="K128" s="38" t="str">
        <x:v>NO ADD</x:v>
      </x:c>
      <x:c r="L128" s="38" t="str">
        <x:v>NO ADD — no high-confidence evidence strong enough to add this tag in the final V1 pass.</x:v>
      </x:c>
      <x:c r="M128" s="38" t="str">
        <x:v>rich</x:v>
      </x:c>
      <x:c r="N128" s="38" t="str">
        <x:v>none</x:v>
      </x:c>
      <x:c r="O128" s="38" t="str">
        <x:v>FROZEN / NO HIGH-CONFIDENCE CHANGE</x:v>
      </x:c>
      <x:c r="P128" s="38" t="str">
        <x:v>Valencian toasted noodle dish cooked paella-style with seafood and savory stock.</x:v>
      </x:c>
      <x:c r="Q128" s="38" t="str">
        <x:v>Six-flavor V1 taxonomy frozen after this audit.</x:v>
      </x:c>
    </x:row>
    <x:row r="129" ht="56" customHeight="1">
      <x:c r="A129" s="38" t="n">
        <x:v>117</x:v>
      </x:c>
      <x:c r="B129" s="38" t="str">
        <x:v>borscht</x:v>
      </x:c>
      <x:c r="C129" s="38" t="str">
        <x:v>Borscht</x:v>
      </x:c>
      <x:c r="D129" s="38" t="str">
        <x:v>tangy | comforting | fresh</x:v>
      </x:c>
      <x:c r="E129" s="38" t="str">
        <x:v>NO ADD</x:v>
      </x:c>
      <x:c r="F129" s="38" t="str">
        <x:v>NO ADD — no high-confidence evidence strong enough to add this tag in the final V1 pass.</x:v>
      </x:c>
      <x:c r="G129" s="38" t="str">
        <x:v>REMOVE</x:v>
      </x:c>
      <x:c r="H129" s="38" t="str">
        <x:v>REMOVE — the row centers a cooked sour beet soup; tangy/comforting already capture the profile more precisely.</x:v>
      </x:c>
      <x:c r="I129" s="38" t="str">
        <x:v>NO ADD</x:v>
      </x:c>
      <x:c r="J129" s="38" t="str">
        <x:v>NO ADD — no high-confidence evidence strong enough to add this tag in the final V1 pass.</x:v>
      </x:c>
      <x:c r="K129" s="38" t="str">
        <x:v>KEEP</x:v>
      </x:c>
      <x:c r="L129" s="38" t="str">
        <x:v>KEEP — no high-confidence reason to remove the current tag in the final V1 pass.</x:v>
      </x:c>
      <x:c r="M129" s="38" t="str">
        <x:v>tangy | comforting</x:v>
      </x:c>
      <x:c r="N129" s="38" t="str">
        <x:v>remove fresh</x:v>
      </x:c>
      <x:c r="O129" s="38" t="str">
        <x:v>HIGH</x:v>
      </x:c>
      <x:c r="P129" s="38" t="str">
        <x:v>Ukrainian beet soup with vegetables, sour notes, and optional meat or sour cream.</x:v>
      </x:c>
      <x:c r="Q129" s="38" t="str">
        <x:v>Six-flavor V1 taxonomy frozen after this audit.</x:v>
      </x:c>
    </x:row>
    <x:row r="130" ht="56" customHeight="1">
      <x:c r="A130" s="38" t="n">
        <x:v>118</x:v>
      </x:c>
      <x:c r="B130" s="38" t="str">
        <x:v>pirozhki</x:v>
      </x:c>
      <x:c r="C130" s="38" t="str">
        <x:v>Pirozhki</x:v>
      </x:c>
      <x:c r="D130" s="38" t="str">
        <x:v>comforting</x:v>
      </x:c>
      <x:c r="E130" s="38" t="str">
        <x:v>NO ADD</x:v>
      </x:c>
      <x:c r="F130" s="38" t="str">
        <x:v>NO ADD — no high-confidence evidence strong enough to add this tag in the final V1 pass.</x:v>
      </x:c>
      <x:c r="G130" s="38" t="str">
        <x:v>NO ADD</x:v>
      </x:c>
      <x:c r="H130" s="38" t="str">
        <x:v>NO ADD — no high-confidence evidence strong enough to add this tag in the final V1 pass.</x:v>
      </x:c>
      <x:c r="I130" s="38" t="str">
        <x:v>NO ADD</x:v>
      </x:c>
      <x:c r="J130" s="38" t="str">
        <x:v>NO ADD — no high-confidence evidence strong enough to add this tag in the final V1 pass.</x:v>
      </x:c>
      <x:c r="K130" s="38" t="str">
        <x:v>NO ADD</x:v>
      </x:c>
      <x:c r="L130" s="38" t="str">
        <x:v>NO ADD — no high-confidence evidence strong enough to add this tag in the final V1 pass.</x:v>
      </x:c>
      <x:c r="M130" s="38" t="str">
        <x:v>comforting</x:v>
      </x:c>
      <x:c r="N130" s="38" t="str">
        <x:v>none</x:v>
      </x:c>
      <x:c r="O130" s="38" t="str">
        <x:v>FROZEN / NO HIGH-CONFIDENCE CHANGE</x:v>
      </x:c>
      <x:c r="P130" s="38" t="str">
        <x:v>Eastern European small filled buns baked or fried with savory or sweet fillings.</x:v>
      </x:c>
      <x:c r="Q130" s="38" t="str">
        <x:v>Six-flavor V1 taxonomy frozen after this audit.</x:v>
      </x:c>
    </x:row>
    <x:row r="131" ht="56" customHeight="1">
      <x:c r="A131" s="38" t="n">
        <x:v>119</x:v>
      </x:c>
      <x:c r="B131" s="38" t="str">
        <x:v>arroz-chaufa</x:v>
      </x:c>
      <x:c r="C131" s="38" t="str">
        <x:v>Arroz Chaufa</x:v>
      </x:c>
      <x:c r="D131" s="38" t="str">
        <x:v>comforting</x:v>
      </x:c>
      <x:c r="E131" s="38" t="str">
        <x:v>NO ADD</x:v>
      </x:c>
      <x:c r="F131" s="38" t="str">
        <x:v>NO ADD — no high-confidence evidence strong enough to add this tag in the final V1 pass.</x:v>
      </x:c>
      <x:c r="G131" s="38" t="str">
        <x:v>NO ADD</x:v>
      </x:c>
      <x:c r="H131" s="38" t="str">
        <x:v>NO ADD — no high-confidence evidence strong enough to add this tag in the final V1 pass.</x:v>
      </x:c>
      <x:c r="I131" s="38" t="str">
        <x:v>NO ADD</x:v>
      </x:c>
      <x:c r="J131" s="38" t="str">
        <x:v>NO ADD — no high-confidence evidence strong enough to add this tag in the final V1 pass.</x:v>
      </x:c>
      <x:c r="K131" s="38" t="str">
        <x:v>NO ADD</x:v>
      </x:c>
      <x:c r="L131" s="38" t="str">
        <x:v>NO ADD — no high-confidence evidence strong enough to add this tag in the final V1 pass.</x:v>
      </x:c>
      <x:c r="M131" s="38" t="str">
        <x:v>comforting</x:v>
      </x:c>
      <x:c r="N131" s="38" t="str">
        <x:v>none</x:v>
      </x:c>
      <x:c r="O131" s="38" t="str">
        <x:v>FROZEN / NO HIGH-CONFIDENCE CHANGE</x:v>
      </x:c>
      <x:c r="P131" s="38" t="str">
        <x:v>Peruvian-Chinese fried rice tossed with egg, scallions, soy sauce, vegetables, and protein.</x:v>
      </x:c>
      <x:c r="Q131" s="38" t="str">
        <x:v>Six-flavor V1 taxonomy frozen after this audit.</x:v>
      </x:c>
    </x:row>
    <x:row r="132" ht="56" customHeight="1">
      <x:c r="A132" s="38" t="n">
        <x:v>120</x:v>
      </x:c>
      <x:c r="B132" s="38" t="str">
        <x:v>pupusa</x:v>
      </x:c>
      <x:c r="C132" s="38" t="str">
        <x:v>Pupusa</x:v>
      </x:c>
      <x:c r="D132" s="38" t="str">
        <x:v>comforting | rich</x:v>
      </x:c>
      <x:c r="E132" s="38" t="str">
        <x:v>NO ADD</x:v>
      </x:c>
      <x:c r="F132" s="38" t="str">
        <x:v>NO ADD — no high-confidence evidence strong enough to add this tag in the final V1 pass.</x:v>
      </x:c>
      <x:c r="G132" s="38" t="str">
        <x:v>NO ADD</x:v>
      </x:c>
      <x:c r="H132" s="38" t="str">
        <x:v>NO ADD — no high-confidence evidence strong enough to add this tag in the final V1 pass.</x:v>
      </x:c>
      <x:c r="I132" s="38" t="str">
        <x:v>NO ADD</x:v>
      </x:c>
      <x:c r="J132" s="38" t="str">
        <x:v>NO ADD — no high-confidence evidence strong enough to add this tag in the final V1 pass.</x:v>
      </x:c>
      <x:c r="K132" s="38" t="str">
        <x:v>NO ADD</x:v>
      </x:c>
      <x:c r="L132" s="38" t="str">
        <x:v>NO ADD — no high-confidence evidence strong enough to add this tag in the final V1 pass.</x:v>
      </x:c>
      <x:c r="M132" s="38" t="str">
        <x:v>comforting | rich</x:v>
      </x:c>
      <x:c r="N132" s="38" t="str">
        <x:v>none</x:v>
      </x:c>
      <x:c r="O132" s="38" t="str">
        <x:v>FROZEN / NO HIGH-CONFIDENCE CHANGE</x:v>
      </x:c>
      <x:c r="P132" s="38" t="str">
        <x:v>Salvadoran stuffed corn or rice flatbread filled with cheese, beans, pork, or vegetables.</x:v>
      </x:c>
      <x:c r="Q132" s="38" t="str">
        <x:v>Six-flavor V1 taxonomy frozen after this audit.</x:v>
      </x:c>
    </x:row>
    <x:row r="133" ht="56" customHeight="1">
      <x:c r="A133" s="38" t="n">
        <x:v>121</x:v>
      </x:c>
      <x:c r="B133" s="38" t="str">
        <x:v>moqueca</x:v>
      </x:c>
      <x:c r="C133" s="38" t="str">
        <x:v>Moqueca</x:v>
      </x:c>
      <x:c r="D133" s="38" t="str">
        <x:v>fresh</x:v>
      </x:c>
      <x:c r="E133" s="38" t="str">
        <x:v>NO ADD</x:v>
      </x:c>
      <x:c r="F133" s="38" t="str">
        <x:v>NO ADD — no high-confidence evidence strong enough to add this tag in the final V1 pass.</x:v>
      </x:c>
      <x:c r="G133" s="38" t="str">
        <x:v>KEEP</x:v>
      </x:c>
      <x:c r="H133" s="38" t="str">
        <x:v>KEEP — no high-confidence reason to remove the current tag in the final V1 pass.</x:v>
      </x:c>
      <x:c r="I133" s="38" t="str">
        <x:v>NO ADD</x:v>
      </x:c>
      <x:c r="J133" s="38" t="str">
        <x:v>NO ADD — no high-confidence evidence strong enough to add this tag in the final V1 pass.</x:v>
      </x:c>
      <x:c r="K133" s="38" t="str">
        <x:v>NO ADD</x:v>
      </x:c>
      <x:c r="L133" s="38" t="str">
        <x:v>NO ADD — no high-confidence evidence strong enough to add this tag in the final V1 pass.</x:v>
      </x:c>
      <x:c r="M133" s="38" t="str">
        <x:v>fresh</x:v>
      </x:c>
      <x:c r="N133" s="38" t="str">
        <x:v>none</x:v>
      </x:c>
      <x:c r="O133" s="38" t="str">
        <x:v>FROZEN / NO HIGH-CONFIDENCE CHANGE</x:v>
      </x:c>
      <x:c r="P133" s="38" t="str">
        <x:v>Brazilian seafood stew with tomatoes, onions, lime, herbs, and regional coconut or palm-oil variations.</x:v>
      </x:c>
      <x:c r="Q133" s="38" t="str">
        <x:v>Six-flavor V1 taxonomy frozen after this audit.</x:v>
      </x:c>
    </x:row>
    <x:row r="134" ht="56" customHeight="1">
      <x:c r="A134" s="38" t="n">
        <x:v>122</x:v>
      </x:c>
      <x:c r="B134" s="38" t="str">
        <x:v>churrasco</x:v>
      </x:c>
      <x:c r="C134" s="38" t="str">
        <x:v>Churrasco</x:v>
      </x:c>
      <x:c r="D134" s="38" t="str">
        <x:v>rich</x:v>
      </x:c>
      <x:c r="E134" s="38" t="str">
        <x:v>NO ADD</x:v>
      </x:c>
      <x:c r="F134" s="38" t="str">
        <x:v>NO ADD — no high-confidence evidence strong enough to add this tag in the final V1 pass.</x:v>
      </x:c>
      <x:c r="G134" s="38" t="str">
        <x:v>NO ADD</x:v>
      </x:c>
      <x:c r="H134" s="38" t="str">
        <x:v>NO ADD — no high-confidence evidence strong enough to add this tag in the final V1 pass.</x:v>
      </x:c>
      <x:c r="I134" s="38" t="str">
        <x:v>NO ADD</x:v>
      </x:c>
      <x:c r="J134" s="38" t="str">
        <x:v>NO ADD — no high-confidence evidence strong enough to add this tag in the final V1 pass.</x:v>
      </x:c>
      <x:c r="K134" s="38" t="str">
        <x:v>NO ADD</x:v>
      </x:c>
      <x:c r="L134" s="38" t="str">
        <x:v>NO ADD — no high-confidence evidence strong enough to add this tag in the final V1 pass.</x:v>
      </x:c>
      <x:c r="M134" s="38" t="str">
        <x:v>rich</x:v>
      </x:c>
      <x:c r="N134" s="38" t="str">
        <x:v>none</x:v>
      </x:c>
      <x:c r="O134" s="38" t="str">
        <x:v>FROZEN / NO HIGH-CONFIDENCE CHANGE</x:v>
      </x:c>
      <x:c r="P134" s="38" t="str">
        <x:v>Brazilian-style barbecue featuring meats grilled over open fire or hot coals.</x:v>
      </x:c>
      <x:c r="Q134" s="38" t="str">
        <x:v>Six-flavor V1 taxonomy frozen after this audit.</x:v>
      </x:c>
    </x:row>
    <x:row r="135" ht="56" customHeight="1">
      <x:c r="A135" s="38" t="n">
        <x:v>123</x:v>
      </x:c>
      <x:c r="B135" s="38" t="str">
        <x:v>philly-cheesesteak</x:v>
      </x:c>
      <x:c r="C135" s="38" t="str">
        <x:v>Philly Cheesesteak</x:v>
      </x:c>
      <x:c r="D135" s="38" t="str">
        <x:v>rich | comforting</x:v>
      </x:c>
      <x:c r="E135" s="38" t="str">
        <x:v>NO ADD</x:v>
      </x:c>
      <x:c r="F135" s="38" t="str">
        <x:v>NO ADD — no high-confidence evidence strong enough to add this tag in the final V1 pass.</x:v>
      </x:c>
      <x:c r="G135" s="38" t="str">
        <x:v>NO ADD</x:v>
      </x:c>
      <x:c r="H135" s="38" t="str">
        <x:v>NO ADD — no high-confidence evidence strong enough to add this tag in the final V1 pass.</x:v>
      </x:c>
      <x:c r="I135" s="38" t="str">
        <x:v>NO ADD</x:v>
      </x:c>
      <x:c r="J135" s="38" t="str">
        <x:v>NO ADD — no high-confidence evidence strong enough to add this tag in the final V1 pass.</x:v>
      </x:c>
      <x:c r="K135" s="38" t="str">
        <x:v>NO ADD</x:v>
      </x:c>
      <x:c r="L135" s="38" t="str">
        <x:v>NO ADD — no high-confidence evidence strong enough to add this tag in the final V1 pass.</x:v>
      </x:c>
      <x:c r="M135" s="38" t="str">
        <x:v>rich | comforting</x:v>
      </x:c>
      <x:c r="N135" s="38" t="str">
        <x:v>none</x:v>
      </x:c>
      <x:c r="O135" s="38" t="str">
        <x:v>FROZEN / NO HIGH-CONFIDENCE CHANGE</x:v>
      </x:c>
      <x:c r="P135" s="38" t="str">
        <x:v>Philadelphia sandwich of thin-sliced beef and melted cheese in a long roll.</x:v>
      </x:c>
      <x:c r="Q135" s="38" t="str">
        <x:v>Six-flavor V1 taxonomy frozen after this audit.</x:v>
      </x:c>
    </x:row>
    <x:row r="136" ht="56" customHeight="1">
      <x:c r="A136" s="38" t="n">
        <x:v>124</x:v>
      </x:c>
      <x:c r="B136" s="38" t="str">
        <x:v>chili-con-carne</x:v>
      </x:c>
      <x:c r="C136" s="38" t="str">
        <x:v>Chili con Carne</x:v>
      </x:c>
      <x:c r="D136" s="38" t="str">
        <x:v>spicy | rich</x:v>
      </x:c>
      <x:c r="E136" s="38" t="str">
        <x:v>KEEP</x:v>
      </x:c>
      <x:c r="F136" s="38" t="str">
        <x:v>KEEP — no high-confidence reason to remove the current tag in the final V1 pass.</x:v>
      </x:c>
      <x:c r="G136" s="38" t="str">
        <x:v>NO ADD</x:v>
      </x:c>
      <x:c r="H136" s="38" t="str">
        <x:v>NO ADD — no high-confidence evidence strong enough to add this tag in the final V1 pass.</x:v>
      </x:c>
      <x:c r="I136" s="38" t="str">
        <x:v>NO ADD</x:v>
      </x:c>
      <x:c r="J136" s="38" t="str">
        <x:v>NO ADD — no high-confidence evidence strong enough to add this tag in the final V1 pass.</x:v>
      </x:c>
      <x:c r="K136" s="38" t="str">
        <x:v>NO ADD</x:v>
      </x:c>
      <x:c r="L136" s="38" t="str">
        <x:v>NO ADD — no high-confidence evidence strong enough to add this tag in the final V1 pass.</x:v>
      </x:c>
      <x:c r="M136" s="38" t="str">
        <x:v>spicy | rich</x:v>
      </x:c>
      <x:c r="N136" s="38" t="str">
        <x:v>none</x:v>
      </x:c>
      <x:c r="O136" s="38" t="str">
        <x:v>FROZEN / NO HIGH-CONFIDENCE CHANGE</x:v>
      </x:c>
      <x:c r="P136" s="38" t="str">
        <x:v>American chile-and-meat stew with tomatoes, spices, and optional beans.</x:v>
      </x:c>
      <x:c r="Q136" s="38" t="str">
        <x:v>Six-flavor V1 taxonomy frozen after this audit.</x:v>
      </x:c>
    </x:row>
    <x:row r="137" ht="56" customHeight="1">
      <x:c r="A137" s="38" t="n">
        <x:v>125</x:v>
      </x:c>
      <x:c r="B137" s="38" t="str">
        <x:v>baked-ziti</x:v>
      </x:c>
      <x:c r="C137" s="38" t="str">
        <x:v>Baked Ziti</x:v>
      </x:c>
      <x:c r="D137" s="38" t="str">
        <x:v>rich | comforting</x:v>
      </x:c>
      <x:c r="E137" s="38" t="str">
        <x:v>NO ADD</x:v>
      </x:c>
      <x:c r="F137" s="38" t="str">
        <x:v>NO ADD — no high-confidence evidence strong enough to add this tag in the final V1 pass.</x:v>
      </x:c>
      <x:c r="G137" s="38" t="str">
        <x:v>NO ADD</x:v>
      </x:c>
      <x:c r="H137" s="38" t="str">
        <x:v>NO ADD — no high-confidence evidence strong enough to add this tag in the final V1 pass.</x:v>
      </x:c>
      <x:c r="I137" s="38" t="str">
        <x:v>NO ADD</x:v>
      </x:c>
      <x:c r="J137" s="38" t="str">
        <x:v>NO ADD — no high-confidence evidence strong enough to add this tag in the final V1 pass.</x:v>
      </x:c>
      <x:c r="K137" s="38" t="str">
        <x:v>NO ADD</x:v>
      </x:c>
      <x:c r="L137" s="38" t="str">
        <x:v>NO ADD — no high-confidence evidence strong enough to add this tag in the final V1 pass.</x:v>
      </x:c>
      <x:c r="M137" s="38" t="str">
        <x:v>rich | comforting</x:v>
      </x:c>
      <x:c r="N137" s="38" t="str">
        <x:v>none</x:v>
      </x:c>
      <x:c r="O137" s="38" t="str">
        <x:v>FROZEN / NO HIGH-CONFIDENCE CHANGE</x:v>
      </x:c>
      <x:c r="P137" s="38" t="str">
        <x:v>Italian-American baked pasta layered with tomato sauce, cheese, and optional meat.</x:v>
      </x:c>
      <x:c r="Q137" s="38" t="str">
        <x:v>Six-flavor V1 taxonomy frozen after this audit.</x:v>
      </x:c>
    </x:row>
    <x:row r="138" ht="56" customHeight="1">
      <x:c r="A138" s="38" t="n">
        <x:v>126</x:v>
      </x:c>
      <x:c r="B138" s="38" t="str">
        <x:v>mapo-tofu</x:v>
      </x:c>
      <x:c r="C138" s="38" t="str">
        <x:v>Mapo Tofu</x:v>
      </x:c>
      <x:c r="D138" s="38" t="str">
        <x:v>spicy | rich</x:v>
      </x:c>
      <x:c r="E138" s="38" t="str">
        <x:v>KEEP</x:v>
      </x:c>
      <x:c r="F138" s="38" t="str">
        <x:v>KEEP — no high-confidence reason to remove the current tag in the final V1 pass.</x:v>
      </x:c>
      <x:c r="G138" s="38" t="str">
        <x:v>NO ADD</x:v>
      </x:c>
      <x:c r="H138" s="38" t="str">
        <x:v>NO ADD — no high-confidence evidence strong enough to add this tag in the final V1 pass.</x:v>
      </x:c>
      <x:c r="I138" s="38" t="str">
        <x:v>NO ADD</x:v>
      </x:c>
      <x:c r="J138" s="38" t="str">
        <x:v>NO ADD — no high-confidence evidence strong enough to add this tag in the final V1 pass.</x:v>
      </x:c>
      <x:c r="K138" s="38" t="str">
        <x:v>NO ADD</x:v>
      </x:c>
      <x:c r="L138" s="38" t="str">
        <x:v>NO ADD — no high-confidence evidence strong enough to add this tag in the final V1 pass.</x:v>
      </x:c>
      <x:c r="M138" s="38" t="str">
        <x:v>spicy | rich</x:v>
      </x:c>
      <x:c r="N138" s="38" t="str">
        <x:v>none</x:v>
      </x:c>
      <x:c r="O138" s="38" t="str">
        <x:v>FROZEN / NO HIGH-CONFIDENCE CHANGE</x:v>
      </x:c>
      <x:c r="P138" s="38" t="str">
        <x:v>Sichuan tofu in a spicy chile-and-bean sauce with minced meat and numbing peppercorn.</x:v>
      </x:c>
      <x:c r="Q138" s="38" t="str">
        <x:v>Six-flavor V1 taxonomy frozen after this audit.</x:v>
      </x:c>
    </x:row>
    <x:row r="139" ht="56" customHeight="1">
      <x:c r="A139" s="38" t="n">
        <x:v>127</x:v>
      </x:c>
      <x:c r="B139" s="38" t="str">
        <x:v>japchae</x:v>
      </x:c>
      <x:c r="C139" s="38" t="str">
        <x:v>Japchae</x:v>
      </x:c>
      <x:c r="D139" s="38" t="str">
        <x:v>fresh</x:v>
      </x:c>
      <x:c r="E139" s="38" t="str">
        <x:v>NO ADD</x:v>
      </x:c>
      <x:c r="F139" s="38" t="str">
        <x:v>NO ADD — no high-confidence evidence strong enough to add this tag in the final V1 pass.</x:v>
      </x:c>
      <x:c r="G139" s="38" t="str">
        <x:v>KEEP</x:v>
      </x:c>
      <x:c r="H139" s="38" t="str">
        <x:v>KEEP — no high-confidence reason to remove the current tag in the final V1 pass.</x:v>
      </x:c>
      <x:c r="I139" s="38" t="str">
        <x:v>NO ADD</x:v>
      </x:c>
      <x:c r="J139" s="38" t="str">
        <x:v>NO ADD — no high-confidence evidence strong enough to add this tag in the final V1 pass.</x:v>
      </x:c>
      <x:c r="K139" s="38" t="str">
        <x:v>NO ADD</x:v>
      </x:c>
      <x:c r="L139" s="38" t="str">
        <x:v>NO ADD — no high-confidence evidence strong enough to add this tag in the final V1 pass.</x:v>
      </x:c>
      <x:c r="M139" s="38" t="str">
        <x:v>fresh</x:v>
      </x:c>
      <x:c r="N139" s="38" t="str">
        <x:v>none</x:v>
      </x:c>
      <x:c r="O139" s="38" t="str">
        <x:v>FROZEN / NO HIGH-CONFIDENCE CHANGE</x:v>
      </x:c>
      <x:c r="P139" s="38" t="str">
        <x:v>Korean sweet-potato glass noodles stir-fried with vegetables, sesame, and savory seasoning.</x:v>
      </x:c>
      <x:c r="Q139" s="38" t="str">
        <x:v>Six-flavor V1 taxonomy frozen after this audit.</x:v>
      </x:c>
    </x:row>
    <x:row r="140" ht="56" customHeight="1">
      <x:c r="A140" s="38" t="n">
        <x:v>128</x:v>
      </x:c>
      <x:c r="B140" s="38" t="str">
        <x:v>onigiri</x:v>
      </x:c>
      <x:c r="C140" s="38" t="str">
        <x:v>Onigiri</x:v>
      </x:c>
      <x:c r="D140" s="38" t="str">
        <x:v>comforting</x:v>
      </x:c>
      <x:c r="E140" s="38" t="str">
        <x:v>NO ADD</x:v>
      </x:c>
      <x:c r="F140" s="38" t="str">
        <x:v>NO ADD — no high-confidence evidence strong enough to add this tag in the final V1 pass.</x:v>
      </x:c>
      <x:c r="G140" s="38" t="str">
        <x:v>NO ADD</x:v>
      </x:c>
      <x:c r="H140" s="38" t="str">
        <x:v>NO ADD — no high-confidence evidence strong enough to add this tag in the final V1 pass.</x:v>
      </x:c>
      <x:c r="I140" s="38" t="str">
        <x:v>NO ADD</x:v>
      </x:c>
      <x:c r="J140" s="38" t="str">
        <x:v>NO ADD — no high-confidence evidence strong enough to add this tag in the final V1 pass.</x:v>
      </x:c>
      <x:c r="K140" s="38" t="str">
        <x:v>NO ADD</x:v>
      </x:c>
      <x:c r="L140" s="38" t="str">
        <x:v>NO ADD — no high-confidence evidence strong enough to add this tag in the final V1 pass.</x:v>
      </x:c>
      <x:c r="M140" s="38" t="str">
        <x:v>comforting</x:v>
      </x:c>
      <x:c r="N140" s="38" t="str">
        <x:v>none</x:v>
      </x:c>
      <x:c r="O140" s="38" t="str">
        <x:v>FROZEN / NO HIGH-CONFIDENCE CHANGE</x:v>
      </x:c>
      <x:c r="P140" s="38" t="str">
        <x:v>Japanese rice balls shaped by hand and filled or seasoned with savory ingredients.</x:v>
      </x:c>
      <x:c r="Q140" s="38" t="str">
        <x:v>Six-flavor V1 taxonomy frozen after this audit.</x:v>
      </x:c>
    </x:row>
    <x:row r="141" ht="56" customHeight="1">
      <x:c r="A141" s="38" t="n">
        <x:v>129</x:v>
      </x:c>
      <x:c r="B141" s="38" t="str">
        <x:v>goi-cuon</x:v>
      </x:c>
      <x:c r="C141" s="38" t="str">
        <x:v>Gỏi Cuốn</x:v>
      </x:c>
      <x:c r="D141" s="38" t="str">
        <x:v>fresh | tangy</x:v>
      </x:c>
      <x:c r="E141" s="38" t="str">
        <x:v>NO ADD</x:v>
      </x:c>
      <x:c r="F141" s="38" t="str">
        <x:v>NO ADD — no high-confidence evidence strong enough to add this tag in the final V1 pass.</x:v>
      </x:c>
      <x:c r="G141" s="38" t="str">
        <x:v>KEEP</x:v>
      </x:c>
      <x:c r="H141" s="38" t="str">
        <x:v>KEEP — no high-confidence reason to remove the current tag in the final V1 pass.</x:v>
      </x:c>
      <x:c r="I141" s="38" t="str">
        <x:v>NO ADD</x:v>
      </x:c>
      <x:c r="J141" s="38" t="str">
        <x:v>NO ADD — no high-confidence evidence strong enough to add this tag in the final V1 pass.</x:v>
      </x:c>
      <x:c r="K141" s="38" t="str">
        <x:v>REMOVE</x:v>
      </x:c>
      <x:c r="L141" s="38" t="str">
        <x:v>REMOVE — the rolls themselves are described as light/fresh; tanginess depends on the dipping sauce.</x:v>
      </x:c>
      <x:c r="M141" s="38" t="str">
        <x:v>fresh</x:v>
      </x:c>
      <x:c r="N141" s="38" t="str">
        <x:v>remove tangy</x:v>
      </x:c>
      <x:c r="O141" s="38" t="str">
        <x:v>HIGH</x:v>
      </x:c>
      <x:c r="P141" s="38" t="str">
        <x:v>Vietnamese fresh rice-paper rolls packed with herbs, noodles, vegetables, and shrimp or pork.</x:v>
      </x:c>
      <x:c r="Q141" s="38" t="str">
        <x:v>Six-flavor V1 taxonomy frozen after this audit.</x:v>
      </x:c>
    </x:row>
    <x:row r="142" ht="56" customHeight="1">
      <x:c r="A142" s="38" t="n">
        <x:v>130</x:v>
      </x:c>
      <x:c r="B142" s="38" t="str">
        <x:v>banh-xeo</x:v>
      </x:c>
      <x:c r="C142" s="38" t="str">
        <x:v>Bánh Xèo</x:v>
      </x:c>
      <x:c r="D142" s="38" t="str">
        <x:v>crispy | fresh</x:v>
      </x:c>
      <x:c r="E142" s="38" t="str">
        <x:v>NO ADD</x:v>
      </x:c>
      <x:c r="F142" s="38" t="str">
        <x:v>NO ADD — no high-confidence evidence strong enough to add this tag in the final V1 pass.</x:v>
      </x:c>
      <x:c r="G142" s="38" t="str">
        <x:v>KEEP</x:v>
      </x:c>
      <x:c r="H142" s="38" t="str">
        <x:v>KEEP — no high-confidence reason to remove the current tag in the final V1 pass.</x:v>
      </x:c>
      <x:c r="I142" s="38" t="str">
        <x:v>KEEP</x:v>
      </x:c>
      <x:c r="J142" s="38" t="str">
        <x:v>KEEP — no high-confidence reason to remove the current tag in the final V1 pass.</x:v>
      </x:c>
      <x:c r="K142" s="38" t="str">
        <x:v>NO ADD</x:v>
      </x:c>
      <x:c r="L142" s="38" t="str">
        <x:v>NO ADD — no high-confidence evidence strong enough to add this tag in the final V1 pass.</x:v>
      </x:c>
      <x:c r="M142" s="38" t="str">
        <x:v>crispy | fresh</x:v>
      </x:c>
      <x:c r="N142" s="38" t="str">
        <x:v>none</x:v>
      </x:c>
      <x:c r="O142" s="38" t="str">
        <x:v>FROZEN / NO HIGH-CONFIDENCE CHANGE</x:v>
      </x:c>
      <x:c r="P142" s="38" t="str">
        <x:v>Crisp Vietnamese turmeric crepe filled with pork, shrimp, bean sprouts, and fresh herbs.</x:v>
      </x:c>
      <x:c r="Q142" s="38" t="str">
        <x:v>Six-flavor V1 taxonomy frozen after this audit.</x:v>
      </x:c>
    </x:row>
    <x:row r="143" ht="56" customHeight="1">
      <x:c r="A143" s="38" t="n">
        <x:v>131</x:v>
      </x:c>
      <x:c r="B143" s="38" t="str">
        <x:v>ikan-bakar</x:v>
      </x:c>
      <x:c r="C143" s="38" t="str">
        <x:v>Ikan Bakar</x:v>
      </x:c>
      <x:c r="D143" s="38" t="str">
        <x:v>spicy | fresh</x:v>
      </x:c>
      <x:c r="E143" s="38" t="str">
        <x:v>KEEP</x:v>
      </x:c>
      <x:c r="F143" s="38" t="str">
        <x:v>KEEP — no high-confidence reason to remove the current tag in the final V1 pass.</x:v>
      </x:c>
      <x:c r="G143" s="38" t="str">
        <x:v>KEEP</x:v>
      </x:c>
      <x:c r="H143" s="38" t="str">
        <x:v>KEEP — no high-confidence reason to remove the current tag in the final V1 pass.</x:v>
      </x:c>
      <x:c r="I143" s="38" t="str">
        <x:v>NO ADD</x:v>
      </x:c>
      <x:c r="J143" s="38" t="str">
        <x:v>NO ADD — no high-confidence evidence strong enough to add this tag in the final V1 pass.</x:v>
      </x:c>
      <x:c r="K143" s="38" t="str">
        <x:v>NO ADD</x:v>
      </x:c>
      <x:c r="L143" s="38" t="str">
        <x:v>NO ADD — no high-confidence evidence strong enough to add this tag in the final V1 pass.</x:v>
      </x:c>
      <x:c r="M143" s="38" t="str">
        <x:v>spicy | fresh</x:v>
      </x:c>
      <x:c r="N143" s="38" t="str">
        <x:v>none</x:v>
      </x:c>
      <x:c r="O143" s="38" t="str">
        <x:v>FROZEN / NO HIGH-CONFIDENCE CHANGE</x:v>
      </x:c>
      <x:c r="P143" s="38" t="str">
        <x:v>Indonesian or Malay grilled fish coated with aromatic spices, chile, and regional sauces.</x:v>
      </x:c>
      <x:c r="Q143" s="38" t="str">
        <x:v>Six-flavor V1 taxonomy frozen after this audit.</x:v>
      </x:c>
    </x:row>
    <x:row r="144" ht="56" customHeight="1">
      <x:c r="A144" s="38" t="n">
        <x:v>132</x:v>
      </x:c>
      <x:c r="B144" s="38" t="str">
        <x:v>khichdi</x:v>
      </x:c>
      <x:c r="C144" s="38" t="str">
        <x:v>Khichdi</x:v>
      </x:c>
      <x:c r="D144" s="38" t="str">
        <x:v>comforting | fresh</x:v>
      </x:c>
      <x:c r="E144" s="38" t="str">
        <x:v>NO ADD</x:v>
      </x:c>
      <x:c r="F144" s="38" t="str">
        <x:v>NO ADD — no high-confidence evidence strong enough to add this tag in the final V1 pass.</x:v>
      </x:c>
      <x:c r="G144" s="38" t="str">
        <x:v>REMOVE</x:v>
      </x:c>
      <x:c r="H144" s="38" t="str">
        <x:v>REMOVE — the row centers rice and lentils cooked soft as comfort food rather than a bright fresh profile.</x:v>
      </x:c>
      <x:c r="I144" s="38" t="str">
        <x:v>NO ADD</x:v>
      </x:c>
      <x:c r="J144" s="38" t="str">
        <x:v>NO ADD — no high-confidence evidence strong enough to add this tag in the final V1 pass.</x:v>
      </x:c>
      <x:c r="K144" s="38" t="str">
        <x:v>NO ADD</x:v>
      </x:c>
      <x:c r="L144" s="38" t="str">
        <x:v>NO ADD — no high-confidence evidence strong enough to add this tag in the final V1 pass.</x:v>
      </x:c>
      <x:c r="M144" s="38" t="str">
        <x:v>comforting</x:v>
      </x:c>
      <x:c r="N144" s="38" t="str">
        <x:v>remove fresh</x:v>
      </x:c>
      <x:c r="O144" s="38" t="str">
        <x:v>HIGH</x:v>
      </x:c>
      <x:c r="P144" s="38" t="str">
        <x:v>South Asian rice-and-lentil comfort dish cooked soft with spices and optional vegetables.</x:v>
      </x:c>
      <x:c r="Q144" s="38" t="str">
        <x:v>Six-flavor V1 taxonomy frozen after this audit.</x:v>
      </x:c>
    </x:row>
    <x:row r="145" ht="56" customHeight="1">
      <x:c r="A145" s="38" t="n">
        <x:v>133</x:v>
      </x:c>
      <x:c r="B145" s="38" t="str">
        <x:v>kathi-roll</x:v>
      </x:c>
      <x:c r="C145" s="38" t="str">
        <x:v>Kathi Roll</x:v>
      </x:c>
      <x:c r="D145" s="38" t="str">
        <x:v>comforting</x:v>
      </x:c>
      <x:c r="E145" s="38" t="str">
        <x:v>NO ADD</x:v>
      </x:c>
      <x:c r="F145" s="38" t="str">
        <x:v>NO ADD — no high-confidence evidence strong enough to add this tag in the final V1 pass.</x:v>
      </x:c>
      <x:c r="G145" s="38" t="str">
        <x:v>NO ADD</x:v>
      </x:c>
      <x:c r="H145" s="38" t="str">
        <x:v>NO ADD — no high-confidence evidence strong enough to add this tag in the final V1 pass.</x:v>
      </x:c>
      <x:c r="I145" s="38" t="str">
        <x:v>NO ADD</x:v>
      </x:c>
      <x:c r="J145" s="38" t="str">
        <x:v>NO ADD — no high-confidence evidence strong enough to add this tag in the final V1 pass.</x:v>
      </x:c>
      <x:c r="K145" s="38" t="str">
        <x:v>NO ADD</x:v>
      </x:c>
      <x:c r="L145" s="38" t="str">
        <x:v>NO ADD — no high-confidence evidence strong enough to add this tag in the final V1 pass.</x:v>
      </x:c>
      <x:c r="M145" s="38" t="str">
        <x:v>comforting</x:v>
      </x:c>
      <x:c r="N145" s="38" t="str">
        <x:v>none</x:v>
      </x:c>
      <x:c r="O145" s="38" t="str">
        <x:v>FROZEN / NO HIGH-CONFIDENCE CHANGE</x:v>
      </x:c>
      <x:c r="P145" s="38" t="str">
        <x:v>Kolkata-style flatbread roll wrapped around grilled fillings, onions, sauces, and spices.</x:v>
      </x:c>
      <x:c r="Q145" s="38" t="str">
        <x:v>Six-flavor V1 taxonomy frozen after this audit.</x:v>
      </x:c>
    </x:row>
    <x:row r="146" ht="56" customHeight="1">
      <x:c r="A146" s="38" t="n">
        <x:v>134</x:v>
      </x:c>
      <x:c r="B146" s="38" t="str">
        <x:v>korma</x:v>
      </x:c>
      <x:c r="C146" s="38" t="str">
        <x:v>Korma</x:v>
      </x:c>
      <x:c r="D146" s="38" t="str">
        <x:v>rich | comforting</x:v>
      </x:c>
      <x:c r="E146" s="38" t="str">
        <x:v>NO ADD</x:v>
      </x:c>
      <x:c r="F146" s="38" t="str">
        <x:v>NO ADD — no high-confidence evidence strong enough to add this tag in the final V1 pass.</x:v>
      </x:c>
      <x:c r="G146" s="38" t="str">
        <x:v>NO ADD</x:v>
      </x:c>
      <x:c r="H146" s="38" t="str">
        <x:v>NO ADD — no high-confidence evidence strong enough to add this tag in the final V1 pass.</x:v>
      </x:c>
      <x:c r="I146" s="38" t="str">
        <x:v>NO ADD</x:v>
      </x:c>
      <x:c r="J146" s="38" t="str">
        <x:v>NO ADD — no high-confidence evidence strong enough to add this tag in the final V1 pass.</x:v>
      </x:c>
      <x:c r="K146" s="38" t="str">
        <x:v>NO ADD</x:v>
      </x:c>
      <x:c r="L146" s="38" t="str">
        <x:v>NO ADD — no high-confidence evidence strong enough to add this tag in the final V1 pass.</x:v>
      </x:c>
      <x:c r="M146" s="38" t="str">
        <x:v>rich | comforting</x:v>
      </x:c>
      <x:c r="N146" s="38" t="str">
        <x:v>none</x:v>
      </x:c>
      <x:c r="O146" s="38" t="str">
        <x:v>FROZEN / NO HIGH-CONFIDENCE CHANGE</x:v>
      </x:c>
      <x:c r="P146" s="38" t="str">
        <x:v>South Asian meat or vegetables braised in a fragrant sauce enriched with yogurt, cream, or nuts.</x:v>
      </x:c>
      <x:c r="Q146" s="38" t="str">
        <x:v>Six-flavor V1 taxonomy frozen after this audit.</x:v>
      </x:c>
    </x:row>
    <x:row r="147" ht="56" customHeight="1">
      <x:c r="A147" s="38" t="n">
        <x:v>135</x:v>
      </x:c>
      <x:c r="B147" s="38" t="str">
        <x:v>musakhan</x:v>
      </x:c>
      <x:c r="C147" s="38" t="str">
        <x:v>Musakhan</x:v>
      </x:c>
      <x:c r="D147" s="38" t="str">
        <x:v>tangy | rich</x:v>
      </x:c>
      <x:c r="E147" s="38" t="str">
        <x:v>NO ADD</x:v>
      </x:c>
      <x:c r="F147" s="38" t="str">
        <x:v>NO ADD — no high-confidence evidence strong enough to add this tag in the final V1 pass.</x:v>
      </x:c>
      <x:c r="G147" s="38" t="str">
        <x:v>NO ADD</x:v>
      </x:c>
      <x:c r="H147" s="38" t="str">
        <x:v>NO ADD — no high-confidence evidence strong enough to add this tag in the final V1 pass.</x:v>
      </x:c>
      <x:c r="I147" s="38" t="str">
        <x:v>NO ADD</x:v>
      </x:c>
      <x:c r="J147" s="38" t="str">
        <x:v>NO ADD — no high-confidence evidence strong enough to add this tag in the final V1 pass.</x:v>
      </x:c>
      <x:c r="K147" s="38" t="str">
        <x:v>KEEP</x:v>
      </x:c>
      <x:c r="L147" s="38" t="str">
        <x:v>KEEP — no high-confidence reason to remove the current tag in the final V1 pass.</x:v>
      </x:c>
      <x:c r="M147" s="38" t="str">
        <x:v>tangy | rich</x:v>
      </x:c>
      <x:c r="N147" s="38" t="str">
        <x:v>none</x:v>
      </x:c>
      <x:c r="O147" s="38" t="str">
        <x:v>FROZEN / NO HIGH-CONFIDENCE CHANGE</x:v>
      </x:c>
      <x:c r="P147" s="38" t="str">
        <x:v>Palestinian sumac-roasted chicken served over onion-soaked taboon bread with olive oil.</x:v>
      </x:c>
      <x:c r="Q147" s="38" t="str">
        <x:v>Six-flavor V1 taxonomy frozen after this audit.</x:v>
      </x:c>
    </x:row>
    <x:row r="148" ht="56" customHeight="1">
      <x:c r="A148" s="38" t="n">
        <x:v>136</x:v>
      </x:c>
      <x:c r="B148" s="38" t="str">
        <x:v>harees</x:v>
      </x:c>
      <x:c r="C148" s="38" t="str">
        <x:v>Harees</x:v>
      </x:c>
      <x:c r="D148" s="38" t="str">
        <x:v>comforting | rich</x:v>
      </x:c>
      <x:c r="E148" s="38" t="str">
        <x:v>NO ADD</x:v>
      </x:c>
      <x:c r="F148" s="38" t="str">
        <x:v>NO ADD — no high-confidence evidence strong enough to add this tag in the final V1 pass.</x:v>
      </x:c>
      <x:c r="G148" s="38" t="str">
        <x:v>NO ADD</x:v>
      </x:c>
      <x:c r="H148" s="38" t="str">
        <x:v>NO ADD — no high-confidence evidence strong enough to add this tag in the final V1 pass.</x:v>
      </x:c>
      <x:c r="I148" s="38" t="str">
        <x:v>NO ADD</x:v>
      </x:c>
      <x:c r="J148" s="38" t="str">
        <x:v>NO ADD — no high-confidence evidence strong enough to add this tag in the final V1 pass.</x:v>
      </x:c>
      <x:c r="K148" s="38" t="str">
        <x:v>NO ADD</x:v>
      </x:c>
      <x:c r="L148" s="38" t="str">
        <x:v>NO ADD — no high-confidence evidence strong enough to add this tag in the final V1 pass.</x:v>
      </x:c>
      <x:c r="M148" s="38" t="str">
        <x:v>comforting | rich</x:v>
      </x:c>
      <x:c r="N148" s="38" t="str">
        <x:v>none</x:v>
      </x:c>
      <x:c r="O148" s="38" t="str">
        <x:v>FROZEN / NO HIGH-CONFIDENCE CHANGE</x:v>
      </x:c>
      <x:c r="P148" s="38" t="str">
        <x:v>Gulf wheat-and-meat porridge slow-cooked until creamy, cohesive, and deeply comforting.</x:v>
      </x:c>
      <x:c r="Q148" s="38" t="str">
        <x:v>Six-flavor V1 taxonomy frozen after this audit.</x:v>
      </x:c>
    </x:row>
    <x:row r="149" ht="56" customHeight="1">
      <x:c r="A149" s="38" t="n">
        <x:v>137</x:v>
      </x:c>
      <x:c r="B149" s="38" t="str">
        <x:v>lahmacun</x:v>
      </x:c>
      <x:c r="C149" s="38" t="str">
        <x:v>Lahmacun</x:v>
      </x:c>
      <x:c r="D149" s="38" t="str">
        <x:v>fresh | crispy | spicy</x:v>
      </x:c>
      <x:c r="E149" s="38" t="str">
        <x:v>REMOVE</x:v>
      </x:c>
      <x:c r="F149" s="38" t="str">
        <x:v>REMOVE — peppers and spices are present, but the row does not establish hot chile intensity as a defining trait.</x:v>
      </x:c>
      <x:c r="G149" s="38" t="str">
        <x:v>KEEP</x:v>
      </x:c>
      <x:c r="H149" s="38" t="str">
        <x:v>KEEP — no high-confidence reason to remove the current tag in the final V1 pass.</x:v>
      </x:c>
      <x:c r="I149" s="38" t="str">
        <x:v>REMOVE</x:v>
      </x:c>
      <x:c r="J149" s="38" t="str">
        <x:v>REMOVE — the row says thin baked flatbread but does not establish crisp texture as a defining property.</x:v>
      </x:c>
      <x:c r="K149" s="38" t="str">
        <x:v>NO ADD</x:v>
      </x:c>
      <x:c r="L149" s="38" t="str">
        <x:v>NO ADD — no high-confidence evidence strong enough to add this tag in the final V1 pass.</x:v>
      </x:c>
      <x:c r="M149" s="38" t="str">
        <x:v>fresh</x:v>
      </x:c>
      <x:c r="N149" s="38" t="str">
        <x:v>remove spicy; remove crispy</x:v>
      </x:c>
      <x:c r="O149" s="38" t="str">
        <x:v>HIGH</x:v>
      </x:c>
      <x:c r="P149" s="38" t="str">
        <x:v>Thin flatbread baked with seasoned minced meat, herbs, tomato, and pepper.</x:v>
      </x:c>
      <x:c r="Q149" s="38" t="str">
        <x:v>Six-flavor V1 taxonomy frozen after this audit.</x:v>
      </x:c>
    </x:row>
    <x:row r="150" ht="56" customHeight="1">
      <x:c r="A150" s="38" t="n">
        <x:v>138</x:v>
      </x:c>
      <x:c r="B150" s="38" t="str">
        <x:v>ful-medames</x:v>
      </x:c>
      <x:c r="C150" s="38" t="str">
        <x:v>Ful Medames</x:v>
      </x:c>
      <x:c r="D150" s="38" t="str">
        <x:v>comforting | fresh</x:v>
      </x:c>
      <x:c r="E150" s="38" t="str">
        <x:v>NO ADD</x:v>
      </x:c>
      <x:c r="F150" s="38" t="str">
        <x:v>NO ADD — no high-confidence evidence strong enough to add this tag in the final V1 pass.</x:v>
      </x:c>
      <x:c r="G150" s="38" t="str">
        <x:v>KEEP</x:v>
      </x:c>
      <x:c r="H150" s="38" t="str">
        <x:v>KEEP — no high-confidence reason to remove the current tag in the final V1 pass.</x:v>
      </x:c>
      <x:c r="I150" s="38" t="str">
        <x:v>NO ADD</x:v>
      </x:c>
      <x:c r="J150" s="38" t="str">
        <x:v>NO ADD — no high-confidence evidence strong enough to add this tag in the final V1 pass.</x:v>
      </x:c>
      <x:c r="K150" s="38" t="str">
        <x:v>ADD</x:v>
      </x:c>
      <x:c r="L150" s="38" t="str">
        <x:v>ADD — lemon is explicitly part of the standard seasoning in the current description.</x:v>
      </x:c>
      <x:c r="M150" s="38" t="str">
        <x:v>comforting | fresh | tangy</x:v>
      </x:c>
      <x:c r="N150" s="38" t="str">
        <x:v>add tangy</x:v>
      </x:c>
      <x:c r="O150" s="38" t="str">
        <x:v>HIGH</x:v>
      </x:c>
      <x:c r="P150" s="38" t="str">
        <x:v>Egyptian slow-cooked fava beans dressed with olive oil, lemon, cumin, and fresh toppings.</x:v>
      </x:c>
      <x:c r="Q150" s="38" t="str">
        <x:v>Six-flavor V1 taxonomy frozen after this audit.</x:v>
      </x:c>
    </x:row>
    <x:row r="151" ht="56" customHeight="1">
      <x:c r="A151" s="38" t="n">
        <x:v>139</x:v>
      </x:c>
      <x:c r="B151" s="38" t="str">
        <x:v>nyama-choma</x:v>
      </x:c>
      <x:c r="C151" s="38" t="str">
        <x:v>Nyama Choma</x:v>
      </x:c>
      <x:c r="D151" s="38" t="str">
        <x:v>fresh | rich</x:v>
      </x:c>
      <x:c r="E151" s="38" t="str">
        <x:v>NO ADD</x:v>
      </x:c>
      <x:c r="F151" s="38" t="str">
        <x:v>NO ADD — no high-confidence evidence strong enough to add this tag in the final V1 pass.</x:v>
      </x:c>
      <x:c r="G151" s="38" t="str">
        <x:v>KEEP</x:v>
      </x:c>
      <x:c r="H151" s="38" t="str">
        <x:v>KEEP — no high-confidence reason to remove the current tag in the final V1 pass.</x:v>
      </x:c>
      <x:c r="I151" s="38" t="str">
        <x:v>NO ADD</x:v>
      </x:c>
      <x:c r="J151" s="38" t="str">
        <x:v>NO ADD — no high-confidence evidence strong enough to add this tag in the final V1 pass.</x:v>
      </x:c>
      <x:c r="K151" s="38" t="str">
        <x:v>NO ADD</x:v>
      </x:c>
      <x:c r="L151" s="38" t="str">
        <x:v>NO ADD — no high-confidence evidence strong enough to add this tag in the final V1 pass.</x:v>
      </x:c>
      <x:c r="M151" s="38" t="str">
        <x:v>fresh | rich</x:v>
      </x:c>
      <x:c r="N151" s="38" t="str">
        <x:v>none</x:v>
      </x:c>
      <x:c r="O151" s="38" t="str">
        <x:v>FROZEN / NO HIGH-CONFIDENCE CHANGE</x:v>
      </x:c>
      <x:c r="P151" s="38" t="str">
        <x:v>East African meat roasted or grilled over open heat and served with fresh sides.</x:v>
      </x:c>
      <x:c r="Q151" s="38" t="str">
        <x:v>Six-flavor V1 taxonomy frozen after this audit.</x:v>
      </x:c>
    </x:row>
    <x:row r="152" ht="56" customHeight="1">
      <x:c r="A152" s="38" t="n">
        <x:v>140</x:v>
      </x:c>
      <x:c r="B152" s="38" t="str">
        <x:v>rolex</x:v>
      </x:c>
      <x:c r="C152" s="38" t="str">
        <x:v>Rolex</x:v>
      </x:c>
      <x:c r="D152" s="38" t="str">
        <x:v>comforting</x:v>
      </x:c>
      <x:c r="E152" s="38" t="str">
        <x:v>NO ADD</x:v>
      </x:c>
      <x:c r="F152" s="38" t="str">
        <x:v>NO ADD — no high-confidence evidence strong enough to add this tag in the final V1 pass.</x:v>
      </x:c>
      <x:c r="G152" s="38" t="str">
        <x:v>NO ADD</x:v>
      </x:c>
      <x:c r="H152" s="38" t="str">
        <x:v>NO ADD — no high-confidence evidence strong enough to add this tag in the final V1 pass.</x:v>
      </x:c>
      <x:c r="I152" s="38" t="str">
        <x:v>NO ADD</x:v>
      </x:c>
      <x:c r="J152" s="38" t="str">
        <x:v>NO ADD — no high-confidence evidence strong enough to add this tag in the final V1 pass.</x:v>
      </x:c>
      <x:c r="K152" s="38" t="str">
        <x:v>NO ADD</x:v>
      </x:c>
      <x:c r="L152" s="38" t="str">
        <x:v>NO ADD — no high-confidence evidence strong enough to add this tag in the final V1 pass.</x:v>
      </x:c>
      <x:c r="M152" s="38" t="str">
        <x:v>comforting</x:v>
      </x:c>
      <x:c r="N152" s="38" t="str">
        <x:v>none</x:v>
      </x:c>
      <x:c r="O152" s="38" t="str">
        <x:v>FROZEN / NO HIGH-CONFIDENCE CHANGE</x:v>
      </x:c>
      <x:c r="P152" s="38" t="str">
        <x:v>Ugandan street-food wrap of chapati rolled around eggs, vegetables, and optional fillings.</x:v>
      </x:c>
      <x:c r="Q152" s="38" t="str">
        <x:v>Six-flavor V1 taxonomy frozen after this audit.</x:v>
      </x:c>
    </x:row>
    <x:row r="153" ht="56" customHeight="1">
      <x:c r="A153" s="38" t="n">
        <x:v>141</x:v>
      </x:c>
      <x:c r="B153" s="38" t="str">
        <x:v>couscous</x:v>
      </x:c>
      <x:c r="C153" s="38" t="str">
        <x:v>Couscous</x:v>
      </x:c>
      <x:c r="D153" s="38" t="str">
        <x:v>fresh | comforting</x:v>
      </x:c>
      <x:c r="E153" s="38" t="str">
        <x:v>NO ADD</x:v>
      </x:c>
      <x:c r="F153" s="38" t="str">
        <x:v>NO ADD — no high-confidence evidence strong enough to add this tag in the final V1 pass.</x:v>
      </x:c>
      <x:c r="G153" s="38" t="str">
        <x:v>REMOVE</x:v>
      </x:c>
      <x:c r="H153" s="38" t="str">
        <x:v>REMOVE — the row centers steamed semolina with stewed vegetables, broth, meat, or chickpeas.</x:v>
      </x:c>
      <x:c r="I153" s="38" t="str">
        <x:v>NO ADD</x:v>
      </x:c>
      <x:c r="J153" s="38" t="str">
        <x:v>NO ADD — no high-confidence evidence strong enough to add this tag in the final V1 pass.</x:v>
      </x:c>
      <x:c r="K153" s="38" t="str">
        <x:v>NO ADD</x:v>
      </x:c>
      <x:c r="L153" s="38" t="str">
        <x:v>NO ADD — no high-confidence evidence strong enough to add this tag in the final V1 pass.</x:v>
      </x:c>
      <x:c r="M153" s="38" t="str">
        <x:v>comforting</x:v>
      </x:c>
      <x:c r="N153" s="38" t="str">
        <x:v>remove fresh</x:v>
      </x:c>
      <x:c r="O153" s="38" t="str">
        <x:v>HIGH</x:v>
      </x:c>
      <x:c r="P153" s="38" t="str">
        <x:v>North African steamed semolina granules served with vegetables, broth, meat, or chickpeas.</x:v>
      </x:c>
      <x:c r="Q153" s="38" t="str">
        <x:v>Six-flavor V1 taxonomy frozen after this audit.</x:v>
      </x:c>
    </x:row>
    <x:row r="154" ht="56" customHeight="1">
      <x:c r="A154" s="38" t="n">
        <x:v>142</x:v>
      </x:c>
      <x:c r="B154" s="38" t="str">
        <x:v>fish-and-chips</x:v>
      </x:c>
      <x:c r="C154" s="38" t="str">
        <x:v>Fish and Chips</x:v>
      </x:c>
      <x:c r="D154" s="38" t="str">
        <x:v>crispy | comforting</x:v>
      </x:c>
      <x:c r="E154" s="38" t="str">
        <x:v>NO ADD</x:v>
      </x:c>
      <x:c r="F154" s="38" t="str">
        <x:v>NO ADD — no high-confidence evidence strong enough to add this tag in the final V1 pass.</x:v>
      </x:c>
      <x:c r="G154" s="38" t="str">
        <x:v>NO ADD</x:v>
      </x:c>
      <x:c r="H154" s="38" t="str">
        <x:v>NO ADD — no high-confidence evidence strong enough to add this tag in the final V1 pass.</x:v>
      </x:c>
      <x:c r="I154" s="38" t="str">
        <x:v>KEEP</x:v>
      </x:c>
      <x:c r="J154" s="38" t="str">
        <x:v>KEEP — no high-confidence reason to remove the current tag in the final V1 pass.</x:v>
      </x:c>
      <x:c r="K154" s="38" t="str">
        <x:v>NO ADD</x:v>
      </x:c>
      <x:c r="L154" s="38" t="str">
        <x:v>NO ADD — no high-confidence evidence strong enough to add this tag in the final V1 pass.</x:v>
      </x:c>
      <x:c r="M154" s="38" t="str">
        <x:v>crispy | comforting</x:v>
      </x:c>
      <x:c r="N154" s="38" t="str">
        <x:v>none</x:v>
      </x:c>
      <x:c r="O154" s="38" t="str">
        <x:v>FROZEN / NO HIGH-CONFIDENCE CHANGE</x:v>
      </x:c>
      <x:c r="P154" s="38" t="str">
        <x:v>British battered fish fried crisp and served with thick-cut chips.</x:v>
      </x:c>
      <x:c r="Q154" s="38" t="str">
        <x:v>Six-flavor V1 taxonomy frozen after this audit.</x:v>
      </x:c>
    </x:row>
    <x:row r="155" ht="56" customHeight="1">
      <x:c r="A155" s="38" t="n">
        <x:v>143</x:v>
      </x:c>
      <x:c r="B155" s="38" t="str">
        <x:v>moussaka</x:v>
      </x:c>
      <x:c r="C155" s="38" t="str">
        <x:v>Moussaka</x:v>
      </x:c>
      <x:c r="D155" s="38" t="str">
        <x:v>rich | comforting</x:v>
      </x:c>
      <x:c r="E155" s="38" t="str">
        <x:v>NO ADD</x:v>
      </x:c>
      <x:c r="F155" s="38" t="str">
        <x:v>NO ADD — no high-confidence evidence strong enough to add this tag in the final V1 pass.</x:v>
      </x:c>
      <x:c r="G155" s="38" t="str">
        <x:v>NO ADD</x:v>
      </x:c>
      <x:c r="H155" s="38" t="str">
        <x:v>NO ADD — no high-confidence evidence strong enough to add this tag in the final V1 pass.</x:v>
      </x:c>
      <x:c r="I155" s="38" t="str">
        <x:v>NO ADD</x:v>
      </x:c>
      <x:c r="J155" s="38" t="str">
        <x:v>NO ADD — no high-confidence evidence strong enough to add this tag in the final V1 pass.</x:v>
      </x:c>
      <x:c r="K155" s="38" t="str">
        <x:v>NO ADD</x:v>
      </x:c>
      <x:c r="L155" s="38" t="str">
        <x:v>NO ADD — no high-confidence evidence strong enough to add this tag in the final V1 pass.</x:v>
      </x:c>
      <x:c r="M155" s="38" t="str">
        <x:v>rich | comforting</x:v>
      </x:c>
      <x:c r="N155" s="38" t="str">
        <x:v>none</x:v>
      </x:c>
      <x:c r="O155" s="38" t="str">
        <x:v>FROZEN / NO HIGH-CONFIDENCE CHANGE</x:v>
      </x:c>
      <x:c r="P155" s="38" t="str">
        <x:v>Greek layered eggplant and meat casserole topped with a creamy baked sauce.</x:v>
      </x:c>
      <x:c r="Q155" s="38" t="str">
        <x:v>Six-flavor V1 taxonomy frozen after this audit.</x:v>
      </x:c>
    </x:row>
    <x:row r="156" ht="56" customHeight="1">
      <x:c r="A156" s="38" t="n">
        <x:v>144</x:v>
      </x:c>
      <x:c r="B156" s="38" t="str">
        <x:v>croque-monsieur</x:v>
      </x:c>
      <x:c r="C156" s="38" t="str">
        <x:v>Croque Monsieur</x:v>
      </x:c>
      <x:c r="D156" s="38" t="str">
        <x:v>crispy | rich</x:v>
      </x:c>
      <x:c r="E156" s="38" t="str">
        <x:v>NO ADD</x:v>
      </x:c>
      <x:c r="F156" s="38" t="str">
        <x:v>NO ADD — no high-confidence evidence strong enough to add this tag in the final V1 pass.</x:v>
      </x:c>
      <x:c r="G156" s="38" t="str">
        <x:v>NO ADD</x:v>
      </x:c>
      <x:c r="H156" s="38" t="str">
        <x:v>NO ADD — no high-confidence evidence strong enough to add this tag in the final V1 pass.</x:v>
      </x:c>
      <x:c r="I156" s="38" t="str">
        <x:v>KEEP</x:v>
      </x:c>
      <x:c r="J156" s="38" t="str">
        <x:v>KEEP — no high-confidence reason to remove the current tag in the final V1 pass.</x:v>
      </x:c>
      <x:c r="K156" s="38" t="str">
        <x:v>NO ADD</x:v>
      </x:c>
      <x:c r="L156" s="38" t="str">
        <x:v>NO ADD — no high-confidence evidence strong enough to add this tag in the final V1 pass.</x:v>
      </x:c>
      <x:c r="M156" s="38" t="str">
        <x:v>crispy | rich</x:v>
      </x:c>
      <x:c r="N156" s="38" t="str">
        <x:v>none</x:v>
      </x:c>
      <x:c r="O156" s="38" t="str">
        <x:v>FROZEN / NO HIGH-CONFIDENCE CHANGE</x:v>
      </x:c>
      <x:c r="P156" s="38" t="str">
        <x:v>French grilled ham-and-cheese sandwich with a crisp exterior and melted cheese.</x:v>
      </x:c>
      <x:c r="Q156" s="38" t="str">
        <x:v>Six-flavor V1 taxonomy frozen after this audit.</x:v>
      </x:c>
    </x:row>
    <x:row r="157" ht="56" customHeight="1">
      <x:c r="A157" s="38" t="n">
        <x:v>145</x:v>
      </x:c>
      <x:c r="B157" s="38" t="str">
        <x:v>aji-de-gallina</x:v>
      </x:c>
      <x:c r="C157" s="38" t="str">
        <x:v>Ají de Gallina</x:v>
      </x:c>
      <x:c r="D157" s="38" t="str">
        <x:v>rich | comforting</x:v>
      </x:c>
      <x:c r="E157" s="38" t="str">
        <x:v>NO ADD</x:v>
      </x:c>
      <x:c r="F157" s="38" t="str">
        <x:v>NO ADD — no high-confidence evidence strong enough to add this tag in the final V1 pass.</x:v>
      </x:c>
      <x:c r="G157" s="38" t="str">
        <x:v>NO ADD</x:v>
      </x:c>
      <x:c r="H157" s="38" t="str">
        <x:v>NO ADD — no high-confidence evidence strong enough to add this tag in the final V1 pass.</x:v>
      </x:c>
      <x:c r="I157" s="38" t="str">
        <x:v>NO ADD</x:v>
      </x:c>
      <x:c r="J157" s="38" t="str">
        <x:v>NO ADD — no high-confidence evidence strong enough to add this tag in the final V1 pass.</x:v>
      </x:c>
      <x:c r="K157" s="38" t="str">
        <x:v>NO ADD</x:v>
      </x:c>
      <x:c r="L157" s="38" t="str">
        <x:v>NO ADD — no high-confidence evidence strong enough to add this tag in the final V1 pass.</x:v>
      </x:c>
      <x:c r="M157" s="38" t="str">
        <x:v>rich | comforting</x:v>
      </x:c>
      <x:c r="N157" s="38" t="str">
        <x:v>none</x:v>
      </x:c>
      <x:c r="O157" s="38" t="str">
        <x:v>FROZEN / NO HIGH-CONFIDENCE CHANGE</x:v>
      </x:c>
      <x:c r="P157" s="38" t="str">
        <x:v>Peruvian shredded chicken in a creamy yellow-chile sauce with nuts, bread, and cheese.</x:v>
      </x:c>
      <x:c r="Q157" s="38" t="str">
        <x:v>Six-flavor V1 taxonomy frozen after this audit.</x:v>
      </x:c>
    </x:row>
    <x:row r="158" ht="56" customHeight="1">
      <x:c r="A158" s="38" t="n">
        <x:v>146</x:v>
      </x:c>
      <x:c r="B158" s="38" t="str">
        <x:v>sopa-de-fideo</x:v>
      </x:c>
      <x:c r="C158" s="38" t="str">
        <x:v>Sopa de Fideo</x:v>
      </x:c>
      <x:c r="D158" s="38" t="str">
        <x:v>comforting | fresh</x:v>
      </x:c>
      <x:c r="E158" s="38" t="str">
        <x:v>NO ADD</x:v>
      </x:c>
      <x:c r="F158" s="38" t="str">
        <x:v>NO ADD — no high-confidence evidence strong enough to add this tag in the final V1 pass.</x:v>
      </x:c>
      <x:c r="G158" s="38" t="str">
        <x:v>REMOVE</x:v>
      </x:c>
      <x:c r="H158" s="38" t="str">
        <x:v>REMOVE — the row centers toasted noodles simmered in tomato broth; fresh garnishes are optional.</x:v>
      </x:c>
      <x:c r="I158" s="38" t="str">
        <x:v>NO ADD</x:v>
      </x:c>
      <x:c r="J158" s="38" t="str">
        <x:v>NO ADD — no high-confidence evidence strong enough to add this tag in the final V1 pass.</x:v>
      </x:c>
      <x:c r="K158" s="38" t="str">
        <x:v>NO ADD</x:v>
      </x:c>
      <x:c r="L158" s="38" t="str">
        <x:v>NO ADD — no high-confidence evidence strong enough to add this tag in the final V1 pass.</x:v>
      </x:c>
      <x:c r="M158" s="38" t="str">
        <x:v>comforting</x:v>
      </x:c>
      <x:c r="N158" s="38" t="str">
        <x:v>remove fresh</x:v>
      </x:c>
      <x:c r="O158" s="38" t="str">
        <x:v>HIGH</x:v>
      </x:c>
      <x:c r="P158" s="38" t="str">
        <x:v>Mexican noodle soup with toasted short pasta simmered in a tomato-based broth.</x:v>
      </x:c>
      <x:c r="Q158" s="38" t="str">
        <x:v>Six-flavor V1 taxonomy frozen after this audit.</x:v>
      </x:c>
    </x:row>
    <x:row r="159" ht="56" customHeight="1">
      <x:c r="A159" s="38" t="n">
        <x:v>147</x:v>
      </x:c>
      <x:c r="B159" s="38" t="str">
        <x:v>coxinha</x:v>
      </x:c>
      <x:c r="C159" s="38" t="str">
        <x:v>Coxinha</x:v>
      </x:c>
      <x:c r="D159" s="38" t="str">
        <x:v>crispy | rich</x:v>
      </x:c>
      <x:c r="E159" s="38" t="str">
        <x:v>NO ADD</x:v>
      </x:c>
      <x:c r="F159" s="38" t="str">
        <x:v>NO ADD — no high-confidence evidence strong enough to add this tag in the final V1 pass.</x:v>
      </x:c>
      <x:c r="G159" s="38" t="str">
        <x:v>NO ADD</x:v>
      </x:c>
      <x:c r="H159" s="38" t="str">
        <x:v>NO ADD — no high-confidence evidence strong enough to add this tag in the final V1 pass.</x:v>
      </x:c>
      <x:c r="I159" s="38" t="str">
        <x:v>KEEP</x:v>
      </x:c>
      <x:c r="J159" s="38" t="str">
        <x:v>KEEP — no high-confidence reason to remove the current tag in the final V1 pass.</x:v>
      </x:c>
      <x:c r="K159" s="38" t="str">
        <x:v>NO ADD</x:v>
      </x:c>
      <x:c r="L159" s="38" t="str">
        <x:v>NO ADD — no high-confidence evidence strong enough to add this tag in the final V1 pass.</x:v>
      </x:c>
      <x:c r="M159" s="38" t="str">
        <x:v>crispy | rich</x:v>
      </x:c>
      <x:c r="N159" s="38" t="str">
        <x:v>none</x:v>
      </x:c>
      <x:c r="O159" s="38" t="str">
        <x:v>FROZEN / NO HIGH-CONFIDENCE CHANGE</x:v>
      </x:c>
      <x:c r="P159" s="38" t="str">
        <x:v>Brazilian teardrop-shaped fried snack filled with seasoned shredded chicken.</x:v>
      </x:c>
      <x:c r="Q159" s="38" t="str">
        <x:v>Six-flavor V1 taxonomy frozen after this audit.</x:v>
      </x:c>
    </x:row>
    <x:row r="160" ht="56" customHeight="1">
      <x:c r="A160" s="38" t="n">
        <x:v>148</x:v>
      </x:c>
      <x:c r="B160" s="38" t="str">
        <x:v>nashville-hot-chicken</x:v>
      </x:c>
      <x:c r="C160" s="38" t="str">
        <x:v>Nashville Hot Chicken</x:v>
      </x:c>
      <x:c r="D160" s="38" t="str">
        <x:v>spicy | crispy</x:v>
      </x:c>
      <x:c r="E160" s="38" t="str">
        <x:v>KEEP</x:v>
      </x:c>
      <x:c r="F160" s="38" t="str">
        <x:v>KEEP — no high-confidence reason to remove the current tag in the final V1 pass.</x:v>
      </x:c>
      <x:c r="G160" s="38" t="str">
        <x:v>NO ADD</x:v>
      </x:c>
      <x:c r="H160" s="38" t="str">
        <x:v>NO ADD — no high-confidence evidence strong enough to add this tag in the final V1 pass.</x:v>
      </x:c>
      <x:c r="I160" s="38" t="str">
        <x:v>KEEP</x:v>
      </x:c>
      <x:c r="J160" s="38" t="str">
        <x:v>KEEP — no high-confidence reason to remove the current tag in the final V1 pass.</x:v>
      </x:c>
      <x:c r="K160" s="38" t="str">
        <x:v>NO ADD</x:v>
      </x:c>
      <x:c r="L160" s="38" t="str">
        <x:v>NO ADD — no high-confidence evidence strong enough to add this tag in the final V1 pass.</x:v>
      </x:c>
      <x:c r="M160" s="38" t="str">
        <x:v>spicy | crispy</x:v>
      </x:c>
      <x:c r="N160" s="38" t="str">
        <x:v>none</x:v>
      </x:c>
      <x:c r="O160" s="38" t="str">
        <x:v>FROZEN / NO HIGH-CONFIDENCE CHANGE</x:v>
      </x:c>
      <x:c r="P160" s="38" t="str">
        <x:v>Nashville fried chicken coated in a fiery cayenne-rich spice paste.</x:v>
      </x:c>
      <x:c r="Q160" s="38" t="str">
        <x:v>Six-flavor V1 taxonomy frozen after this audit.</x:v>
      </x:c>
    </x:row>
    <x:row r="161" ht="56" customHeight="1">
      <x:c r="A161" s="38" t="n">
        <x:v>149</x:v>
      </x:c>
      <x:c r="B161" s="38" t="str">
        <x:v>reuben-sandwich</x:v>
      </x:c>
      <x:c r="C161" s="38" t="str">
        <x:v>Reuben Sandwich</x:v>
      </x:c>
      <x:c r="D161" s="38" t="str">
        <x:v>rich | tangy</x:v>
      </x:c>
      <x:c r="E161" s="38" t="str">
        <x:v>NO ADD</x:v>
      </x:c>
      <x:c r="F161" s="38" t="str">
        <x:v>NO ADD — no high-confidence evidence strong enough to add this tag in the final V1 pass.</x:v>
      </x:c>
      <x:c r="G161" s="38" t="str">
        <x:v>NO ADD</x:v>
      </x:c>
      <x:c r="H161" s="38" t="str">
        <x:v>NO ADD — no high-confidence evidence strong enough to add this tag in the final V1 pass.</x:v>
      </x:c>
      <x:c r="I161" s="38" t="str">
        <x:v>ADD</x:v>
      </x:c>
      <x:c r="J161" s="38" t="str">
        <x:v>ADD — the current description explicitly says griddling crisps the rye bread.</x:v>
      </x:c>
      <x:c r="K161" s="38" t="str">
        <x:v>KEEP</x:v>
      </x:c>
      <x:c r="L161" s="38" t="str">
        <x:v>KEEP — no high-confidence reason to remove the current tag in the final V1 pass.</x:v>
      </x:c>
      <x:c r="M161" s="38" t="str">
        <x:v>rich | tangy | crispy</x:v>
      </x:c>
      <x:c r="N161" s="38" t="str">
        <x:v>add crispy</x:v>
      </x:c>
      <x:c r="O161" s="38" t="str">
        <x:v>HIGH</x:v>
      </x:c>
      <x:c r="P161" s="38" t="str">
        <x:v>Griddled American sandwich with corned beef, Swiss cheese, sauerkraut, and dressing.</x:v>
      </x:c>
      <x:c r="Q161" s="38" t="str">
        <x:v>Six-flavor V1 taxonomy frozen after this audit.</x:v>
      </x:c>
    </x:row>
    <x:row r="162" ht="56" customHeight="1">
      <x:c r="A162" s="38" t="n">
        <x:v>150</x:v>
      </x:c>
      <x:c r="B162" s="38" t="str">
        <x:v>loco-moco</x:v>
      </x:c>
      <x:c r="C162" s="38" t="str">
        <x:v>Loco Moco</x:v>
      </x:c>
      <x:c r="D162" s="38" t="str">
        <x:v>rich | comforting</x:v>
      </x:c>
      <x:c r="E162" s="38" t="str">
        <x:v>NO ADD</x:v>
      </x:c>
      <x:c r="F162" s="38" t="str">
        <x:v>NO ADD — no high-confidence evidence strong enough to add this tag in the final V1 pass.</x:v>
      </x:c>
      <x:c r="G162" s="38" t="str">
        <x:v>NO ADD</x:v>
      </x:c>
      <x:c r="H162" s="38" t="str">
        <x:v>NO ADD — no high-confidence evidence strong enough to add this tag in the final V1 pass.</x:v>
      </x:c>
      <x:c r="I162" s="38" t="str">
        <x:v>NO ADD</x:v>
      </x:c>
      <x:c r="J162" s="38" t="str">
        <x:v>NO ADD — no high-confidence evidence strong enough to add this tag in the final V1 pass.</x:v>
      </x:c>
      <x:c r="K162" s="38" t="str">
        <x:v>NO ADD</x:v>
      </x:c>
      <x:c r="L162" s="38" t="str">
        <x:v>NO ADD — no high-confidence evidence strong enough to add this tag in the final V1 pass.</x:v>
      </x:c>
      <x:c r="M162" s="38" t="str">
        <x:v>rich | comforting</x:v>
      </x:c>
      <x:c r="N162" s="38" t="str">
        <x:v>none</x:v>
      </x:c>
      <x:c r="O162" s="38" t="str">
        <x:v>FROZEN / NO HIGH-CONFIDENCE CHANGE</x:v>
      </x:c>
      <x:c r="P162" s="38" t="str">
        <x:v>Hawaiian rice topped with a hamburger patty, fried egg, and brown gravy.</x:v>
      </x:c>
      <x:c r="Q162" s="38" t="str">
        <x:v>Six-flavor V1 taxonomy frozen after this audit.</x:v>
      </x:c>
    </x:row>
    <x:row r="163" ht="56" customHeight="1">
      <x:c r="A163" s="38" t="n">
        <x:v>151</x:v>
      </x:c>
      <x:c r="B163" s="38" t="str">
        <x:v>oyakodon</x:v>
      </x:c>
      <x:c r="C163" s="38" t="str">
        <x:v>Oyakodon</x:v>
      </x:c>
      <x:c r="D163" s="38" t="str">
        <x:v>comforting</x:v>
      </x:c>
      <x:c r="E163" s="38" t="str">
        <x:v>NO ADD</x:v>
      </x:c>
      <x:c r="F163" s="38" t="str">
        <x:v>NO ADD — no high-confidence evidence strong enough to add this tag in the final V1 pass.</x:v>
      </x:c>
      <x:c r="G163" s="38" t="str">
        <x:v>NO ADD</x:v>
      </x:c>
      <x:c r="H163" s="38" t="str">
        <x:v>NO ADD — no high-confidence evidence strong enough to add this tag in the final V1 pass.</x:v>
      </x:c>
      <x:c r="I163" s="38" t="str">
        <x:v>NO ADD</x:v>
      </x:c>
      <x:c r="J163" s="38" t="str">
        <x:v>NO ADD — no high-confidence evidence strong enough to add this tag in the final V1 pass.</x:v>
      </x:c>
      <x:c r="K163" s="38" t="str">
        <x:v>NO ADD</x:v>
      </x:c>
      <x:c r="L163" s="38" t="str">
        <x:v>NO ADD — no high-confidence evidence strong enough to add this tag in the final V1 pass.</x:v>
      </x:c>
      <x:c r="M163" s="38" t="str">
        <x:v>comforting</x:v>
      </x:c>
      <x:c r="N163" s="38" t="str">
        <x:v>none</x:v>
      </x:c>
      <x:c r="O163" s="38" t="str">
        <x:v>FROZEN / NO HIGH-CONFIDENCE CHANGE</x:v>
      </x:c>
      <x:c r="P163" s="38" t="str">
        <x:v>Japanese rice bowl topped with chicken and softly set egg simmered in a sweet-savory sauce.</x:v>
      </x:c>
      <x:c r="Q163" s="38" t="str">
        <x:v>Six-flavor V1 taxonomy frozen after this audit.</x:v>
      </x:c>
    </x:row>
    <x:row r="164" ht="56" customHeight="1">
      <x:c r="A164" s="38" t="n">
        <x:v>152</x:v>
      </x:c>
      <x:c r="B164" s="38" t="str">
        <x:v>doenjang-jjigae</x:v>
      </x:c>
      <x:c r="C164" s="38" t="str">
        <x:v>Doenjang-jjigae</x:v>
      </x:c>
      <x:c r="D164" s="38" t="str">
        <x:v>comforting</x:v>
      </x:c>
      <x:c r="E164" s="38" t="str">
        <x:v>NO ADD</x:v>
      </x:c>
      <x:c r="F164" s="38" t="str">
        <x:v>NO ADD — no high-confidence evidence strong enough to add this tag in the final V1 pass.</x:v>
      </x:c>
      <x:c r="G164" s="38" t="str">
        <x:v>NO ADD</x:v>
      </x:c>
      <x:c r="H164" s="38" t="str">
        <x:v>NO ADD — no high-confidence evidence strong enough to add this tag in the final V1 pass.</x:v>
      </x:c>
      <x:c r="I164" s="38" t="str">
        <x:v>NO ADD</x:v>
      </x:c>
      <x:c r="J164" s="38" t="str">
        <x:v>NO ADD — no high-confidence evidence strong enough to add this tag in the final V1 pass.</x:v>
      </x:c>
      <x:c r="K164" s="38" t="str">
        <x:v>NO ADD</x:v>
      </x:c>
      <x:c r="L164" s="38" t="str">
        <x:v>NO ADD — no high-confidence evidence strong enough to add this tag in the final V1 pass.</x:v>
      </x:c>
      <x:c r="M164" s="38" t="str">
        <x:v>comforting</x:v>
      </x:c>
      <x:c r="N164" s="38" t="str">
        <x:v>none</x:v>
      </x:c>
      <x:c r="O164" s="38" t="str">
        <x:v>FROZEN / NO HIGH-CONFIDENCE CHANGE</x:v>
      </x:c>
      <x:c r="P164" s="38" t="str">
        <x:v>Korean soybean-paste stew with tofu, vegetables, and a deep fermented savory flavor.</x:v>
      </x:c>
      <x:c r="Q164" s="38" t="str">
        <x:v>Six-flavor V1 taxonomy frozen after this audit.</x:v>
      </x:c>
    </x:row>
    <x:row r="165" ht="56" customHeight="1">
      <x:c r="A165" s="38" t="n">
        <x:v>153</x:v>
      </x:c>
      <x:c r="B165" s="38" t="str">
        <x:v>zongzi</x:v>
      </x:c>
      <x:c r="C165" s="38" t="str">
        <x:v>Zongzi</x:v>
      </x:c>
      <x:c r="D165" s="38" t="str">
        <x:v>comforting</x:v>
      </x:c>
      <x:c r="E165" s="38" t="str">
        <x:v>NO ADD</x:v>
      </x:c>
      <x:c r="F165" s="38" t="str">
        <x:v>NO ADD — no high-confidence evidence strong enough to add this tag in the final V1 pass.</x:v>
      </x:c>
      <x:c r="G165" s="38" t="str">
        <x:v>NO ADD</x:v>
      </x:c>
      <x:c r="H165" s="38" t="str">
        <x:v>NO ADD — no high-confidence evidence strong enough to add this tag in the final V1 pass.</x:v>
      </x:c>
      <x:c r="I165" s="38" t="str">
        <x:v>NO ADD</x:v>
      </x:c>
      <x:c r="J165" s="38" t="str">
        <x:v>NO ADD — no high-confidence evidence strong enough to add this tag in the final V1 pass.</x:v>
      </x:c>
      <x:c r="K165" s="38" t="str">
        <x:v>NO ADD</x:v>
      </x:c>
      <x:c r="L165" s="38" t="str">
        <x:v>NO ADD — no high-confidence evidence strong enough to add this tag in the final V1 pass.</x:v>
      </x:c>
      <x:c r="M165" s="38" t="str">
        <x:v>comforting</x:v>
      </x:c>
      <x:c r="N165" s="38" t="str">
        <x:v>none</x:v>
      </x:c>
      <x:c r="O165" s="38" t="str">
        <x:v>FROZEN / NO HIGH-CONFIDENCE CHANGE</x:v>
      </x:c>
      <x:c r="P165" s="38" t="str">
        <x:v>Chinese sticky rice parcels wrapped in bamboo or reed leaves with savory or sweet fillings.</x:v>
      </x:c>
      <x:c r="Q165" s="38" t="str">
        <x:v>Six-flavor V1 taxonomy frozen after this audit.</x:v>
      </x:c>
    </x:row>
    <x:row r="166" ht="56" customHeight="1">
      <x:c r="A166" s="38" t="n">
        <x:v>154</x:v>
      </x:c>
      <x:c r="B166" s="38" t="str">
        <x:v>bai-sach-chrouk</x:v>
      </x:c>
      <x:c r="C166" s="38" t="str">
        <x:v>Bai Sach Chrouk</x:v>
      </x:c>
      <x:c r="D166" s="38" t="str">
        <x:v>comforting | fresh</x:v>
      </x:c>
      <x:c r="E166" s="38" t="str">
        <x:v>NO ADD</x:v>
      </x:c>
      <x:c r="F166" s="38" t="str">
        <x:v>NO ADD — no high-confidence evidence strong enough to add this tag in the final V1 pass.</x:v>
      </x:c>
      <x:c r="G166" s="38" t="str">
        <x:v>KEEP</x:v>
      </x:c>
      <x:c r="H166" s="38" t="str">
        <x:v>KEEP — no high-confidence reason to remove the current tag in the final V1 pass.</x:v>
      </x:c>
      <x:c r="I166" s="38" t="str">
        <x:v>NO ADD</x:v>
      </x:c>
      <x:c r="J166" s="38" t="str">
        <x:v>NO ADD — no high-confidence evidence strong enough to add this tag in the final V1 pass.</x:v>
      </x:c>
      <x:c r="K166" s="38" t="str">
        <x:v>NO ADD</x:v>
      </x:c>
      <x:c r="L166" s="38" t="str">
        <x:v>NO ADD — no high-confidence evidence strong enough to add this tag in the final V1 pass.</x:v>
      </x:c>
      <x:c r="M166" s="38" t="str">
        <x:v>comforting | fresh</x:v>
      </x:c>
      <x:c r="N166" s="38" t="str">
        <x:v>none</x:v>
      </x:c>
      <x:c r="O166" s="38" t="str">
        <x:v>FROZEN / NO HIGH-CONFIDENCE CHANGE</x:v>
      </x:c>
      <x:c r="P166" s="38" t="str">
        <x:v>Cambodian grilled pork served over rice with pickled vegetables and light broth.</x:v>
      </x:c>
      <x:c r="Q166" s="38" t="str">
        <x:v>Six-flavor V1 taxonomy frozen after this audit.</x:v>
      </x:c>
    </x:row>
    <x:row r="167" ht="56" customHeight="1">
      <x:c r="A167" s="38" t="n">
        <x:v>155</x:v>
      </x:c>
      <x:c r="B167" s="38" t="str">
        <x:v>kuy-teav</x:v>
      </x:c>
      <x:c r="C167" s="38" t="str">
        <x:v>Kuy Teav</x:v>
      </x:c>
      <x:c r="D167" s="38" t="str">
        <x:v>fresh | comforting</x:v>
      </x:c>
      <x:c r="E167" s="38" t="str">
        <x:v>NO ADD</x:v>
      </x:c>
      <x:c r="F167" s="38" t="str">
        <x:v>NO ADD — no high-confidence evidence strong enough to add this tag in the final V1 pass.</x:v>
      </x:c>
      <x:c r="G167" s="38" t="str">
        <x:v>KEEP</x:v>
      </x:c>
      <x:c r="H167" s="38" t="str">
        <x:v>KEEP — no high-confidence reason to remove the current tag in the final V1 pass.</x:v>
      </x:c>
      <x:c r="I167" s="38" t="str">
        <x:v>NO ADD</x:v>
      </x:c>
      <x:c r="J167" s="38" t="str">
        <x:v>NO ADD — no high-confidence evidence strong enough to add this tag in the final V1 pass.</x:v>
      </x:c>
      <x:c r="K167" s="38" t="str">
        <x:v>NO ADD</x:v>
      </x:c>
      <x:c r="L167" s="38" t="str">
        <x:v>NO ADD — no high-confidence evidence strong enough to add this tag in the final V1 pass.</x:v>
      </x:c>
      <x:c r="M167" s="38" t="str">
        <x:v>fresh | comforting</x:v>
      </x:c>
      <x:c r="N167" s="38" t="str">
        <x:v>none</x:v>
      </x:c>
      <x:c r="O167" s="38" t="str">
        <x:v>FROZEN / NO HIGH-CONFIDENCE CHANGE</x:v>
      </x:c>
      <x:c r="P167" s="38" t="str">
        <x:v>Cambodian rice-noodle soup with clear savory broth, herbs, vegetables, and varied proteins.</x:v>
      </x:c>
      <x:c r="Q167" s="38" t="str">
        <x:v>Six-flavor V1 taxonomy frozen after this audit.</x:v>
      </x:c>
    </x:row>
    <x:row r="168" ht="56" customHeight="1">
      <x:c r="A168" s="38" t="n">
        <x:v>156</x:v>
      </x:c>
      <x:c r="B168" s="38" t="str">
        <x:v>fish-amok</x:v>
      </x:c>
      <x:c r="C168" s="38" t="str">
        <x:v>Fish Amok</x:v>
      </x:c>
      <x:c r="D168" s="38" t="str">
        <x:v>rich | fresh</x:v>
      </x:c>
      <x:c r="E168" s="38" t="str">
        <x:v>NO ADD</x:v>
      </x:c>
      <x:c r="F168" s="38" t="str">
        <x:v>NO ADD — no high-confidence evidence strong enough to add this tag in the final V1 pass.</x:v>
      </x:c>
      <x:c r="G168" s="38" t="str">
        <x:v>REMOVE</x:v>
      </x:c>
      <x:c r="H168" s="38" t="str">
        <x:v>REMOVE — the row centers fish steamed in coconut milk and kroeung until custard-like; fresh is not defining.</x:v>
      </x:c>
      <x:c r="I168" s="38" t="str">
        <x:v>NO ADD</x:v>
      </x:c>
      <x:c r="J168" s="38" t="str">
        <x:v>NO ADD — no high-confidence evidence strong enough to add this tag in the final V1 pass.</x:v>
      </x:c>
      <x:c r="K168" s="38" t="str">
        <x:v>NO ADD</x:v>
      </x:c>
      <x:c r="L168" s="38" t="str">
        <x:v>NO ADD — no high-confidence evidence strong enough to add this tag in the final V1 pass.</x:v>
      </x:c>
      <x:c r="M168" s="38" t="str">
        <x:v>rich</x:v>
      </x:c>
      <x:c r="N168" s="38" t="str">
        <x:v>remove fresh</x:v>
      </x:c>
      <x:c r="O168" s="38" t="str">
        <x:v>HIGH</x:v>
      </x:c>
      <x:c r="P168" s="38" t="str">
        <x:v>Cambodian fish curry steamed with coconut, kroeung aromatics, and herbs until softly set.</x:v>
      </x:c>
      <x:c r="Q168" s="38" t="str">
        <x:v>Six-flavor V1 taxonomy frozen after this audit.</x:v>
      </x:c>
    </x:row>
    <x:row r="169" ht="56" customHeight="1">
      <x:c r="A169" s="38" t="n">
        <x:v>157</x:v>
      </x:c>
      <x:c r="B169" s="38" t="str">
        <x:v>butter-chicken</x:v>
      </x:c>
      <x:c r="C169" s="38" t="str">
        <x:v>Butter Chicken</x:v>
      </x:c>
      <x:c r="D169" s="38" t="str">
        <x:v>rich | comforting</x:v>
      </x:c>
      <x:c r="E169" s="38" t="str">
        <x:v>NO ADD</x:v>
      </x:c>
      <x:c r="F169" s="38" t="str">
        <x:v>NO ADD — no high-confidence evidence strong enough to add this tag in the final V1 pass.</x:v>
      </x:c>
      <x:c r="G169" s="38" t="str">
        <x:v>NO ADD</x:v>
      </x:c>
      <x:c r="H169" s="38" t="str">
        <x:v>NO ADD — no high-confidence evidence strong enough to add this tag in the final V1 pass.</x:v>
      </x:c>
      <x:c r="I169" s="38" t="str">
        <x:v>NO ADD</x:v>
      </x:c>
      <x:c r="J169" s="38" t="str">
        <x:v>NO ADD — no high-confidence evidence strong enough to add this tag in the final V1 pass.</x:v>
      </x:c>
      <x:c r="K169" s="38" t="str">
        <x:v>NO ADD</x:v>
      </x:c>
      <x:c r="L169" s="38" t="str">
        <x:v>NO ADD — no high-confidence evidence strong enough to add this tag in the final V1 pass.</x:v>
      </x:c>
      <x:c r="M169" s="38" t="str">
        <x:v>rich | comforting</x:v>
      </x:c>
      <x:c r="N169" s="38" t="str">
        <x:v>none</x:v>
      </x:c>
      <x:c r="O169" s="38" t="str">
        <x:v>FROZEN / NO HIGH-CONFIDENCE CHANGE</x:v>
      </x:c>
      <x:c r="P169" s="38" t="str">
        <x:v>North Indian chicken in a buttery tomato sauce enriched with cream and warm spices.</x:v>
      </x:c>
      <x:c r="Q169" s="38" t="str">
        <x:v>Six-flavor V1 taxonomy frozen after this audit.</x:v>
      </x:c>
    </x:row>
    <x:row r="170" ht="56" customHeight="1">
      <x:c r="A170" s="38" t="n">
        <x:v>158</x:v>
      </x:c>
      <x:c r="B170" s="38" t="str">
        <x:v>poha</x:v>
      </x:c>
      <x:c r="C170" s="38" t="str">
        <x:v>Poha</x:v>
      </x:c>
      <x:c r="D170" s="38" t="str">
        <x:v>fresh | comforting</x:v>
      </x:c>
      <x:c r="E170" s="38" t="str">
        <x:v>NO ADD</x:v>
      </x:c>
      <x:c r="F170" s="38" t="str">
        <x:v>NO ADD — no high-confidence evidence strong enough to add this tag in the final V1 pass.</x:v>
      </x:c>
      <x:c r="G170" s="38" t="str">
        <x:v>KEEP</x:v>
      </x:c>
      <x:c r="H170" s="38" t="str">
        <x:v>KEEP — no high-confidence reason to remove the current tag in the final V1 pass.</x:v>
      </x:c>
      <x:c r="I170" s="38" t="str">
        <x:v>NO ADD</x:v>
      </x:c>
      <x:c r="J170" s="38" t="str">
        <x:v>NO ADD — no high-confidence evidence strong enough to add this tag in the final V1 pass.</x:v>
      </x:c>
      <x:c r="K170" s="38" t="str">
        <x:v>NO ADD</x:v>
      </x:c>
      <x:c r="L170" s="38" t="str">
        <x:v>NO ADD — no high-confidence evidence strong enough to add this tag in the final V1 pass.</x:v>
      </x:c>
      <x:c r="M170" s="38" t="str">
        <x:v>fresh | comforting</x:v>
      </x:c>
      <x:c r="N170" s="38" t="str">
        <x:v>none</x:v>
      </x:c>
      <x:c r="O170" s="38" t="str">
        <x:v>FROZEN / NO HIGH-CONFIDENCE CHANGE</x:v>
      </x:c>
      <x:c r="P170" s="38" t="str">
        <x:v>Indian flattened rice cooked with onions, spices, herbs, and fresh garnishes.</x:v>
      </x:c>
      <x:c r="Q170" s="38" t="str">
        <x:v>Six-flavor V1 taxonomy frozen after this audit.</x:v>
      </x:c>
    </x:row>
    <x:row r="171" ht="56" customHeight="1">
      <x:c r="A171" s="38" t="n">
        <x:v>159</x:v>
      </x:c>
      <x:c r="B171" s="38" t="str">
        <x:v>dal-dhokli</x:v>
      </x:c>
      <x:c r="C171" s="38" t="str">
        <x:v>Dal Dhokli</x:v>
      </x:c>
      <x:c r="D171" s="38" t="str">
        <x:v>comforting | tangy</x:v>
      </x:c>
      <x:c r="E171" s="38" t="str">
        <x:v>NO ADD</x:v>
      </x:c>
      <x:c r="F171" s="38" t="str">
        <x:v>NO ADD — no high-confidence evidence strong enough to add this tag in the final V1 pass.</x:v>
      </x:c>
      <x:c r="G171" s="38" t="str">
        <x:v>NO ADD</x:v>
      </x:c>
      <x:c r="H171" s="38" t="str">
        <x:v>NO ADD — no high-confidence evidence strong enough to add this tag in the final V1 pass.</x:v>
      </x:c>
      <x:c r="I171" s="38" t="str">
        <x:v>NO ADD</x:v>
      </x:c>
      <x:c r="J171" s="38" t="str">
        <x:v>NO ADD — no high-confidence evidence strong enough to add this tag in the final V1 pass.</x:v>
      </x:c>
      <x:c r="K171" s="38" t="str">
        <x:v>KEEP</x:v>
      </x:c>
      <x:c r="L171" s="38" t="str">
        <x:v>KEEP — no high-confidence reason to remove the current tag in the final V1 pass.</x:v>
      </x:c>
      <x:c r="M171" s="38" t="str">
        <x:v>comforting | tangy</x:v>
      </x:c>
      <x:c r="N171" s="38" t="str">
        <x:v>none</x:v>
      </x:c>
      <x:c r="O171" s="38" t="str">
        <x:v>FROZEN / NO HIGH-CONFIDENCE CHANGE</x:v>
      </x:c>
      <x:c r="P171" s="38" t="str">
        <x:v>Gujarati wheat-dough pieces simmered in spiced lentil dal until tender and comforting.</x:v>
      </x:c>
      <x:c r="Q171" s="38" t="str">
        <x:v>Six-flavor V1 taxonomy frozen after this audit.</x:v>
      </x:c>
    </x:row>
    <x:row r="172" ht="56" customHeight="1">
      <x:c r="A172" s="38" t="n">
        <x:v>160</x:v>
      </x:c>
      <x:c r="B172" s="38" t="str">
        <x:v>manti</x:v>
      </x:c>
      <x:c r="C172" s="38" t="str">
        <x:v>Manti</x:v>
      </x:c>
      <x:c r="D172" s="38" t="str">
        <x:v>rich | tangy</x:v>
      </x:c>
      <x:c r="E172" s="38" t="str">
        <x:v>NO ADD</x:v>
      </x:c>
      <x:c r="F172" s="38" t="str">
        <x:v>NO ADD — no high-confidence evidence strong enough to add this tag in the final V1 pass.</x:v>
      </x:c>
      <x:c r="G172" s="38" t="str">
        <x:v>NO ADD</x:v>
      </x:c>
      <x:c r="H172" s="38" t="str">
        <x:v>NO ADD — no high-confidence evidence strong enough to add this tag in the final V1 pass.</x:v>
      </x:c>
      <x:c r="I172" s="38" t="str">
        <x:v>NO ADD</x:v>
      </x:c>
      <x:c r="J172" s="38" t="str">
        <x:v>NO ADD — no high-confidence evidence strong enough to add this tag in the final V1 pass.</x:v>
      </x:c>
      <x:c r="K172" s="38" t="str">
        <x:v>KEEP</x:v>
      </x:c>
      <x:c r="L172" s="38" t="str">
        <x:v>KEEP — no high-confidence reason to remove the current tag in the final V1 pass.</x:v>
      </x:c>
      <x:c r="M172" s="38" t="str">
        <x:v>rich | tangy</x:v>
      </x:c>
      <x:c r="N172" s="38" t="str">
        <x:v>none</x:v>
      </x:c>
      <x:c r="O172" s="38" t="str">
        <x:v>FROZEN / NO HIGH-CONFIDENCE CHANGE</x:v>
      </x:c>
      <x:c r="P172" s="38" t="str">
        <x:v>Turkish filled dumplings served with garlicky yogurt and spiced butter or sauce.</x:v>
      </x:c>
      <x:c r="Q172" s="38" t="str">
        <x:v>Six-flavor V1 taxonomy frozen after this audit.</x:v>
      </x:c>
    </x:row>
    <x:row r="173" ht="56" customHeight="1">
      <x:c r="A173" s="38" t="n">
        <x:v>161</x:v>
      </x:c>
      <x:c r="B173" s="38" t="str">
        <x:v>adana-kebab</x:v>
      </x:c>
      <x:c r="C173" s="38" t="str">
        <x:v>Adana Kebab</x:v>
      </x:c>
      <x:c r="D173" s="38" t="str">
        <x:v>spicy | rich</x:v>
      </x:c>
      <x:c r="E173" s="38" t="str">
        <x:v>KEEP</x:v>
      </x:c>
      <x:c r="F173" s="38" t="str">
        <x:v>KEEP — no high-confidence reason to remove the current tag in the final V1 pass.</x:v>
      </x:c>
      <x:c r="G173" s="38" t="str">
        <x:v>NO ADD</x:v>
      </x:c>
      <x:c r="H173" s="38" t="str">
        <x:v>NO ADD — no high-confidence evidence strong enough to add this tag in the final V1 pass.</x:v>
      </x:c>
      <x:c r="I173" s="38" t="str">
        <x:v>NO ADD</x:v>
      </x:c>
      <x:c r="J173" s="38" t="str">
        <x:v>NO ADD — no high-confidence evidence strong enough to add this tag in the final V1 pass.</x:v>
      </x:c>
      <x:c r="K173" s="38" t="str">
        <x:v>NO ADD</x:v>
      </x:c>
      <x:c r="L173" s="38" t="str">
        <x:v>NO ADD — no high-confidence evidence strong enough to add this tag in the final V1 pass.</x:v>
      </x:c>
      <x:c r="M173" s="38" t="str">
        <x:v>spicy | rich</x:v>
      </x:c>
      <x:c r="N173" s="38" t="str">
        <x:v>none</x:v>
      </x:c>
      <x:c r="O173" s="38" t="str">
        <x:v>FROZEN / NO HIGH-CONFIDENCE CHANGE</x:v>
      </x:c>
      <x:c r="P173" s="38" t="str">
        <x:v>Turkish minced-meat kebab seasoned with chile and grilled on wide metal skewers.</x:v>
      </x:c>
      <x:c r="Q173" s="38" t="str">
        <x:v>Six-flavor V1 taxonomy frozen after this audit.</x:v>
      </x:c>
    </x:row>
    <x:row r="174" ht="56" customHeight="1">
      <x:c r="A174" s="38" t="n">
        <x:v>162</x:v>
      </x:c>
      <x:c r="B174" s="38" t="str">
        <x:v>freekeh-pilaf</x:v>
      </x:c>
      <x:c r="C174" s="38" t="str">
        <x:v>Freekeh Pilaf</x:v>
      </x:c>
      <x:c r="D174" s="38" t="str">
        <x:v>fresh | comforting</x:v>
      </x:c>
      <x:c r="E174" s="38" t="str">
        <x:v>NO ADD</x:v>
      </x:c>
      <x:c r="F174" s="38" t="str">
        <x:v>NO ADD — no high-confidence evidence strong enough to add this tag in the final V1 pass.</x:v>
      </x:c>
      <x:c r="G174" s="38" t="str">
        <x:v>REMOVE</x:v>
      </x:c>
      <x:c r="H174" s="38" t="str">
        <x:v>REMOVE — the row centers roasted wheat cooked as pilaf with stock/aromatics; fresh is not defining.</x:v>
      </x:c>
      <x:c r="I174" s="38" t="str">
        <x:v>NO ADD</x:v>
      </x:c>
      <x:c r="J174" s="38" t="str">
        <x:v>NO ADD — no high-confidence evidence strong enough to add this tag in the final V1 pass.</x:v>
      </x:c>
      <x:c r="K174" s="38" t="str">
        <x:v>NO ADD</x:v>
      </x:c>
      <x:c r="L174" s="38" t="str">
        <x:v>NO ADD — no high-confidence evidence strong enough to add this tag in the final V1 pass.</x:v>
      </x:c>
      <x:c r="M174" s="38" t="str">
        <x:v>comforting</x:v>
      </x:c>
      <x:c r="N174" s="38" t="str">
        <x:v>remove fresh</x:v>
      </x:c>
      <x:c r="O174" s="38" t="str">
        <x:v>HIGH</x:v>
      </x:c>
      <x:c r="P174" s="38" t="str">
        <x:v>Levantine roasted green-wheat pilaf with a nutty, smoky character and savory toppings.</x:v>
      </x:c>
      <x:c r="Q174" s="38" t="str">
        <x:v>Six-flavor V1 taxonomy frozen after this audit.</x:v>
      </x:c>
    </x:row>
    <x:row r="175" ht="56" customHeight="1">
      <x:c r="A175" s="38" t="n">
        <x:v>163</x:v>
      </x:c>
      <x:c r="B175" s="38" t="str">
        <x:v>sfiha</x:v>
      </x:c>
      <x:c r="C175" s="38" t="str">
        <x:v>Sfiha</x:v>
      </x:c>
      <x:c r="D175" s="38" t="str">
        <x:v>comforting</x:v>
      </x:c>
      <x:c r="E175" s="38" t="str">
        <x:v>NO ADD</x:v>
      </x:c>
      <x:c r="F175" s="38" t="str">
        <x:v>NO ADD — no high-confidence evidence strong enough to add this tag in the final V1 pass.</x:v>
      </x:c>
      <x:c r="G175" s="38" t="str">
        <x:v>NO ADD</x:v>
      </x:c>
      <x:c r="H175" s="38" t="str">
        <x:v>NO ADD — no high-confidence evidence strong enough to add this tag in the final V1 pass.</x:v>
      </x:c>
      <x:c r="I175" s="38" t="str">
        <x:v>NO ADD</x:v>
      </x:c>
      <x:c r="J175" s="38" t="str">
        <x:v>NO ADD — no high-confidence evidence strong enough to add this tag in the final V1 pass.</x:v>
      </x:c>
      <x:c r="K175" s="38" t="str">
        <x:v>NO ADD</x:v>
      </x:c>
      <x:c r="L175" s="38" t="str">
        <x:v>NO ADD — no high-confidence evidence strong enough to add this tag in the final V1 pass.</x:v>
      </x:c>
      <x:c r="M175" s="38" t="str">
        <x:v>comforting</x:v>
      </x:c>
      <x:c r="N175" s="38" t="str">
        <x:v>none</x:v>
      </x:c>
      <x:c r="O175" s="38" t="str">
        <x:v>FROZEN / NO HIGH-CONFIDENCE CHANGE</x:v>
      </x:c>
      <x:c r="P175" s="38" t="str">
        <x:v>Levantine open-faced meat flatbread baked with tomato, onion, herbs, and spices.</x:v>
      </x:c>
      <x:c r="Q175" s="38" t="str">
        <x:v>Six-flavor V1 taxonomy frozen after this audit.</x:v>
      </x:c>
    </x:row>
    <x:row r="176" ht="56" customHeight="1">
      <x:c r="A176" s="38" t="n">
        <x:v>164</x:v>
      </x:c>
      <x:c r="B176" s="38" t="str">
        <x:v>baasto-iyo-suugo</x:v>
      </x:c>
      <x:c r="C176" s="38" t="str">
        <x:v>Baasto iyo Suugo</x:v>
      </x:c>
      <x:c r="D176" s="38" t="str">
        <x:v>comforting</x:v>
      </x:c>
      <x:c r="E176" s="38" t="str">
        <x:v>NO ADD</x:v>
      </x:c>
      <x:c r="F176" s="38" t="str">
        <x:v>NO ADD — no high-confidence evidence strong enough to add this tag in the final V1 pass.</x:v>
      </x:c>
      <x:c r="G176" s="38" t="str">
        <x:v>NO ADD</x:v>
      </x:c>
      <x:c r="H176" s="38" t="str">
        <x:v>NO ADD — no high-confidence evidence strong enough to add this tag in the final V1 pass.</x:v>
      </x:c>
      <x:c r="I176" s="38" t="str">
        <x:v>NO ADD</x:v>
      </x:c>
      <x:c r="J176" s="38" t="str">
        <x:v>NO ADD — no high-confidence evidence strong enough to add this tag in the final V1 pass.</x:v>
      </x:c>
      <x:c r="K176" s="38" t="str">
        <x:v>NO ADD</x:v>
      </x:c>
      <x:c r="L176" s="38" t="str">
        <x:v>NO ADD — no high-confidence evidence strong enough to add this tag in the final V1 pass.</x:v>
      </x:c>
      <x:c r="M176" s="38" t="str">
        <x:v>comforting</x:v>
      </x:c>
      <x:c r="N176" s="38" t="str">
        <x:v>none</x:v>
      </x:c>
      <x:c r="O176" s="38" t="str">
        <x:v>FROZEN / NO HIGH-CONFIDENCE CHANGE</x:v>
      </x:c>
      <x:c r="P176" s="38" t="str">
        <x:v>Somali pasta served with a spiced tomato meat sauce and often banana on the side.</x:v>
      </x:c>
      <x:c r="Q176" s="38" t="str">
        <x:v>Six-flavor V1 taxonomy frozen after this audit.</x:v>
      </x:c>
    </x:row>
    <x:row r="177" ht="56" customHeight="1">
      <x:c r="A177" s="38" t="n">
        <x:v>165</x:v>
      </x:c>
      <x:c r="B177" s="38" t="str">
        <x:v>pastilla</x:v>
      </x:c>
      <x:c r="C177" s="38" t="str">
        <x:v>Pastilla</x:v>
      </x:c>
      <x:c r="D177" s="38" t="str">
        <x:v>crispy | rich</x:v>
      </x:c>
      <x:c r="E177" s="38" t="str">
        <x:v>NO ADD</x:v>
      </x:c>
      <x:c r="F177" s="38" t="str">
        <x:v>NO ADD — no high-confidence evidence strong enough to add this tag in the final V1 pass.</x:v>
      </x:c>
      <x:c r="G177" s="38" t="str">
        <x:v>NO ADD</x:v>
      </x:c>
      <x:c r="H177" s="38" t="str">
        <x:v>NO ADD — no high-confidence evidence strong enough to add this tag in the final V1 pass.</x:v>
      </x:c>
      <x:c r="I177" s="38" t="str">
        <x:v>KEEP</x:v>
      </x:c>
      <x:c r="J177" s="38" t="str">
        <x:v>KEEP — no high-confidence reason to remove the current tag in the final V1 pass.</x:v>
      </x:c>
      <x:c r="K177" s="38" t="str">
        <x:v>NO ADD</x:v>
      </x:c>
      <x:c r="L177" s="38" t="str">
        <x:v>NO ADD — no high-confidence evidence strong enough to add this tag in the final V1 pass.</x:v>
      </x:c>
      <x:c r="M177" s="38" t="str">
        <x:v>crispy | rich</x:v>
      </x:c>
      <x:c r="N177" s="38" t="str">
        <x:v>none</x:v>
      </x:c>
      <x:c r="O177" s="38" t="str">
        <x:v>FROZEN / NO HIGH-CONFIDENCE CHANGE</x:v>
      </x:c>
      <x:c r="P177" s="38" t="str">
        <x:v>Moroccan layered pastry filled with spiced poultry or seafood, almonds, and delicate crisp pastry.</x:v>
      </x:c>
      <x:c r="Q177" s="38" t="str">
        <x:v>Six-flavor V1 taxonomy frozen after this audit.</x:v>
      </x:c>
    </x:row>
    <x:row r="178" ht="56" customHeight="1">
      <x:c r="A178" s="38" t="n">
        <x:v>166</x:v>
      </x:c>
      <x:c r="B178" s="38" t="str">
        <x:v>moi-moi</x:v>
      </x:c>
      <x:c r="C178" s="38" t="str">
        <x:v>Moi Moi</x:v>
      </x:c>
      <x:c r="D178" s="38" t="str">
        <x:v>comforting</x:v>
      </x:c>
      <x:c r="E178" s="38" t="str">
        <x:v>NO ADD</x:v>
      </x:c>
      <x:c r="F178" s="38" t="str">
        <x:v>NO ADD — no high-confidence evidence strong enough to add this tag in the final V1 pass.</x:v>
      </x:c>
      <x:c r="G178" s="38" t="str">
        <x:v>NO ADD</x:v>
      </x:c>
      <x:c r="H178" s="38" t="str">
        <x:v>NO ADD — no high-confidence evidence strong enough to add this tag in the final V1 pass.</x:v>
      </x:c>
      <x:c r="I178" s="38" t="str">
        <x:v>NO ADD</x:v>
      </x:c>
      <x:c r="J178" s="38" t="str">
        <x:v>NO ADD — no high-confidence evidence strong enough to add this tag in the final V1 pass.</x:v>
      </x:c>
      <x:c r="K178" s="38" t="str">
        <x:v>NO ADD</x:v>
      </x:c>
      <x:c r="L178" s="38" t="str">
        <x:v>NO ADD — no high-confidence evidence strong enough to add this tag in the final V1 pass.</x:v>
      </x:c>
      <x:c r="M178" s="38" t="str">
        <x:v>comforting</x:v>
      </x:c>
      <x:c r="N178" s="38" t="str">
        <x:v>none</x:v>
      </x:c>
      <x:c r="O178" s="38" t="str">
        <x:v>FROZEN / NO HIGH-CONFIDENCE CHANGE</x:v>
      </x:c>
      <x:c r="P178" s="38" t="str">
        <x:v>Nigerian steamed bean pudding seasoned with peppers, onions, and savory aromatics.</x:v>
      </x:c>
      <x:c r="Q178" s="38" t="str">
        <x:v>Six-flavor V1 taxonomy frozen after this audit.</x:v>
      </x:c>
    </x:row>
    <x:row r="179" ht="56" customHeight="1">
      <x:c r="A179" s="38" t="n">
        <x:v>167</x:v>
      </x:c>
      <x:c r="B179" s="38" t="str">
        <x:v>attieke-fish</x:v>
      </x:c>
      <x:c r="C179" s="38" t="str">
        <x:v>Attiéké with Grilled Fish</x:v>
      </x:c>
      <x:c r="D179" s="38" t="str">
        <x:v>fresh | tangy</x:v>
      </x:c>
      <x:c r="E179" s="38" t="str">
        <x:v>NO ADD</x:v>
      </x:c>
      <x:c r="F179" s="38" t="str">
        <x:v>NO ADD — no high-confidence evidence strong enough to add this tag in the final V1 pass.</x:v>
      </x:c>
      <x:c r="G179" s="38" t="str">
        <x:v>KEEP</x:v>
      </x:c>
      <x:c r="H179" s="38" t="str">
        <x:v>KEEP — no high-confidence reason to remove the current tag in the final V1 pass.</x:v>
      </x:c>
      <x:c r="I179" s="38" t="str">
        <x:v>NO ADD</x:v>
      </x:c>
      <x:c r="J179" s="38" t="str">
        <x:v>NO ADD — no high-confidence evidence strong enough to add this tag in the final V1 pass.</x:v>
      </x:c>
      <x:c r="K179" s="38" t="str">
        <x:v>KEEP</x:v>
      </x:c>
      <x:c r="L179" s="38" t="str">
        <x:v>KEEP — no high-confidence reason to remove the current tag in the final V1 pass.</x:v>
      </x:c>
      <x:c r="M179" s="38" t="str">
        <x:v>fresh | tangy</x:v>
      </x:c>
      <x:c r="N179" s="38" t="str">
        <x:v>none</x:v>
      </x:c>
      <x:c r="O179" s="38" t="str">
        <x:v>FROZEN / NO HIGH-CONFIDENCE CHANGE</x:v>
      </x:c>
      <x:c r="P179" s="38" t="str">
        <x:v>Ivorian fermented cassava couscous served with grilled fish, onions, tomato, and fresh chile.</x:v>
      </x:c>
      <x:c r="Q179" s="38" t="str">
        <x:v>Six-flavor V1 taxonomy frozen after this audit.</x:v>
      </x:c>
    </x:row>
    <x:row r="180" ht="56" customHeight="1">
      <x:c r="A180" s="38" t="n">
        <x:v>168</x:v>
      </x:c>
      <x:c r="B180" s="38" t="str">
        <x:v>arroz-de-marisco</x:v>
      </x:c>
      <x:c r="C180" s="38" t="str">
        <x:v>Arroz de Marisco</x:v>
      </x:c>
      <x:c r="D180" s="38" t="str">
        <x:v>rich</x:v>
      </x:c>
      <x:c r="E180" s="38" t="str">
        <x:v>NO ADD</x:v>
      </x:c>
      <x:c r="F180" s="38" t="str">
        <x:v>NO ADD — no high-confidence evidence strong enough to add this tag in the final V1 pass.</x:v>
      </x:c>
      <x:c r="G180" s="38" t="str">
        <x:v>NO ADD</x:v>
      </x:c>
      <x:c r="H180" s="38" t="str">
        <x:v>NO ADD — no high-confidence evidence strong enough to add this tag in the final V1 pass.</x:v>
      </x:c>
      <x:c r="I180" s="38" t="str">
        <x:v>NO ADD</x:v>
      </x:c>
      <x:c r="J180" s="38" t="str">
        <x:v>NO ADD — no high-confidence evidence strong enough to add this tag in the final V1 pass.</x:v>
      </x:c>
      <x:c r="K180" s="38" t="str">
        <x:v>NO ADD</x:v>
      </x:c>
      <x:c r="L180" s="38" t="str">
        <x:v>NO ADD — no high-confidence evidence strong enough to add this tag in the final V1 pass.</x:v>
      </x:c>
      <x:c r="M180" s="38" t="str">
        <x:v>rich</x:v>
      </x:c>
      <x:c r="N180" s="38" t="str">
        <x:v>none</x:v>
      </x:c>
      <x:c r="O180" s="38" t="str">
        <x:v>FROZEN / NO HIGH-CONFIDENCE CHANGE</x:v>
      </x:c>
      <x:c r="P180" s="38" t="str">
        <x:v>Portuguese seafood rice cooked in a tomato-rich broth with shellfish, fish, and herbs.</x:v>
      </x:c>
      <x:c r="Q180" s="38" t="str">
        <x:v>Six-flavor V1 taxonomy frozen after this audit.</x:v>
      </x:c>
    </x:row>
    <x:row r="181" ht="56" customHeight="1">
      <x:c r="A181" s="38" t="n">
        <x:v>169</x:v>
      </x:c>
      <x:c r="B181" s="38" t="str">
        <x:v>arroz-negro</x:v>
      </x:c>
      <x:c r="C181" s="38" t="str">
        <x:v>Arroz Negro</x:v>
      </x:c>
      <x:c r="D181" s="38" t="str">
        <x:v>rich</x:v>
      </x:c>
      <x:c r="E181" s="38" t="str">
        <x:v>NO ADD</x:v>
      </x:c>
      <x:c r="F181" s="38" t="str">
        <x:v>NO ADD — no high-confidence evidence strong enough to add this tag in the final V1 pass.</x:v>
      </x:c>
      <x:c r="G181" s="38" t="str">
        <x:v>NO ADD</x:v>
      </x:c>
      <x:c r="H181" s="38" t="str">
        <x:v>NO ADD — no high-confidence evidence strong enough to add this tag in the final V1 pass.</x:v>
      </x:c>
      <x:c r="I181" s="38" t="str">
        <x:v>NO ADD</x:v>
      </x:c>
      <x:c r="J181" s="38" t="str">
        <x:v>NO ADD — no high-confidence evidence strong enough to add this tag in the final V1 pass.</x:v>
      </x:c>
      <x:c r="K181" s="38" t="str">
        <x:v>NO ADD</x:v>
      </x:c>
      <x:c r="L181" s="38" t="str">
        <x:v>NO ADD — no high-confidence evidence strong enough to add this tag in the final V1 pass.</x:v>
      </x:c>
      <x:c r="M181" s="38" t="str">
        <x:v>rich</x:v>
      </x:c>
      <x:c r="N181" s="38" t="str">
        <x:v>none</x:v>
      </x:c>
      <x:c r="O181" s="38" t="str">
        <x:v>FROZEN / NO HIGH-CONFIDENCE CHANGE</x:v>
      </x:c>
      <x:c r="P181" s="38" t="str">
        <x:v>Spanish black rice colored with squid ink and cooked with seafood in a wide pan.</x:v>
      </x:c>
      <x:c r="Q181" s="38" t="str">
        <x:v>Six-flavor V1 taxonomy frozen after this audit.</x:v>
      </x:c>
    </x:row>
    <x:row r="182" ht="56" customHeight="1">
      <x:c r="A182" s="38" t="n">
        <x:v>170</x:v>
      </x:c>
      <x:c r="B182" s="38" t="str">
        <x:v>cevapi</x:v>
      </x:c>
      <x:c r="C182" s="38" t="str">
        <x:v>Ćevapi</x:v>
      </x:c>
      <x:c r="D182" s="38" t="str">
        <x:v>rich | fresh</x:v>
      </x:c>
      <x:c r="E182" s="38" t="str">
        <x:v>NO ADD</x:v>
      </x:c>
      <x:c r="F182" s="38" t="str">
        <x:v>NO ADD — no high-confidence evidence strong enough to add this tag in the final V1 pass.</x:v>
      </x:c>
      <x:c r="G182" s="38" t="str">
        <x:v>KEEP</x:v>
      </x:c>
      <x:c r="H182" s="38" t="str">
        <x:v>KEEP — no high-confidence reason to remove the current tag in the final V1 pass.</x:v>
      </x:c>
      <x:c r="I182" s="38" t="str">
        <x:v>NO ADD</x:v>
      </x:c>
      <x:c r="J182" s="38" t="str">
        <x:v>NO ADD — no high-confidence evidence strong enough to add this tag in the final V1 pass.</x:v>
      </x:c>
      <x:c r="K182" s="38" t="str">
        <x:v>NO ADD</x:v>
      </x:c>
      <x:c r="L182" s="38" t="str">
        <x:v>NO ADD — no high-confidence evidence strong enough to add this tag in the final V1 pass.</x:v>
      </x:c>
      <x:c r="M182" s="38" t="str">
        <x:v>rich | fresh</x:v>
      </x:c>
      <x:c r="N182" s="38" t="str">
        <x:v>none</x:v>
      </x:c>
      <x:c r="O182" s="38" t="str">
        <x:v>FROZEN / NO HIGH-CONFIDENCE CHANGE</x:v>
      </x:c>
      <x:c r="P182" s="38" t="str">
        <x:v>Balkan grilled minced-meat sausages served with flatbread, onions, and fresh accompaniments.</x:v>
      </x:c>
      <x:c r="Q182" s="38" t="str">
        <x:v>Six-flavor V1 taxonomy frozen after this audit.</x:v>
      </x:c>
    </x:row>
    <x:row r="183" ht="56" customHeight="1">
      <x:c r="A183" s="38" t="n">
        <x:v>171</x:v>
      </x:c>
      <x:c r="B183" s="38" t="str">
        <x:v>arroz-con-gandules</x:v>
      </x:c>
      <x:c r="C183" s="38" t="str">
        <x:v>Arroz con Gandules</x:v>
      </x:c>
      <x:c r="D183" s="38" t="str">
        <x:v>comforting | rich</x:v>
      </x:c>
      <x:c r="E183" s="38" t="str">
        <x:v>NO ADD</x:v>
      </x:c>
      <x:c r="F183" s="38" t="str">
        <x:v>NO ADD — no high-confidence evidence strong enough to add this tag in the final V1 pass.</x:v>
      </x:c>
      <x:c r="G183" s="38" t="str">
        <x:v>NO ADD</x:v>
      </x:c>
      <x:c r="H183" s="38" t="str">
        <x:v>NO ADD — no high-confidence evidence strong enough to add this tag in the final V1 pass.</x:v>
      </x:c>
      <x:c r="I183" s="38" t="str">
        <x:v>NO ADD</x:v>
      </x:c>
      <x:c r="J183" s="38" t="str">
        <x:v>NO ADD — no high-confidence evidence strong enough to add this tag in the final V1 pass.</x:v>
      </x:c>
      <x:c r="K183" s="38" t="str">
        <x:v>NO ADD</x:v>
      </x:c>
      <x:c r="L183" s="38" t="str">
        <x:v>NO ADD — no high-confidence evidence strong enough to add this tag in the final V1 pass.</x:v>
      </x:c>
      <x:c r="M183" s="38" t="str">
        <x:v>comforting | rich</x:v>
      </x:c>
      <x:c r="N183" s="38" t="str">
        <x:v>none</x:v>
      </x:c>
      <x:c r="O183" s="38" t="str">
        <x:v>FROZEN / NO HIGH-CONFIDENCE CHANGE</x:v>
      </x:c>
      <x:c r="P183" s="38" t="str">
        <x:v>Puerto Rican rice with pigeon peas, sofrito, seasonings, and savory additions.</x:v>
      </x:c>
      <x:c r="Q183" s="38" t="str">
        <x:v>Six-flavor V1 taxonomy frozen after this audit.</x:v>
      </x:c>
    </x:row>
    <x:row r="184" ht="56" customHeight="1">
      <x:c r="A184" s="38" t="n">
        <x:v>172</x:v>
      </x:c>
      <x:c r="B184" s="38" t="str">
        <x:v>chivito</x:v>
      </x:c>
      <x:c r="C184" s="38" t="str">
        <x:v>Chivito</x:v>
      </x:c>
      <x:c r="D184" s="38" t="str">
        <x:v>rich | fresh</x:v>
      </x:c>
      <x:c r="E184" s="38" t="str">
        <x:v>NO ADD</x:v>
      </x:c>
      <x:c r="F184" s="38" t="str">
        <x:v>NO ADD — no high-confidence evidence strong enough to add this tag in the final V1 pass.</x:v>
      </x:c>
      <x:c r="G184" s="38" t="str">
        <x:v>KEEP</x:v>
      </x:c>
      <x:c r="H184" s="38" t="str">
        <x:v>KEEP — no high-confidence reason to remove the current tag in the final V1 pass.</x:v>
      </x:c>
      <x:c r="I184" s="38" t="str">
        <x:v>NO ADD</x:v>
      </x:c>
      <x:c r="J184" s="38" t="str">
        <x:v>NO ADD — no high-confidence evidence strong enough to add this tag in the final V1 pass.</x:v>
      </x:c>
      <x:c r="K184" s="38" t="str">
        <x:v>NO ADD</x:v>
      </x:c>
      <x:c r="L184" s="38" t="str">
        <x:v>NO ADD — no high-confidence evidence strong enough to add this tag in the final V1 pass.</x:v>
      </x:c>
      <x:c r="M184" s="38" t="str">
        <x:v>rich | fresh</x:v>
      </x:c>
      <x:c r="N184" s="38" t="str">
        <x:v>none</x:v>
      </x:c>
      <x:c r="O184" s="38" t="str">
        <x:v>FROZEN / NO HIGH-CONFIDENCE CHANGE</x:v>
      </x:c>
      <x:c r="P184" s="38" t="str">
        <x:v>Uruguayan steak sandwich stacked with ham, cheese, vegetables, egg, and sauces.</x:v>
      </x:c>
      <x:c r="Q184" s="38" t="str">
        <x:v>Six-flavor V1 taxonomy frozen after this audit.</x:v>
      </x:c>
    </x:row>
    <x:row r="185" ht="56" customHeight="1">
      <x:c r="A185" s="38" t="n">
        <x:v>173</x:v>
      </x:c>
      <x:c r="B185" s="38" t="str">
        <x:v>jerk-chicken</x:v>
      </x:c>
      <x:c r="C185" s="38" t="str">
        <x:v>Jerk Chicken</x:v>
      </x:c>
      <x:c r="D185" s="38" t="str">
        <x:v>spicy | fresh</x:v>
      </x:c>
      <x:c r="E185" s="38" t="str">
        <x:v>KEEP</x:v>
      </x:c>
      <x:c r="F185" s="38" t="str">
        <x:v>KEEP — no high-confidence reason to remove the current tag in the final V1 pass.</x:v>
      </x:c>
      <x:c r="G185" s="38" t="str">
        <x:v>REMOVE</x:v>
      </x:c>
      <x:c r="H185" s="38" t="str">
        <x:v>REMOVE — herbs are part of the marinade, but the defining experience is seasoned grilled/smoked chicken rather than freshness.</x:v>
      </x:c>
      <x:c r="I185" s="38" t="str">
        <x:v>NO ADD</x:v>
      </x:c>
      <x:c r="J185" s="38" t="str">
        <x:v>NO ADD — no high-confidence evidence strong enough to add this tag in the final V1 pass.</x:v>
      </x:c>
      <x:c r="K185" s="38" t="str">
        <x:v>NO ADD</x:v>
      </x:c>
      <x:c r="L185" s="38" t="str">
        <x:v>NO ADD — no high-confidence evidence strong enough to add this tag in the final V1 pass.</x:v>
      </x:c>
      <x:c r="M185" s="38" t="str">
        <x:v>spicy</x:v>
      </x:c>
      <x:c r="N185" s="38" t="str">
        <x:v>remove fresh</x:v>
      </x:c>
      <x:c r="O185" s="38" t="str">
        <x:v>HIGH</x:v>
      </x:c>
      <x:c r="P185" s="38" t="str">
        <x:v>Jamaican chicken marinated with allspice, chile, herbs, and aromatics, then grilled or smoked.</x:v>
      </x:c>
      <x:c r="Q185" s="38" t="str">
        <x:v>Six-flavor V1 taxonomy frozen after this audit.</x:v>
      </x:c>
    </x:row>
    <x:row r="186" ht="56" customHeight="1">
      <x:c r="A186" s="38" t="n">
        <x:v>174</x:v>
      </x:c>
      <x:c r="B186" s="38" t="str">
        <x:v>montreal-smoked-meat-sandwich</x:v>
      </x:c>
      <x:c r="C186" s="38" t="str">
        <x:v>Montreal Smoked Meat Sandwich</x:v>
      </x:c>
      <x:c r="D186" s="38" t="str">
        <x:v>rich | tangy</x:v>
      </x:c>
      <x:c r="E186" s="38" t="str">
        <x:v>NO ADD</x:v>
      </x:c>
      <x:c r="F186" s="38" t="str">
        <x:v>NO ADD — no high-confidence evidence strong enough to add this tag in the final V1 pass.</x:v>
      </x:c>
      <x:c r="G186" s="38" t="str">
        <x:v>NO ADD</x:v>
      </x:c>
      <x:c r="H186" s="38" t="str">
        <x:v>NO ADD — no high-confidence evidence strong enough to add this tag in the final V1 pass.</x:v>
      </x:c>
      <x:c r="I186" s="38" t="str">
        <x:v>NO ADD</x:v>
      </x:c>
      <x:c r="J186" s="38" t="str">
        <x:v>NO ADD — no high-confidence evidence strong enough to add this tag in the final V1 pass.</x:v>
      </x:c>
      <x:c r="K186" s="38" t="str">
        <x:v>REMOVE</x:v>
      </x:c>
      <x:c r="L186" s="38" t="str">
        <x:v>REMOVE — mustard is a standard accompaniment, but the defining profile is cured/smoked beef rather than tanginess.</x:v>
      </x:c>
      <x:c r="M186" s="38" t="str">
        <x:v>rich</x:v>
      </x:c>
      <x:c r="N186" s="38" t="str">
        <x:v>remove tangy</x:v>
      </x:c>
      <x:c r="O186" s="38" t="str">
        <x:v>HIGH</x:v>
      </x:c>
      <x:c r="P186" s="38" t="str">
        <x:v>Montreal deli sandwich piled with cured smoked beef, mustard, and rye bread.</x:v>
      </x:c>
      <x:c r="Q186" s="38" t="str">
        <x:v>Six-flavor V1 taxonomy frozen after this audit.</x:v>
      </x:c>
    </x:row>
    <x:row r="187" ht="56" customHeight="1">
      <x:c r="A187" s="38" t="n">
        <x:v>175</x:v>
      </x:c>
      <x:c r="B187" s="38" t="str">
        <x:v>chicken-and-waffles</x:v>
      </x:c>
      <x:c r="C187" s="38" t="str">
        <x:v>Chicken and Waffles</x:v>
      </x:c>
      <x:c r="D187" s="38" t="str">
        <x:v>crispy | rich</x:v>
      </x:c>
      <x:c r="E187" s="38" t="str">
        <x:v>NO ADD</x:v>
      </x:c>
      <x:c r="F187" s="38" t="str">
        <x:v>NO ADD — no high-confidence evidence strong enough to add this tag in the final V1 pass.</x:v>
      </x:c>
      <x:c r="G187" s="38" t="str">
        <x:v>NO ADD</x:v>
      </x:c>
      <x:c r="H187" s="38" t="str">
        <x:v>NO ADD — no high-confidence evidence strong enough to add this tag in the final V1 pass.</x:v>
      </x:c>
      <x:c r="I187" s="38" t="str">
        <x:v>KEEP</x:v>
      </x:c>
      <x:c r="J187" s="38" t="str">
        <x:v>KEEP — no high-confidence reason to remove the current tag in the final V1 pass.</x:v>
      </x:c>
      <x:c r="K187" s="38" t="str">
        <x:v>NO ADD</x:v>
      </x:c>
      <x:c r="L187" s="38" t="str">
        <x:v>NO ADD — no high-confidence evidence strong enough to add this tag in the final V1 pass.</x:v>
      </x:c>
      <x:c r="M187" s="38" t="str">
        <x:v>crispy | rich</x:v>
      </x:c>
      <x:c r="N187" s="38" t="str">
        <x:v>none</x:v>
      </x:c>
      <x:c r="O187" s="38" t="str">
        <x:v>FROZEN / NO HIGH-CONFIDENCE CHANGE</x:v>
      </x:c>
      <x:c r="P187" s="38" t="str">
        <x:v>American fried chicken paired with waffles for a crisp, savory, lightly sweet meal.</x:v>
      </x:c>
      <x:c r="Q187" s="38" t="str">
        <x:v>Six-flavor V1 taxonomy frozen after this audit.</x:v>
      </x:c>
    </x:row>
    <x:row r="188" ht="56" customHeight="1">
      <x:c r="A188" s="38" t="n">
        <x:v>176</x:v>
      </x:c>
      <x:c r="B188" s="38" t="str">
        <x:v>katsudon</x:v>
      </x:c>
      <x:c r="C188" s="38" t="str">
        <x:v>Katsudon</x:v>
      </x:c>
      <x:c r="D188" s="38" t="str">
        <x:v>comforting | crispy</x:v>
      </x:c>
      <x:c r="E188" s="38" t="str">
        <x:v>NO ADD</x:v>
      </x:c>
      <x:c r="F188" s="38" t="str">
        <x:v>NO ADD — no high-confidence evidence strong enough to add this tag in the final V1 pass.</x:v>
      </x:c>
      <x:c r="G188" s="38" t="str">
        <x:v>NO ADD</x:v>
      </x:c>
      <x:c r="H188" s="38" t="str">
        <x:v>NO ADD — no high-confidence evidence strong enough to add this tag in the final V1 pass.</x:v>
      </x:c>
      <x:c r="I188" s="38" t="str">
        <x:v>KEEP</x:v>
      </x:c>
      <x:c r="J188" s="38" t="str">
        <x:v>KEEP — no high-confidence reason to remove the current tag in the final V1 pass.</x:v>
      </x:c>
      <x:c r="K188" s="38" t="str">
        <x:v>NO ADD</x:v>
      </x:c>
      <x:c r="L188" s="38" t="str">
        <x:v>NO ADD — no high-confidence evidence strong enough to add this tag in the final V1 pass.</x:v>
      </x:c>
      <x:c r="M188" s="38" t="str">
        <x:v>comforting | crispy</x:v>
      </x:c>
      <x:c r="N188" s="38" t="str">
        <x:v>none</x:v>
      </x:c>
      <x:c r="O188" s="38" t="str">
        <x:v>FROZEN / NO HIGH-CONFIDENCE CHANGE</x:v>
      </x:c>
      <x:c r="P188" s="38" t="str">
        <x:v>Japanese rice bowl topped with a crisp pork cutlet, egg, onion, and sweet-savory sauce.</x:v>
      </x:c>
      <x:c r="Q188" s="38" t="str">
        <x:v>Six-flavor V1 taxonomy frozen after this audit.</x:v>
      </x:c>
    </x:row>
    <x:row r="189" ht="56" customHeight="1">
      <x:c r="A189" s="38" t="n">
        <x:v>177</x:v>
      </x:c>
      <x:c r="B189" s="38" t="str">
        <x:v>jjajangmyeon</x:v>
      </x:c>
      <x:c r="C189" s="38" t="str">
        <x:v>Jjajangmyeon</x:v>
      </x:c>
      <x:c r="D189" s="38" t="str">
        <x:v>rich | comforting</x:v>
      </x:c>
      <x:c r="E189" s="38" t="str">
        <x:v>NO ADD</x:v>
      </x:c>
      <x:c r="F189" s="38" t="str">
        <x:v>NO ADD — no high-confidence evidence strong enough to add this tag in the final V1 pass.</x:v>
      </x:c>
      <x:c r="G189" s="38" t="str">
        <x:v>NO ADD</x:v>
      </x:c>
      <x:c r="H189" s="38" t="str">
        <x:v>NO ADD — no high-confidence evidence strong enough to add this tag in the final V1 pass.</x:v>
      </x:c>
      <x:c r="I189" s="38" t="str">
        <x:v>NO ADD</x:v>
      </x:c>
      <x:c r="J189" s="38" t="str">
        <x:v>NO ADD — no high-confidence evidence strong enough to add this tag in the final V1 pass.</x:v>
      </x:c>
      <x:c r="K189" s="38" t="str">
        <x:v>NO ADD</x:v>
      </x:c>
      <x:c r="L189" s="38" t="str">
        <x:v>NO ADD — no high-confidence evidence strong enough to add this tag in the final V1 pass.</x:v>
      </x:c>
      <x:c r="M189" s="38" t="str">
        <x:v>rich | comforting</x:v>
      </x:c>
      <x:c r="N189" s="38" t="str">
        <x:v>none</x:v>
      </x:c>
      <x:c r="O189" s="38" t="str">
        <x:v>FROZEN / NO HIGH-CONFIDENCE CHANGE</x:v>
      </x:c>
      <x:c r="P189" s="38" t="str">
        <x:v>Korean wheat noodles coated in a thick black-bean sauce with pork and vegetables.</x:v>
      </x:c>
      <x:c r="Q189" s="38" t="str">
        <x:v>Six-flavor V1 taxonomy frozen after this audit.</x:v>
      </x:c>
    </x:row>
    <x:row r="190" ht="56" customHeight="1">
      <x:c r="A190" s="38" t="n">
        <x:v>178</x:v>
      </x:c>
      <x:c r="B190" s="38" t="str">
        <x:v>wonton-soup</x:v>
      </x:c>
      <x:c r="C190" s="38" t="str">
        <x:v>Wonton Soup</x:v>
      </x:c>
      <x:c r="D190" s="38" t="str">
        <x:v>comforting | fresh</x:v>
      </x:c>
      <x:c r="E190" s="38" t="str">
        <x:v>NO ADD</x:v>
      </x:c>
      <x:c r="F190" s="38" t="str">
        <x:v>NO ADD — no high-confidence evidence strong enough to add this tag in the final V1 pass.</x:v>
      </x:c>
      <x:c r="G190" s="38" t="str">
        <x:v>KEEP</x:v>
      </x:c>
      <x:c r="H190" s="38" t="str">
        <x:v>KEEP — no high-confidence reason to remove the current tag in the final V1 pass.</x:v>
      </x:c>
      <x:c r="I190" s="38" t="str">
        <x:v>NO ADD</x:v>
      </x:c>
      <x:c r="J190" s="38" t="str">
        <x:v>NO ADD — no high-confidence evidence strong enough to add this tag in the final V1 pass.</x:v>
      </x:c>
      <x:c r="K190" s="38" t="str">
        <x:v>NO ADD</x:v>
      </x:c>
      <x:c r="L190" s="38" t="str">
        <x:v>NO ADD — no high-confidence evidence strong enough to add this tag in the final V1 pass.</x:v>
      </x:c>
      <x:c r="M190" s="38" t="str">
        <x:v>comforting | fresh</x:v>
      </x:c>
      <x:c r="N190" s="38" t="str">
        <x:v>none</x:v>
      </x:c>
      <x:c r="O190" s="38" t="str">
        <x:v>FROZEN / NO HIGH-CONFIDENCE CHANGE</x:v>
      </x:c>
      <x:c r="P190" s="38" t="str">
        <x:v>Chinese broth with delicate filled wontons, greens, scallions, and optional noodles.</x:v>
      </x:c>
      <x:c r="Q190" s="38" t="str">
        <x:v>Six-flavor V1 taxonomy frozen after this audit.</x:v>
      </x:c>
    </x:row>
    <x:row r="191" ht="56" customHeight="1">
      <x:c r="A191" s="38" t="n">
        <x:v>179</x:v>
      </x:c>
      <x:c r="B191" s="38" t="str">
        <x:v>lemon-rice</x:v>
      </x:c>
      <x:c r="C191" s="38" t="str">
        <x:v>Lemon Rice</x:v>
      </x:c>
      <x:c r="D191" s="38" t="str">
        <x:v>fresh | tangy</x:v>
      </x:c>
      <x:c r="E191" s="38" t="str">
        <x:v>NO ADD</x:v>
      </x:c>
      <x:c r="F191" s="38" t="str">
        <x:v>NO ADD — no high-confidence evidence strong enough to add this tag in the final V1 pass.</x:v>
      </x:c>
      <x:c r="G191" s="38" t="str">
        <x:v>KEEP</x:v>
      </x:c>
      <x:c r="H191" s="38" t="str">
        <x:v>KEEP — no high-confidence reason to remove the current tag in the final V1 pass.</x:v>
      </x:c>
      <x:c r="I191" s="38" t="str">
        <x:v>NO ADD</x:v>
      </x:c>
      <x:c r="J191" s="38" t="str">
        <x:v>NO ADD — no high-confidence evidence strong enough to add this tag in the final V1 pass.</x:v>
      </x:c>
      <x:c r="K191" s="38" t="str">
        <x:v>KEEP</x:v>
      </x:c>
      <x:c r="L191" s="38" t="str">
        <x:v>KEEP — no high-confidence reason to remove the current tag in the final V1 pass.</x:v>
      </x:c>
      <x:c r="M191" s="38" t="str">
        <x:v>fresh | tangy</x:v>
      </x:c>
      <x:c r="N191" s="38" t="str">
        <x:v>none</x:v>
      </x:c>
      <x:c r="O191" s="38" t="str">
        <x:v>FROZEN / NO HIGH-CONFIDENCE CHANGE</x:v>
      </x:c>
      <x:c r="P191" s="38" t="str">
        <x:v>South Indian rice brightened with lemon, tempered spices, curry leaves, and crunchy garnishes.</x:v>
      </x:c>
      <x:c r="Q191" s="38" t="str">
        <x:v>Six-flavor V1 taxonomy frozen after this audit.</x:v>
      </x:c>
    </x:row>
    <x:row r="192" ht="56" customHeight="1">
      <x:c r="A192" s="38" t="n">
        <x:v>180</x:v>
      </x:c>
      <x:c r="B192" s="38" t="str">
        <x:v>paya</x:v>
      </x:c>
      <x:c r="C192" s="38" t="str">
        <x:v>Paya</x:v>
      </x:c>
      <x:c r="D192" s="38" t="str">
        <x:v>rich | comforting</x:v>
      </x:c>
      <x:c r="E192" s="38" t="str">
        <x:v>NO ADD</x:v>
      </x:c>
      <x:c r="F192" s="38" t="str">
        <x:v>NO ADD — no high-confidence evidence strong enough to add this tag in the final V1 pass.</x:v>
      </x:c>
      <x:c r="G192" s="38" t="str">
        <x:v>NO ADD</x:v>
      </x:c>
      <x:c r="H192" s="38" t="str">
        <x:v>NO ADD — no high-confidence evidence strong enough to add this tag in the final V1 pass.</x:v>
      </x:c>
      <x:c r="I192" s="38" t="str">
        <x:v>NO ADD</x:v>
      </x:c>
      <x:c r="J192" s="38" t="str">
        <x:v>NO ADD — no high-confidence evidence strong enough to add this tag in the final V1 pass.</x:v>
      </x:c>
      <x:c r="K192" s="38" t="str">
        <x:v>NO ADD</x:v>
      </x:c>
      <x:c r="L192" s="38" t="str">
        <x:v>NO ADD — no high-confidence evidence strong enough to add this tag in the final V1 pass.</x:v>
      </x:c>
      <x:c r="M192" s="38" t="str">
        <x:v>rich | comforting</x:v>
      </x:c>
      <x:c r="N192" s="38" t="str">
        <x:v>none</x:v>
      </x:c>
      <x:c r="O192" s="38" t="str">
        <x:v>FROZEN / NO HIGH-CONFIDENCE CHANGE</x:v>
      </x:c>
      <x:c r="P192" s="38" t="str">
        <x:v>South Asian slow-cooked trotter stew with warming spices and a deeply gelatinous broth.</x:v>
      </x:c>
      <x:c r="Q192" s="38" t="str">
        <x:v>Six-flavor V1 taxonomy frozen after this audit.</x:v>
      </x:c>
    </x:row>
    <x:row r="193" ht="56" customHeight="1">
      <x:c r="A193" s="38" t="n">
        <x:v>181</x:v>
      </x:c>
      <x:c r="B193" s="38" t="str">
        <x:v>chicken-chettinad</x:v>
      </x:c>
      <x:c r="C193" s="38" t="str">
        <x:v>Chicken Chettinad</x:v>
      </x:c>
      <x:c r="D193" s="38" t="str">
        <x:v>spicy</x:v>
      </x:c>
      <x:c r="E193" s="38" t="str">
        <x:v>KEEP</x:v>
      </x:c>
      <x:c r="F193" s="38" t="str">
        <x:v>KEEP — no high-confidence reason to remove the current tag in the final V1 pass.</x:v>
      </x:c>
      <x:c r="G193" s="38" t="str">
        <x:v>NO ADD</x:v>
      </x:c>
      <x:c r="H193" s="38" t="str">
        <x:v>NO ADD — no high-confidence evidence strong enough to add this tag in the final V1 pass.</x:v>
      </x:c>
      <x:c r="I193" s="38" t="str">
        <x:v>NO ADD</x:v>
      </x:c>
      <x:c r="J193" s="38" t="str">
        <x:v>NO ADD — no high-confidence evidence strong enough to add this tag in the final V1 pass.</x:v>
      </x:c>
      <x:c r="K193" s="38" t="str">
        <x:v>NO ADD</x:v>
      </x:c>
      <x:c r="L193" s="38" t="str">
        <x:v>NO ADD — no high-confidence evidence strong enough to add this tag in the final V1 pass.</x:v>
      </x:c>
      <x:c r="M193" s="38" t="str">
        <x:v>spicy</x:v>
      </x:c>
      <x:c r="N193" s="38" t="str">
        <x:v>none</x:v>
      </x:c>
      <x:c r="O193" s="38" t="str">
        <x:v>FROZEN / NO HIGH-CONFIDENCE CHANGE</x:v>
      </x:c>
      <x:c r="P193" s="38" t="str">
        <x:v>Tamil chicken cooked with a bold Chettinad spice blend, aromatics, and roasted seasonings.</x:v>
      </x:c>
      <x:c r="Q193" s="38" t="str">
        <x:v>Six-flavor V1 taxonomy frozen after this audit.</x:v>
      </x:c>
    </x:row>
    <x:row r="194" ht="56" customHeight="1">
      <x:c r="A194" s="38" t="n">
        <x:v>182</x:v>
      </x:c>
      <x:c r="B194" s="38" t="str">
        <x:v>mandi</x:v>
      </x:c>
      <x:c r="C194" s="38" t="str">
        <x:v>Mandi</x:v>
      </x:c>
      <x:c r="D194" s="38" t="str">
        <x:v>comforting</x:v>
      </x:c>
      <x:c r="E194" s="38" t="str">
        <x:v>NO ADD</x:v>
      </x:c>
      <x:c r="F194" s="38" t="str">
        <x:v>NO ADD — no high-confidence evidence strong enough to add this tag in the final V1 pass.</x:v>
      </x:c>
      <x:c r="G194" s="38" t="str">
        <x:v>NO ADD</x:v>
      </x:c>
      <x:c r="H194" s="38" t="str">
        <x:v>NO ADD — no high-confidence evidence strong enough to add this tag in the final V1 pass.</x:v>
      </x:c>
      <x:c r="I194" s="38" t="str">
        <x:v>NO ADD</x:v>
      </x:c>
      <x:c r="J194" s="38" t="str">
        <x:v>NO ADD — no high-confidence evidence strong enough to add this tag in the final V1 pass.</x:v>
      </x:c>
      <x:c r="K194" s="38" t="str">
        <x:v>NO ADD</x:v>
      </x:c>
      <x:c r="L194" s="38" t="str">
        <x:v>NO ADD — no high-confidence evidence strong enough to add this tag in the final V1 pass.</x:v>
      </x:c>
      <x:c r="M194" s="38" t="str">
        <x:v>comforting</x:v>
      </x:c>
      <x:c r="N194" s="38" t="str">
        <x:v>none</x:v>
      </x:c>
      <x:c r="O194" s="38" t="str">
        <x:v>FROZEN / NO HIGH-CONFIDENCE CHANGE</x:v>
      </x:c>
      <x:c r="P194" s="38" t="str">
        <x:v>Yemeni spiced rice topped with slow-cooked meat and a distinctive smoky aroma.</x:v>
      </x:c>
      <x:c r="Q194" s="38" t="str">
        <x:v>Six-flavor V1 taxonomy frozen after this audit.</x:v>
      </x:c>
    </x:row>
    <x:row r="195" ht="56" customHeight="1">
      <x:c r="A195" s="38" t="n">
        <x:v>183</x:v>
      </x:c>
      <x:c r="B195" s="38" t="str">
        <x:v>shish-barak</x:v>
      </x:c>
      <x:c r="C195" s="38" t="str">
        <x:v>Shish Barak</x:v>
      </x:c>
      <x:c r="D195" s="38" t="str">
        <x:v>rich | tangy</x:v>
      </x:c>
      <x:c r="E195" s="38" t="str">
        <x:v>NO ADD</x:v>
      </x:c>
      <x:c r="F195" s="38" t="str">
        <x:v>NO ADD — no high-confidence evidence strong enough to add this tag in the final V1 pass.</x:v>
      </x:c>
      <x:c r="G195" s="38" t="str">
        <x:v>NO ADD</x:v>
      </x:c>
      <x:c r="H195" s="38" t="str">
        <x:v>NO ADD — no high-confidence evidence strong enough to add this tag in the final V1 pass.</x:v>
      </x:c>
      <x:c r="I195" s="38" t="str">
        <x:v>NO ADD</x:v>
      </x:c>
      <x:c r="J195" s="38" t="str">
        <x:v>NO ADD — no high-confidence evidence strong enough to add this tag in the final V1 pass.</x:v>
      </x:c>
      <x:c r="K195" s="38" t="str">
        <x:v>KEEP</x:v>
      </x:c>
      <x:c r="L195" s="38" t="str">
        <x:v>KEEP — no high-confidence reason to remove the current tag in the final V1 pass.</x:v>
      </x:c>
      <x:c r="M195" s="38" t="str">
        <x:v>rich | tangy</x:v>
      </x:c>
      <x:c r="N195" s="38" t="str">
        <x:v>none</x:v>
      </x:c>
      <x:c r="O195" s="38" t="str">
        <x:v>FROZEN / NO HIGH-CONFIDENCE CHANGE</x:v>
      </x:c>
      <x:c r="P195" s="38" t="str">
        <x:v>Levantine meat dumplings simmered in a tangy yogurt sauce with garlic and herbs.</x:v>
      </x:c>
      <x:c r="Q195" s="38" t="str">
        <x:v>Six-flavor V1 taxonomy frozen after this audit.</x:v>
      </x:c>
    </x:row>
    <x:row r="196" ht="56" customHeight="1">
      <x:c r="A196" s="38" t="n">
        <x:v>184</x:v>
      </x:c>
      <x:c r="B196" s="38" t="str">
        <x:v>maftoul</x:v>
      </x:c>
      <x:c r="C196" s="38" t="str">
        <x:v>Maftoul</x:v>
      </x:c>
      <x:c r="D196" s="38" t="str">
        <x:v>comforting | fresh</x:v>
      </x:c>
      <x:c r="E196" s="38" t="str">
        <x:v>NO ADD</x:v>
      </x:c>
      <x:c r="F196" s="38" t="str">
        <x:v>NO ADD — no high-confidence evidence strong enough to add this tag in the final V1 pass.</x:v>
      </x:c>
      <x:c r="G196" s="38" t="str">
        <x:v>REMOVE</x:v>
      </x:c>
      <x:c r="H196" s="38" t="str">
        <x:v>REMOVE — the row centers steamed wheat grains with chickpeas, vegetables, chicken, or broth; fresh is not stable across variants.</x:v>
      </x:c>
      <x:c r="I196" s="38" t="str">
        <x:v>NO ADD</x:v>
      </x:c>
      <x:c r="J196" s="38" t="str">
        <x:v>NO ADD — no high-confidence evidence strong enough to add this tag in the final V1 pass.</x:v>
      </x:c>
      <x:c r="K196" s="38" t="str">
        <x:v>NO ADD</x:v>
      </x:c>
      <x:c r="L196" s="38" t="str">
        <x:v>NO ADD — no high-confidence evidence strong enough to add this tag in the final V1 pass.</x:v>
      </x:c>
      <x:c r="M196" s="38" t="str">
        <x:v>comforting</x:v>
      </x:c>
      <x:c r="N196" s="38" t="str">
        <x:v>remove fresh</x:v>
      </x:c>
      <x:c r="O196" s="38" t="str">
        <x:v>HIGH</x:v>
      </x:c>
      <x:c r="P196" s="38" t="str">
        <x:v>Palestinian hand-rolled wheat grains steamed and served with chickpeas, vegetables, and broth.</x:v>
      </x:c>
      <x:c r="Q196" s="38" t="str">
        <x:v>Six-flavor V1 taxonomy frozen after this audit.</x:v>
      </x:c>
    </x:row>
    <x:row r="197" ht="56" customHeight="1">
      <x:c r="A197" s="38" t="n">
        <x:v>185</x:v>
      </x:c>
      <x:c r="B197" s="38" t="str">
        <x:v>sambousek</x:v>
      </x:c>
      <x:c r="C197" s="38" t="str">
        <x:v>Sambousek</x:v>
      </x:c>
      <x:c r="D197" s="38" t="str">
        <x:v>crispy | rich</x:v>
      </x:c>
      <x:c r="E197" s="38" t="str">
        <x:v>NO ADD</x:v>
      </x:c>
      <x:c r="F197" s="38" t="str">
        <x:v>NO ADD — no high-confidence evidence strong enough to add this tag in the final V1 pass.</x:v>
      </x:c>
      <x:c r="G197" s="38" t="str">
        <x:v>NO ADD</x:v>
      </x:c>
      <x:c r="H197" s="38" t="str">
        <x:v>NO ADD — no high-confidence evidence strong enough to add this tag in the final V1 pass.</x:v>
      </x:c>
      <x:c r="I197" s="38" t="str">
        <x:v>REMOVE</x:v>
      </x:c>
      <x:c r="J197" s="38" t="str">
        <x:v>REMOVE — the row allows baked or fried preparation and only says golden; crispness is not reliable across variants.</x:v>
      </x:c>
      <x:c r="K197" s="38" t="str">
        <x:v>NO ADD</x:v>
      </x:c>
      <x:c r="L197" s="38" t="str">
        <x:v>NO ADD — no high-confidence evidence strong enough to add this tag in the final V1 pass.</x:v>
      </x:c>
      <x:c r="M197" s="38" t="str">
        <x:v>rich</x:v>
      </x:c>
      <x:c r="N197" s="38" t="str">
        <x:v>remove crispy</x:v>
      </x:c>
      <x:c r="O197" s="38" t="str">
        <x:v>HIGH</x:v>
      </x:c>
      <x:c r="P197" s="38" t="str">
        <x:v>Levantine savory pastry filled with meat, cheese, or vegetables and baked or fried.</x:v>
      </x:c>
      <x:c r="Q197" s="38" t="str">
        <x:v>Six-flavor V1 taxonomy frozen after this audit.</x:v>
      </x:c>
    </x:row>
    <x:row r="198" ht="56" customHeight="1">
      <x:c r="A198" s="38" t="n">
        <x:v>186</x:v>
      </x:c>
      <x:c r="B198" s="38" t="str">
        <x:v>pepper-soup</x:v>
      </x:c>
      <x:c r="C198" s="38" t="str">
        <x:v>Pepper Soup</x:v>
      </x:c>
      <x:c r="D198" s="38" t="str">
        <x:v>spicy | fresh</x:v>
      </x:c>
      <x:c r="E198" s="38" t="str">
        <x:v>KEEP</x:v>
      </x:c>
      <x:c r="F198" s="38" t="str">
        <x:v>KEEP — no high-confidence reason to remove the current tag in the final V1 pass.</x:v>
      </x:c>
      <x:c r="G198" s="38" t="str">
        <x:v>REMOVE</x:v>
      </x:c>
      <x:c r="H198" s="38" t="str">
        <x:v>REMOVE — the row centers a hot aromatic chile broth; fresh is not a defining trait.</x:v>
      </x:c>
      <x:c r="I198" s="38" t="str">
        <x:v>NO ADD</x:v>
      </x:c>
      <x:c r="J198" s="38" t="str">
        <x:v>NO ADD — no high-confidence evidence strong enough to add this tag in the final V1 pass.</x:v>
      </x:c>
      <x:c r="K198" s="38" t="str">
        <x:v>NO ADD</x:v>
      </x:c>
      <x:c r="L198" s="38" t="str">
        <x:v>NO ADD — no high-confidence evidence strong enough to add this tag in the final V1 pass.</x:v>
      </x:c>
      <x:c r="M198" s="38" t="str">
        <x:v>spicy</x:v>
      </x:c>
      <x:c r="N198" s="38" t="str">
        <x:v>remove fresh</x:v>
      </x:c>
      <x:c r="O198" s="38" t="str">
        <x:v>HIGH</x:v>
      </x:c>
      <x:c r="P198" s="38" t="str">
        <x:v>West African spicy broth with meat or fish and a fragrant blend of local spices.</x:v>
      </x:c>
      <x:c r="Q198" s="38" t="str">
        <x:v>Six-flavor V1 taxonomy frozen after this audit.</x:v>
      </x:c>
    </x:row>
    <x:row r="199" ht="56" customHeight="1">
      <x:c r="A199" s="38" t="n">
        <x:v>187</x:v>
      </x:c>
      <x:c r="B199" s="38" t="str">
        <x:v>kitfo</x:v>
      </x:c>
      <x:c r="C199" s="38" t="str">
        <x:v>Kitfo</x:v>
      </x:c>
      <x:c r="D199" s="38" t="str">
        <x:v>rich | spicy</x:v>
      </x:c>
      <x:c r="E199" s="38" t="str">
        <x:v>KEEP</x:v>
      </x:c>
      <x:c r="F199" s="38" t="str">
        <x:v>KEEP — no high-confidence reason to remove the current tag in the final V1 pass.</x:v>
      </x:c>
      <x:c r="G199" s="38" t="str">
        <x:v>NO ADD</x:v>
      </x:c>
      <x:c r="H199" s="38" t="str">
        <x:v>NO ADD — no high-confidence evidence strong enough to add this tag in the final V1 pass.</x:v>
      </x:c>
      <x:c r="I199" s="38" t="str">
        <x:v>NO ADD</x:v>
      </x:c>
      <x:c r="J199" s="38" t="str">
        <x:v>NO ADD — no high-confidence evidence strong enough to add this tag in the final V1 pass.</x:v>
      </x:c>
      <x:c r="K199" s="38" t="str">
        <x:v>NO ADD</x:v>
      </x:c>
      <x:c r="L199" s="38" t="str">
        <x:v>NO ADD — no high-confidence evidence strong enough to add this tag in the final V1 pass.</x:v>
      </x:c>
      <x:c r="M199" s="38" t="str">
        <x:v>rich | spicy</x:v>
      </x:c>
      <x:c r="N199" s="38" t="str">
        <x:v>none</x:v>
      </x:c>
      <x:c r="O199" s="38" t="str">
        <x:v>FROZEN / NO HIGH-CONFIDENCE CHANGE</x:v>
      </x:c>
      <x:c r="P199" s="38" t="str">
        <x:v>Ethiopian finely minced beef seasoned with spiced clarified butter and mitmita.</x:v>
      </x:c>
      <x:c r="Q199" s="38" t="str">
        <x:v>Six-flavor V1 taxonomy frozen after this audit.</x:v>
      </x:c>
    </x:row>
    <x:row r="200" ht="56" customHeight="1">
      <x:c r="A200" s="38" t="n">
        <x:v>188</x:v>
      </x:c>
      <x:c r="B200" s="38" t="str">
        <x:v>tagliatelle-al-ragu</x:v>
      </x:c>
      <x:c r="C200" s="38" t="str">
        <x:v>Tagliatelle al Ragù</x:v>
      </x:c>
      <x:c r="D200" s="38" t="str">
        <x:v>rich | comforting</x:v>
      </x:c>
      <x:c r="E200" s="38" t="str">
        <x:v>NO ADD</x:v>
      </x:c>
      <x:c r="F200" s="38" t="str">
        <x:v>NO ADD — no high-confidence evidence strong enough to add this tag in the final V1 pass.</x:v>
      </x:c>
      <x:c r="G200" s="38" t="str">
        <x:v>NO ADD</x:v>
      </x:c>
      <x:c r="H200" s="38" t="str">
        <x:v>NO ADD — no high-confidence evidence strong enough to add this tag in the final V1 pass.</x:v>
      </x:c>
      <x:c r="I200" s="38" t="str">
        <x:v>NO ADD</x:v>
      </x:c>
      <x:c r="J200" s="38" t="str">
        <x:v>NO ADD — no high-confidence evidence strong enough to add this tag in the final V1 pass.</x:v>
      </x:c>
      <x:c r="K200" s="38" t="str">
        <x:v>NO ADD</x:v>
      </x:c>
      <x:c r="L200" s="38" t="str">
        <x:v>NO ADD — no high-confidence evidence strong enough to add this tag in the final V1 pass.</x:v>
      </x:c>
      <x:c r="M200" s="38" t="str">
        <x:v>rich | comforting</x:v>
      </x:c>
      <x:c r="N200" s="38" t="str">
        <x:v>none</x:v>
      </x:c>
      <x:c r="O200" s="38" t="str">
        <x:v>FROZEN / NO HIGH-CONFIDENCE CHANGE</x:v>
      </x:c>
      <x:c r="P200" s="38" t="str">
        <x:v>Emilian ribbon pasta coated in a slow-cooked meat-and-tomato ragù.</x:v>
      </x:c>
      <x:c r="Q200" s="38" t="str">
        <x:v>Six-flavor V1 taxonomy frozen after this audit.</x:v>
      </x:c>
    </x:row>
    <x:row r="201" ht="56" customHeight="1">
      <x:c r="A201" s="38" t="n">
        <x:v>189</x:v>
      </x:c>
      <x:c r="B201" s="38" t="str">
        <x:v>minestrone</x:v>
      </x:c>
      <x:c r="C201" s="38" t="str">
        <x:v>Minestrone</x:v>
      </x:c>
      <x:c r="D201" s="38" t="str">
        <x:v>fresh | comforting</x:v>
      </x:c>
      <x:c r="E201" s="38" t="str">
        <x:v>NO ADD</x:v>
      </x:c>
      <x:c r="F201" s="38" t="str">
        <x:v>NO ADD — no high-confidence evidence strong enough to add this tag in the final V1 pass.</x:v>
      </x:c>
      <x:c r="G201" s="38" t="str">
        <x:v>KEEP</x:v>
      </x:c>
      <x:c r="H201" s="38" t="str">
        <x:v>KEEP — no high-confidence reason to remove the current tag in the final V1 pass.</x:v>
      </x:c>
      <x:c r="I201" s="38" t="str">
        <x:v>NO ADD</x:v>
      </x:c>
      <x:c r="J201" s="38" t="str">
        <x:v>NO ADD — no high-confidence evidence strong enough to add this tag in the final V1 pass.</x:v>
      </x:c>
      <x:c r="K201" s="38" t="str">
        <x:v>NO ADD</x:v>
      </x:c>
      <x:c r="L201" s="38" t="str">
        <x:v>NO ADD — no high-confidence evidence strong enough to add this tag in the final V1 pass.</x:v>
      </x:c>
      <x:c r="M201" s="38" t="str">
        <x:v>fresh | comforting</x:v>
      </x:c>
      <x:c r="N201" s="38" t="str">
        <x:v>none</x:v>
      </x:c>
      <x:c r="O201" s="38" t="str">
        <x:v>FROZEN / NO HIGH-CONFIDENCE CHANGE</x:v>
      </x:c>
      <x:c r="P201" s="38" t="str">
        <x:v>Italian vegetable soup with beans, seasonal produce, and optional pasta or rice.</x:v>
      </x:c>
      <x:c r="Q201" s="38" t="str">
        <x:v>Six-flavor V1 taxonomy frozen after this audit.</x:v>
      </x:c>
    </x:row>
    <x:row r="202" ht="56" customHeight="1">
      <x:c r="A202" s="38" t="n">
        <x:v>190</x:v>
      </x:c>
      <x:c r="B202" s="38" t="str">
        <x:v>shepherds-pie</x:v>
      </x:c>
      <x:c r="C202" s="38" t="str">
        <x:v>Shepherd's Pie</x:v>
      </x:c>
      <x:c r="D202" s="38" t="str">
        <x:v>rich | comforting</x:v>
      </x:c>
      <x:c r="E202" s="38" t="str">
        <x:v>NO ADD</x:v>
      </x:c>
      <x:c r="F202" s="38" t="str">
        <x:v>NO ADD — no high-confidence evidence strong enough to add this tag in the final V1 pass.</x:v>
      </x:c>
      <x:c r="G202" s="38" t="str">
        <x:v>NO ADD</x:v>
      </x:c>
      <x:c r="H202" s="38" t="str">
        <x:v>NO ADD — no high-confidence evidence strong enough to add this tag in the final V1 pass.</x:v>
      </x:c>
      <x:c r="I202" s="38" t="str">
        <x:v>NO ADD</x:v>
      </x:c>
      <x:c r="J202" s="38" t="str">
        <x:v>NO ADD — no high-confidence evidence strong enough to add this tag in the final V1 pass.</x:v>
      </x:c>
      <x:c r="K202" s="38" t="str">
        <x:v>NO ADD</x:v>
      </x:c>
      <x:c r="L202" s="38" t="str">
        <x:v>NO ADD — no high-confidence evidence strong enough to add this tag in the final V1 pass.</x:v>
      </x:c>
      <x:c r="M202" s="38" t="str">
        <x:v>rich | comforting</x:v>
      </x:c>
      <x:c r="N202" s="38" t="str">
        <x:v>none</x:v>
      </x:c>
      <x:c r="O202" s="38" t="str">
        <x:v>FROZEN / NO HIGH-CONFIDENCE CHANGE</x:v>
      </x:c>
      <x:c r="P202" s="38" t="str">
        <x:v>British baked meat-and-vegetable filling topped with a browned layer of mashed potato.</x:v>
      </x:c>
      <x:c r="Q202" s="38" t="str">
        <x:v>Six-flavor V1 taxonomy frozen after this audit.</x:v>
      </x:c>
    </x:row>
    <x:row r="203" ht="56" customHeight="1">
      <x:c r="A203" s="38" t="n">
        <x:v>191</x:v>
      </x:c>
      <x:c r="B203" s="38" t="str">
        <x:v>arroz-con-coco</x:v>
      </x:c>
      <x:c r="C203" s="38" t="str">
        <x:v>Arroz con Coco</x:v>
      </x:c>
      <x:c r="D203" s="38" t="str">
        <x:v>rich</x:v>
      </x:c>
      <x:c r="E203" s="38" t="str">
        <x:v>NO ADD</x:v>
      </x:c>
      <x:c r="F203" s="38" t="str">
        <x:v>NO ADD — no high-confidence evidence strong enough to add this tag in the final V1 pass.</x:v>
      </x:c>
      <x:c r="G203" s="38" t="str">
        <x:v>NO ADD</x:v>
      </x:c>
      <x:c r="H203" s="38" t="str">
        <x:v>NO ADD — no high-confidence evidence strong enough to add this tag in the final V1 pass.</x:v>
      </x:c>
      <x:c r="I203" s="38" t="str">
        <x:v>NO ADD</x:v>
      </x:c>
      <x:c r="J203" s="38" t="str">
        <x:v>NO ADD — no high-confidence evidence strong enough to add this tag in the final V1 pass.</x:v>
      </x:c>
      <x:c r="K203" s="38" t="str">
        <x:v>NO ADD</x:v>
      </x:c>
      <x:c r="L203" s="38" t="str">
        <x:v>NO ADD — no high-confidence evidence strong enough to add this tag in the final V1 pass.</x:v>
      </x:c>
      <x:c r="M203" s="38" t="str">
        <x:v>rich</x:v>
      </x:c>
      <x:c r="N203" s="38" t="str">
        <x:v>none</x:v>
      </x:c>
      <x:c r="O203" s="38" t="str">
        <x:v>FROZEN / NO HIGH-CONFIDENCE CHANGE</x:v>
      </x:c>
      <x:c r="P203" s="38" t="str">
        <x:v>Colombian Caribbean coconut rice with a fragrant, lightly sweet-savory profile.</x:v>
      </x:c>
      <x:c r="Q203" s="38" t="str">
        <x:v>Six-flavor V1 taxonomy frozen after this audit.</x:v>
      </x:c>
    </x:row>
    <x:row r="204" ht="56" customHeight="1">
      <x:c r="A204" s="38" t="n">
        <x:v>192</x:v>
      </x:c>
      <x:c r="B204" s="38" t="str">
        <x:v>pozole</x:v>
      </x:c>
      <x:c r="C204" s="38" t="str">
        <x:v>Pozole</x:v>
      </x:c>
      <x:c r="D204" s="38" t="str">
        <x:v>fresh | spicy</x:v>
      </x:c>
      <x:c r="E204" s="38" t="str">
        <x:v>REMOVE</x:v>
      </x:c>
      <x:c r="F204" s="38" t="str">
        <x:v>REMOVE — the row itself notes that spiciness depends on regional style and garnishes, so the tag is not reliable enough for V1.</x:v>
      </x:c>
      <x:c r="G204" s="38" t="str">
        <x:v>KEEP</x:v>
      </x:c>
      <x:c r="H204" s="38" t="str">
        <x:v>KEEP — no high-confidence reason to remove the current tag in the final V1 pass.</x:v>
      </x:c>
      <x:c r="I204" s="38" t="str">
        <x:v>NO ADD</x:v>
      </x:c>
      <x:c r="J204" s="38" t="str">
        <x:v>NO ADD — no high-confidence evidence strong enough to add this tag in the final V1 pass.</x:v>
      </x:c>
      <x:c r="K204" s="38" t="str">
        <x:v>NO ADD</x:v>
      </x:c>
      <x:c r="L204" s="38" t="str">
        <x:v>NO ADD — no high-confidence evidence strong enough to add this tag in the final V1 pass.</x:v>
      </x:c>
      <x:c r="M204" s="38" t="str">
        <x:v>fresh</x:v>
      </x:c>
      <x:c r="N204" s="38" t="str">
        <x:v>remove spicy</x:v>
      </x:c>
      <x:c r="O204" s="38" t="str">
        <x:v>HIGH</x:v>
      </x:c>
      <x:c r="P204" s="38" t="str">
        <x:v>Mexican hominy stew with pork or chicken and a tableful of crisp, fresh garnishes.</x:v>
      </x:c>
      <x:c r="Q204" s="38" t="str">
        <x:v>Six-flavor V1 taxonomy frozen after this audit.</x:v>
      </x:c>
    </x:row>
    <x:row r="205" ht="56" customHeight="1">
      <x:c r="A205" s="38" t="n">
        <x:v>193</x:v>
      </x:c>
      <x:c r="B205" s="38" t="str">
        <x:v>locro</x:v>
      </x:c>
      <x:c r="C205" s="38" t="str">
        <x:v>Locro</x:v>
      </x:c>
      <x:c r="D205" s="38" t="str">
        <x:v>rich | comforting</x:v>
      </x:c>
      <x:c r="E205" s="38" t="str">
        <x:v>NO ADD</x:v>
      </x:c>
      <x:c r="F205" s="38" t="str">
        <x:v>NO ADD — no high-confidence evidence strong enough to add this tag in the final V1 pass.</x:v>
      </x:c>
      <x:c r="G205" s="38" t="str">
        <x:v>NO ADD</x:v>
      </x:c>
      <x:c r="H205" s="38" t="str">
        <x:v>NO ADD — no high-confidence evidence strong enough to add this tag in the final V1 pass.</x:v>
      </x:c>
      <x:c r="I205" s="38" t="str">
        <x:v>NO ADD</x:v>
      </x:c>
      <x:c r="J205" s="38" t="str">
        <x:v>NO ADD — no high-confidence evidence strong enough to add this tag in the final V1 pass.</x:v>
      </x:c>
      <x:c r="K205" s="38" t="str">
        <x:v>NO ADD</x:v>
      </x:c>
      <x:c r="L205" s="38" t="str">
        <x:v>NO ADD — no high-confidence evidence strong enough to add this tag in the final V1 pass.</x:v>
      </x:c>
      <x:c r="M205" s="38" t="str">
        <x:v>rich | comforting</x:v>
      </x:c>
      <x:c r="N205" s="38" t="str">
        <x:v>none</x:v>
      </x:c>
      <x:c r="O205" s="38" t="str">
        <x:v>FROZEN / NO HIGH-CONFIDENCE CHANGE</x:v>
      </x:c>
      <x:c r="P205" s="38" t="str">
        <x:v>Andean thick stew of corn, beans, squash, potatoes, and regional meats or cheese.</x:v>
      </x:c>
      <x:c r="Q205" s="38" t="str">
        <x:v>Six-flavor V1 taxonomy frozen after this audit.</x:v>
      </x:c>
    </x:row>
    <x:row r="206" ht="56" customHeight="1">
      <x:c r="A206" s="38" t="n">
        <x:v>194</x:v>
      </x:c>
      <x:c r="B206" s="38" t="str">
        <x:v>mofongo</x:v>
      </x:c>
      <x:c r="C206" s="38" t="str">
        <x:v>Mofongo</x:v>
      </x:c>
      <x:c r="D206" s="38" t="str">
        <x:v>rich | comforting</x:v>
      </x:c>
      <x:c r="E206" s="38" t="str">
        <x:v>NO ADD</x:v>
      </x:c>
      <x:c r="F206" s="38" t="str">
        <x:v>NO ADD — no high-confidence evidence strong enough to add this tag in the final V1 pass.</x:v>
      </x:c>
      <x:c r="G206" s="38" t="str">
        <x:v>NO ADD</x:v>
      </x:c>
      <x:c r="H206" s="38" t="str">
        <x:v>NO ADD — no high-confidence evidence strong enough to add this tag in the final V1 pass.</x:v>
      </x:c>
      <x:c r="I206" s="38" t="str">
        <x:v>NO ADD</x:v>
      </x:c>
      <x:c r="J206" s="38" t="str">
        <x:v>NO ADD — no high-confidence evidence strong enough to add this tag in the final V1 pass.</x:v>
      </x:c>
      <x:c r="K206" s="38" t="str">
        <x:v>NO ADD</x:v>
      </x:c>
      <x:c r="L206" s="38" t="str">
        <x:v>NO ADD — no high-confidence evidence strong enough to add this tag in the final V1 pass.</x:v>
      </x:c>
      <x:c r="M206" s="38" t="str">
        <x:v>rich | comforting</x:v>
      </x:c>
      <x:c r="N206" s="38" t="str">
        <x:v>none</x:v>
      </x:c>
      <x:c r="O206" s="38" t="str">
        <x:v>FROZEN / NO HIGH-CONFIDENCE CHANGE</x:v>
      </x:c>
      <x:c r="P206" s="38" t="str">
        <x:v>Puerto Rican mashed fried plantain seasoned with garlic and filled or topped with savory proteins.</x:v>
      </x:c>
      <x:c r="Q206" s="38" t="str">
        <x:v>Six-flavor V1 taxonomy frozen after this audit.</x:v>
      </x:c>
    </x:row>
    <x:row r="207" ht="56" customHeight="1">
      <x:c r="A207" s="38" t="n">
        <x:v>195</x:v>
      </x:c>
      <x:c r="B207" s="38" t="str">
        <x:v>red-beans-and-rice</x:v>
      </x:c>
      <x:c r="C207" s="38" t="str">
        <x:v>Red Beans and Rice</x:v>
      </x:c>
      <x:c r="D207" s="38" t="str">
        <x:v>comforting | rich</x:v>
      </x:c>
      <x:c r="E207" s="38" t="str">
        <x:v>NO ADD</x:v>
      </x:c>
      <x:c r="F207" s="38" t="str">
        <x:v>NO ADD — no high-confidence evidence strong enough to add this tag in the final V1 pass.</x:v>
      </x:c>
      <x:c r="G207" s="38" t="str">
        <x:v>NO ADD</x:v>
      </x:c>
      <x:c r="H207" s="38" t="str">
        <x:v>NO ADD — no high-confidence evidence strong enough to add this tag in the final V1 pass.</x:v>
      </x:c>
      <x:c r="I207" s="38" t="str">
        <x:v>NO ADD</x:v>
      </x:c>
      <x:c r="J207" s="38" t="str">
        <x:v>NO ADD — no high-confidence evidence strong enough to add this tag in the final V1 pass.</x:v>
      </x:c>
      <x:c r="K207" s="38" t="str">
        <x:v>NO ADD</x:v>
      </x:c>
      <x:c r="L207" s="38" t="str">
        <x:v>NO ADD — no high-confidence evidence strong enough to add this tag in the final V1 pass.</x:v>
      </x:c>
      <x:c r="M207" s="38" t="str">
        <x:v>comforting | rich</x:v>
      </x:c>
      <x:c r="N207" s="38" t="str">
        <x:v>none</x:v>
      </x:c>
      <x:c r="O207" s="38" t="str">
        <x:v>FROZEN / NO HIGH-CONFIDENCE CHANGE</x:v>
      </x:c>
      <x:c r="P207" s="38" t="str">
        <x:v>Louisiana red beans slow-cooked with aromatics and sausage, served over rice.</x:v>
      </x:c>
      <x:c r="Q207" s="38" t="str">
        <x:v>Six-flavor V1 taxonomy frozen after this audit.</x:v>
      </x:c>
    </x:row>
    <x:row r="208" ht="56" customHeight="1">
      <x:c r="A208" s="38" t="n">
        <x:v>196</x:v>
      </x:c>
      <x:c r="B208" s="38" t="str">
        <x:v>crawfish-etouffee</x:v>
      </x:c>
      <x:c r="C208" s="38" t="str">
        <x:v>Crawfish Étouffée</x:v>
      </x:c>
      <x:c r="D208" s="38" t="str">
        <x:v>rich | comforting</x:v>
      </x:c>
      <x:c r="E208" s="38" t="str">
        <x:v>NO ADD</x:v>
      </x:c>
      <x:c r="F208" s="38" t="str">
        <x:v>NO ADD — no high-confidence evidence strong enough to add this tag in the final V1 pass.</x:v>
      </x:c>
      <x:c r="G208" s="38" t="str">
        <x:v>NO ADD</x:v>
      </x:c>
      <x:c r="H208" s="38" t="str">
        <x:v>NO ADD — no high-confidence evidence strong enough to add this tag in the final V1 pass.</x:v>
      </x:c>
      <x:c r="I208" s="38" t="str">
        <x:v>NO ADD</x:v>
      </x:c>
      <x:c r="J208" s="38" t="str">
        <x:v>NO ADD — no high-confidence evidence strong enough to add this tag in the final V1 pass.</x:v>
      </x:c>
      <x:c r="K208" s="38" t="str">
        <x:v>NO ADD</x:v>
      </x:c>
      <x:c r="L208" s="38" t="str">
        <x:v>NO ADD — no high-confidence evidence strong enough to add this tag in the final V1 pass.</x:v>
      </x:c>
      <x:c r="M208" s="38" t="str">
        <x:v>rich | comforting</x:v>
      </x:c>
      <x:c r="N208" s="38" t="str">
        <x:v>none</x:v>
      </x:c>
      <x:c r="O208" s="38" t="str">
        <x:v>FROZEN / NO HIGH-CONFIDENCE CHANGE</x:v>
      </x:c>
      <x:c r="P208" s="38" t="str">
        <x:v>Louisiana crawfish in a thick, seasoned sauce served generously over rice.</x:v>
      </x:c>
      <x:c r="Q208" s="38" t="str">
        <x:v>Six-flavor V1 taxonomy frozen after this audit.</x:v>
      </x:c>
    </x:row>
    <x:row r="209" ht="56" customHeight="1">
      <x:c r="A209" s="38" t="n">
        <x:v>197</x:v>
      </x:c>
      <x:c r="B209" s="38" t="str">
        <x:v>saimin</x:v>
      </x:c>
      <x:c r="C209" s="38" t="str">
        <x:v>Saimin</x:v>
      </x:c>
      <x:c r="D209" s="38" t="str">
        <x:v>comforting | fresh</x:v>
      </x:c>
      <x:c r="E209" s="38" t="str">
        <x:v>NO ADD</x:v>
      </x:c>
      <x:c r="F209" s="38" t="str">
        <x:v>NO ADD — no high-confidence evidence strong enough to add this tag in the final V1 pass.</x:v>
      </x:c>
      <x:c r="G209" s="38" t="str">
        <x:v>KEEP</x:v>
      </x:c>
      <x:c r="H209" s="38" t="str">
        <x:v>KEEP — no high-confidence reason to remove the current tag in the final V1 pass.</x:v>
      </x:c>
      <x:c r="I209" s="38" t="str">
        <x:v>NO ADD</x:v>
      </x:c>
      <x:c r="J209" s="38" t="str">
        <x:v>NO ADD — no high-confidence evidence strong enough to add this tag in the final V1 pass.</x:v>
      </x:c>
      <x:c r="K209" s="38" t="str">
        <x:v>NO ADD</x:v>
      </x:c>
      <x:c r="L209" s="38" t="str">
        <x:v>NO ADD — no high-confidence evidence strong enough to add this tag in the final V1 pass.</x:v>
      </x:c>
      <x:c r="M209" s="38" t="str">
        <x:v>comforting | fresh</x:v>
      </x:c>
      <x:c r="N209" s="38" t="str">
        <x:v>none</x:v>
      </x:c>
      <x:c r="O209" s="38" t="str">
        <x:v>FROZEN / NO HIGH-CONFIDENCE CHANGE</x:v>
      </x:c>
      <x:c r="P209" s="38" t="str">
        <x:v>Hawaii noodle soup with wheat-and-egg noodles, clear broth, and local toppings.</x:v>
      </x:c>
      <x:c r="Q209" s="38" t="str">
        <x:v>Six-flavor V1 taxonomy frozen after this audit.</x:v>
      </x:c>
    </x:row>
    <x:row r="210" ht="56" customHeight="1">
      <x:c r="A210" s="38" t="n">
        <x:v>198</x:v>
      </x:c>
      <x:c r="B210" s="38" t="str">
        <x:v>cincinnati-chili</x:v>
      </x:c>
      <x:c r="C210" s="38" t="str">
        <x:v>Cincinnati Chili</x:v>
      </x:c>
      <x:c r="D210" s="38" t="str">
        <x:v>rich | comforting</x:v>
      </x:c>
      <x:c r="E210" s="38" t="str">
        <x:v>NO ADD</x:v>
      </x:c>
      <x:c r="F210" s="38" t="str">
        <x:v>NO ADD — no high-confidence evidence strong enough to add this tag in the final V1 pass.</x:v>
      </x:c>
      <x:c r="G210" s="38" t="str">
        <x:v>NO ADD</x:v>
      </x:c>
      <x:c r="H210" s="38" t="str">
        <x:v>NO ADD — no high-confidence evidence strong enough to add this tag in the final V1 pass.</x:v>
      </x:c>
      <x:c r="I210" s="38" t="str">
        <x:v>NO ADD</x:v>
      </x:c>
      <x:c r="J210" s="38" t="str">
        <x:v>NO ADD — no high-confidence evidence strong enough to add this tag in the final V1 pass.</x:v>
      </x:c>
      <x:c r="K210" s="38" t="str">
        <x:v>NO ADD</x:v>
      </x:c>
      <x:c r="L210" s="38" t="str">
        <x:v>NO ADD — no high-confidence evidence strong enough to add this tag in the final V1 pass.</x:v>
      </x:c>
      <x:c r="M210" s="38" t="str">
        <x:v>rich | comforting</x:v>
      </x:c>
      <x:c r="N210" s="38" t="str">
        <x:v>none</x:v>
      </x:c>
      <x:c r="O210" s="38" t="str">
        <x:v>FROZEN / NO HIGH-CONFIDENCE CHANGE</x:v>
      </x:c>
      <x:c r="P210" s="38" t="str">
        <x:v>Cincinnati spiced meat sauce served over spaghetti with cheese and optional beans or onions.</x:v>
      </x:c>
      <x:c r="Q210" s="38" t="str">
        <x:v>Six-flavor V1 taxonomy frozen after this audit.</x:v>
      </x:c>
    </x:row>
    <x:row r="211" ht="56" customHeight="1">
      <x:c r="A211" s="38" t="n">
        <x:v>199</x:v>
      </x:c>
      <x:c r="B211" s="38" t="str">
        <x:v>canadian-split-pea-soup</x:v>
      </x:c>
      <x:c r="C211" s="38" t="str">
        <x:v>Canadian Split Pea Soup</x:v>
      </x:c>
      <x:c r="D211" s="38" t="str">
        <x:v>comforting</x:v>
      </x:c>
      <x:c r="E211" s="38" t="str">
        <x:v>NO ADD</x:v>
      </x:c>
      <x:c r="F211" s="38" t="str">
        <x:v>NO ADD — no high-confidence evidence strong enough to add this tag in the final V1 pass.</x:v>
      </x:c>
      <x:c r="G211" s="38" t="str">
        <x:v>NO ADD</x:v>
      </x:c>
      <x:c r="H211" s="38" t="str">
        <x:v>NO ADD — no high-confidence evidence strong enough to add this tag in the final V1 pass.</x:v>
      </x:c>
      <x:c r="I211" s="38" t="str">
        <x:v>NO ADD</x:v>
      </x:c>
      <x:c r="J211" s="38" t="str">
        <x:v>NO ADD — no high-confidence evidence strong enough to add this tag in the final V1 pass.</x:v>
      </x:c>
      <x:c r="K211" s="38" t="str">
        <x:v>NO ADD</x:v>
      </x:c>
      <x:c r="L211" s="38" t="str">
        <x:v>NO ADD — no high-confidence evidence strong enough to add this tag in the final V1 pass.</x:v>
      </x:c>
      <x:c r="M211" s="38" t="str">
        <x:v>comforting</x:v>
      </x:c>
      <x:c r="N211" s="38" t="str">
        <x:v>none</x:v>
      </x:c>
      <x:c r="O211" s="38" t="str">
        <x:v>FROZEN / NO HIGH-CONFIDENCE CHANGE</x:v>
      </x:c>
      <x:c r="P211" s="38" t="str">
        <x:v>Québécois split-pea soup slow-cooked with vegetables, herbs, and often salted pork or ham.</x:v>
      </x:c>
      <x:c r="Q211" s="38" t="str">
        <x:v>Six-flavor V1 taxonomy frozen after this audit.</x:v>
      </x:c>
    </x:row>
    <x:row r="212" ht="56" customHeight="1">
      <x:c r="A212" s="38" t="n">
        <x:v>200</x:v>
      </x:c>
      <x:c r="B212" s="38" t="str">
        <x:v>matzo-ball-soup</x:v>
      </x:c>
      <x:c r="C212" s="38" t="str">
        <x:v>Matzo Ball Soup</x:v>
      </x:c>
      <x:c r="D212" s="38" t="str">
        <x:v>comforting | fresh</x:v>
      </x:c>
      <x:c r="E212" s="38" t="str">
        <x:v>NO ADD</x:v>
      </x:c>
      <x:c r="F212" s="38" t="str">
        <x:v>NO ADD — no high-confidence evidence strong enough to add this tag in the final V1 pass.</x:v>
      </x:c>
      <x:c r="G212" s="38" t="str">
        <x:v>REMOVE</x:v>
      </x:c>
      <x:c r="H212" s="38" t="str">
        <x:v>REMOVE — the row centers chicken broth and matzo dumplings; fresh is not a defining trait.</x:v>
      </x:c>
      <x:c r="I212" s="38" t="str">
        <x:v>NO ADD</x:v>
      </x:c>
      <x:c r="J212" s="38" t="str">
        <x:v>NO ADD — no high-confidence evidence strong enough to add this tag in the final V1 pass.</x:v>
      </x:c>
      <x:c r="K212" s="38" t="str">
        <x:v>NO ADD</x:v>
      </x:c>
      <x:c r="L212" s="38" t="str">
        <x:v>NO ADD — no high-confidence evidence strong enough to add this tag in the final V1 pass.</x:v>
      </x:c>
      <x:c r="M212" s="38" t="str">
        <x:v>comforting</x:v>
      </x:c>
      <x:c r="N212" s="38" t="str">
        <x:v>remove fresh</x:v>
      </x:c>
      <x:c r="O212" s="38" t="str">
        <x:v>HIGH</x:v>
      </x:c>
      <x:c r="P212" s="38" t="str">
        <x:v>Jewish-American chicken soup served with tender dumplings made from matzo meal.</x:v>
      </x:c>
      <x:c r="Q212" s="38" t="str">
        <x:v>Six-flavor V1 taxonomy frozen after this audit.</x:v>
      </x:c>
    </x:row>
    <x:row r="213" ht="56" customHeight="1">
      <x:c r="A213" s="38" t="n">
        <x:v>201</x:v>
      </x:c>
      <x:c r="B213" s="38" t="str">
        <x:v>fresh-lumpia</x:v>
      </x:c>
      <x:c r="C213" s="38" t="str">
        <x:v>Fresh Lumpia</x:v>
      </x:c>
      <x:c r="D213" s="38" t="str">
        <x:v>fresh</x:v>
      </x:c>
      <x:c r="E213" s="38" t="str">
        <x:v>NO ADD</x:v>
      </x:c>
      <x:c r="F213" s="38" t="str">
        <x:v>NO ADD — no high-confidence evidence strong enough to add this tag in the final V1 pass.</x:v>
      </x:c>
      <x:c r="G213" s="38" t="str">
        <x:v>KEEP</x:v>
      </x:c>
      <x:c r="H213" s="38" t="str">
        <x:v>KEEP — no high-confidence reason to remove the current tag in the final V1 pass.</x:v>
      </x:c>
      <x:c r="I213" s="38" t="str">
        <x:v>NO ADD</x:v>
      </x:c>
      <x:c r="J213" s="38" t="str">
        <x:v>NO ADD — no high-confidence evidence strong enough to add this tag in the final V1 pass.</x:v>
      </x:c>
      <x:c r="K213" s="38" t="str">
        <x:v>NO ADD</x:v>
      </x:c>
      <x:c r="L213" s="38" t="str">
        <x:v>NO ADD — no high-confidence evidence strong enough to add this tag in the final V1 pass.</x:v>
      </x:c>
      <x:c r="M213" s="38" t="str">
        <x:v>fresh</x:v>
      </x:c>
      <x:c r="N213" s="38" t="str">
        <x:v>none</x:v>
      </x:c>
      <x:c r="O213" s="38" t="str">
        <x:v>FROZEN / NO HIGH-CONFIDENCE CHANGE</x:v>
      </x:c>
      <x:c r="P213" s="38" t="str">
        <x:v>Filipino fresh spring rolls with soft wrappers and vegetable-forward savory fillings.</x:v>
      </x:c>
      <x:c r="Q213" s="38" t="str">
        <x:v>Six-flavor V1 taxonomy frozen after this audit.</x:v>
      </x:c>
    </x:row>
  </x:sheetData>
  <x:mergeCells>
    <x:mergeCell ref="A1:Q1"/>
    <x:mergeCell ref="A2:Q2"/>
  </x:mergeCells>
  <x:conditionalFormatting sqref="E13:E213">
    <x:cfRule type="expression" dxfId="42" priority="1">
      <x:formula>E13="ADD"</x:formula>
    </x:cfRule>
    <x:cfRule type="expression" dxfId="43" priority="2">
      <x:formula>E13="REMOVE"</x:formula>
    </x:cfRule>
    <x:cfRule type="expression" dxfId="44" priority="3">
      <x:formula>E13="KEEP"</x:formula>
    </x:cfRule>
  </x:conditionalFormatting>
  <x:conditionalFormatting sqref="G13:G213">
    <x:cfRule type="expression" dxfId="45" priority="4">
      <x:formula>G13="ADD"</x:formula>
    </x:cfRule>
    <x:cfRule type="expression" dxfId="46" priority="5">
      <x:formula>G13="REMOVE"</x:formula>
    </x:cfRule>
    <x:cfRule type="expression" dxfId="47" priority="6">
      <x:formula>G13="KEEP"</x:formula>
    </x:cfRule>
  </x:conditionalFormatting>
  <x:conditionalFormatting sqref="I13:I213">
    <x:cfRule type="expression" dxfId="48" priority="7">
      <x:formula>I13="ADD"</x:formula>
    </x:cfRule>
    <x:cfRule type="expression" dxfId="49" priority="8">
      <x:formula>I13="REMOVE"</x:formula>
    </x:cfRule>
    <x:cfRule type="expression" dxfId="50" priority="9">
      <x:formula>I13="KEEP"</x:formula>
    </x:cfRule>
  </x:conditionalFormatting>
  <x:conditionalFormatting sqref="K13:K213">
    <x:cfRule type="expression" dxfId="51" priority="10">
      <x:formula>K13="ADD"</x:formula>
    </x:cfRule>
    <x:cfRule type="expression" dxfId="52" priority="11">
      <x:formula>K13="REMOVE"</x:formula>
    </x:cfRule>
    <x:cfRule type="expression" dxfId="53" priority="12">
      <x:formula>K13="KEEP"</x:formula>
    </x:cfRule>
  </x:conditionalFormatting>
  <x:conditionalFormatting sqref="O13:O213">
    <x:cfRule type="expression" dxfId="54" priority="13">
      <x:formula>O13="HIGH"</x:formula>
    </x:cfRule>
  </x:conditionalFormatting>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58" hidden="0" customWidth="1"/>
    <x:col min="4" max="4" width="62" hidden="0" customWidth="1"/>
    <x:col min="5" max="5" width="16" hidden="0" customWidth="1"/>
  </x:cols>
  <x:sheetData>
    <x:row r="1" ht="28" customHeight="1">
      <x:c r="A1" s="157" t="str">
        <x:v>Nom V1 — Frozen Six-Flavor Taxonomy</x:v>
      </x:c>
      <x:c r="B1" s="157"/>
      <x:c r="C1" s="157"/>
      <x:c r="D1" s="157"/>
      <x:c r="E1" s="157"/>
    </x:row>
    <x:row r="2" ht="44" customHeight="1">
      <x:c r="A2" s="161" t="str">
        <x:v>These six preference IDs are frozen for V1. Dish tags may only use these values; anything/surprise-me remain session behavior and descriptors such as savory/umami stay display-only.</x:v>
      </x:c>
      <x:c r="B2" s="161"/>
      <x:c r="C2" s="161"/>
      <x:c r="D2" s="161"/>
      <x:c r="E2" s="161"/>
    </x:row>
    <x:row r="4">
      <x:c r="A4" s="165" t="str">
        <x:v>ID</x:v>
      </x:c>
      <x:c r="B4" s="165" t="str">
        <x:v>UI label</x:v>
      </x:c>
      <x:c r="C4" s="165" t="str">
        <x:v>Definition</x:v>
      </x:c>
      <x:c r="D4" s="165" t="str">
        <x:v>Boundary / do not use when</x:v>
      </x:c>
      <x:c r="E4" s="165" t="str">
        <x:v>V1 status</x:v>
      </x:c>
    </x:row>
    <x:row r="5" ht="54" customHeight="1">
      <x:c r="A5" s="38" t="str">
        <x:v>spicy</x:v>
      </x:c>
      <x:c r="B5" s="38" t="str">
        <x:v>Spicy</x:v>
      </x:c>
      <x:c r="C5" s="38" t="str">
        <x:v>Noticeable heat driven by chile, hot pepper, peppery heat, or an explicitly hot condiment.</x:v>
      </x:c>
      <x:c r="D5" s="38" t="str">
        <x:v>Do not infer from 'spiced', curry, aromatic spices, or optional hot sauce alone.</x:v>
      </x:c>
      <x:c r="E5" s="38" t="str">
        <x:v>FROZEN</x:v>
      </x:c>
    </x:row>
    <x:row r="6" ht="54" customHeight="1">
      <x:c r="A6" s="38" t="str">
        <x:v>comforting</x:v>
      </x:c>
      <x:c r="B6" s="38" t="str">
        <x:v>Comforting</x:v>
      </x:c>
      <x:c r="C6" s="38" t="str">
        <x:v>A warm, hearty, soft, starchy, brothy, braised, baked, or familiar-feeling meal experience.</x:v>
      </x:c>
      <x:c r="D6" s="38" t="str">
        <x:v>This is a Nom mood/product heuristic, not an objective cultural property; do not use merely because a dish is popular.</x:v>
      </x:c>
      <x:c r="E6" s="38" t="str">
        <x:v>FROZEN</x:v>
      </x:c>
    </x:row>
    <x:row r="7" ht="54" customHeight="1">
      <x:c r="A7" s="38" t="str">
        <x:v>fresh</x:v>
      </x:c>
      <x:c r="B7" s="38" t="str">
        <x:v>Fresh</x:v>
      </x:c>
      <x:c r="C7" s="38" t="str">
        <x:v>A defining bright, raw, herb-forward, vegetable-forward, chilled, or light fresh component.</x:v>
      </x:c>
      <x:c r="D7" s="38" t="str">
        <x:v>Do not use for a cooked dish just because herbs/vegetables appear as minor garnish.</x:v>
      </x:c>
      <x:c r="E7" s="38" t="str">
        <x:v>FROZEN</x:v>
      </x:c>
    </x:row>
    <x:row r="8" ht="54" customHeight="1">
      <x:c r="A8" s="38" t="str">
        <x:v>rich</x:v>
      </x:c>
      <x:c r="B8" s="38" t="str">
        <x:v>Rich</x:v>
      </x:c>
      <x:c r="C8" s="38" t="str">
        <x:v>A defining creamy, fatty, buttery, coconut-heavy, nutty, concentrated, dense, or full-bodied profile.</x:v>
      </x:c>
      <x:c r="D8" s="38" t="str">
        <x:v>Do not use merely because a dish contains meat, rice, noodles, or is filling.</x:v>
      </x:c>
      <x:c r="E8" s="38" t="str">
        <x:v>FROZEN</x:v>
      </x:c>
    </x:row>
    <x:row r="9" ht="54" customHeight="1">
      <x:c r="A9" s="38" t="str">
        <x:v>crispy</x:v>
      </x:c>
      <x:c r="B9" s="38" t="str">
        <x:v>Crispy</x:v>
      </x:c>
      <x:c r="C9" s="38" t="str">
        <x:v>A defining and repeatable crisp, crunchy, breaded, fried, or crackly texture.</x:v>
      </x:c>
      <x:c r="D9" s="38" t="str">
        <x:v>Do not use when crispness is only an optional variant or minor garnish.</x:v>
      </x:c>
      <x:c r="E9" s="38" t="str">
        <x:v>FROZEN</x:v>
      </x:c>
    </x:row>
    <x:row r="10" ht="54" customHeight="1">
      <x:c r="A10" s="38" t="str">
        <x:v>tangy</x:v>
      </x:c>
      <x:c r="B10" s="38" t="str">
        <x:v>Tangy</x:v>
      </x:c>
      <x:c r="C10" s="38" t="str">
        <x:v>A defining sour, citrus, vinegar, pickled, fermented-yogurt, tamarind, sumac, or tart-acid profile.</x:v>
      </x:c>
      <x:c r="D10" s="38" t="str">
        <x:v>Do not use when acidity is only an optional condiment or side.</x:v>
      </x:c>
      <x:c r="E10" s="38" t="str">
        <x:v>FROZEN</x:v>
      </x:c>
    </x:row>
    <x:row r="11" ht="54" customHeight="1">
      <x:c r="A11" s="38"/>
      <x:c r="B11" s="38"/>
      <x:c r="C11" s="38"/>
      <x:c r="D11" s="38"/>
      <x:c r="E11" s="38"/>
    </x:row>
    <x:row r="12" ht="54" customHeight="1">
      <x:c r="A12" s="38"/>
      <x:c r="B12" s="38"/>
      <x:c r="C12" s="38"/>
      <x:c r="D12" s="38"/>
      <x:c r="E12" s="38"/>
    </x:row>
    <x:row r="13" ht="54" customHeight="1">
      <x:c r="A13" s="165" t="str">
        <x:v>V1 rule</x:v>
      </x:c>
      <x:c r="B13" s="165" t="str">
        <x:v>Value</x:v>
      </x:c>
      <x:c r="C13" s="165" t="str">
        <x:v>Reason</x:v>
      </x:c>
      <x:c r="D13" s="165" t="str">
        <x:v>Examples</x:v>
      </x:c>
      <x:c r="E13" s="165" t="str">
        <x:v>Status</x:v>
      </x:c>
    </x:row>
    <x:row r="14" ht="54" customHeight="1">
      <x:c r="A14" s="38" t="str">
        <x:v>Number of preference flavors</x:v>
      </x:c>
      <x:c r="B14" s="38" t="n">
        <x:v>6</x:v>
      </x:c>
      <x:c r="C14" s="38" t="str">
        <x:v>Keep discovery cognitively simple while preserving useful recommendation contrast.</x:v>
      </x:c>
      <x:c r="D14" s="38" t="str">
        <x:v>spicy / comforting / fresh / rich / crispy / tangy</x:v>
      </x:c>
      <x:c r="E14" s="38" t="str">
        <x:v>LOCKED</x:v>
      </x:c>
    </x:row>
    <x:row r="15" ht="54" customHeight="1">
      <x:c r="A15" s="38" t="str">
        <x:v>New candidate flavors</x:v>
      </x:c>
      <x:c r="B15" s="38" t="str">
        <x:v>None for V1</x:v>
      </x:c>
      <x:c r="C15" s="38" t="str">
        <x:v>Avoid UI/taxonomy expansion before user evidence.</x:v>
      </x:c>
      <x:c r="D15" s="38" t="str">
        <x:v>umami stays descriptor-only; savory stays descriptor-only.</x:v>
      </x:c>
      <x:c r="E15" s="38" t="str">
        <x:v>LOCKED</x:v>
      </x:c>
    </x:row>
    <x:row r="16" ht="54" customHeight="1">
      <x:c r="A16" s="38" t="str">
        <x:v>Future changes</x:v>
      </x:c>
      <x:c r="B16" s="38" t="str">
        <x:v>Require explicit product decision + re-audit</x:v>
      </x:c>
      <x:c r="C16" s="38" t="str">
        <x:v>Prevents taxonomy drift and silent recommender changes.</x:v>
      </x:c>
      <x:c r="D16" s="38" t="str">
        <x:v>User research can justify a V1.1/V2 change.</x:v>
      </x:c>
      <x:c r="E16" s="38" t="str">
        <x:v>LOCKED</x:v>
      </x:c>
    </x:row>
  </x:sheetData>
  <x:mergeCells>
    <x:mergeCell ref="A1:E1"/>
    <x:mergeCell ref="A2:E2"/>
  </x:mergeCells>
  <x:pageMargins left="0.7" right="0.7" top="0.75" bottom="0.75" header="0.3" footer="0.3"/>
</x:worksheet>
</file>

<file path=xl/worksheets/sheet15.xml><?xml version="1.0" encoding="utf-8"?>
<x:worksheet xmlns:x="http://schemas.openxmlformats.org/spreadsheetml/2006/main">
  <x:sheetFormatPr defaultRowHeight="15"/>
  <x:cols>
    <x:col min="1" max="1" width="5" hidden="0" customWidth="1"/>
    <x:col min="2" max="2" width="24" hidden="0" customWidth="1"/>
    <x:col min="3" max="3" width="25" hidden="0" customWidth="1"/>
    <x:col min="4" max="4" width="18" hidden="0" customWidth="1"/>
    <x:col min="5" max="5" width="20" hidden="0" customWidth="1"/>
    <x:col min="6" max="6" width="26" hidden="0" customWidth="1"/>
    <x:col min="7" max="7" width="12" hidden="0" customWidth="1"/>
    <x:col min="8" max="8" width="20" hidden="0" customWidth="1"/>
    <x:col min="9" max="9" width="58" hidden="0" customWidth="1"/>
    <x:col min="10" max="10" width="22" hidden="0" customWidth="1"/>
    <x:col min="11" max="11" width="22" hidden="0" customWidth="1"/>
    <x:col min="12" max="12" width="18" hidden="0" customWidth="1"/>
    <x:col min="13" max="13" width="14" hidden="0" customWidth="1"/>
    <x:col min="14" max="14" width="34" hidden="0" customWidth="1"/>
  </x:cols>
  <x:sheetData>
    <x:row r="1" ht="28" customHeight="1">
      <x:c r="A1" s="175" t="str">
        <x:v>Nom Production Pilot — 25 Balanced Dishes</x:v>
      </x:c>
      <x:c r="B1" s="175"/>
      <x:c r="C1" s="175"/>
      <x:c r="D1" s="175"/>
      <x:c r="E1" s="175"/>
      <x:c r="F1" s="175"/>
      <x:c r="G1" s="175"/>
      <x:c r="H1" s="175"/>
      <x:c r="I1" s="175"/>
      <x:c r="J1" s="175"/>
      <x:c r="K1" s="175"/>
      <x:c r="L1" s="175"/>
      <x:c r="M1" s="175"/>
      <x:c r="N1" s="175"/>
    </x:row>
    <x:row r="2" ht="42" customHeight="1">
      <x:c r="A2" s="179" t="str">
        <x:v>Balanced pilot across all 8 regions and all 5 food-type IDs. Goal: verify sources and exact image licenses, approve these 25, import them into Nom, then repeat the proven workflow for the remaining catalog.</x:v>
      </x:c>
      <x:c r="B2" s="179"/>
      <x:c r="C2" s="179"/>
      <x:c r="D2" s="179"/>
      <x:c r="E2" s="179"/>
      <x:c r="F2" s="179"/>
      <x:c r="G2" s="179"/>
      <x:c r="H2" s="179"/>
      <x:c r="I2" s="179"/>
      <x:c r="J2" s="179"/>
      <x:c r="K2" s="179"/>
      <x:c r="L2" s="179"/>
      <x:c r="M2" s="179"/>
      <x:c r="N2" s="179"/>
    </x:row>
    <x:row r="4">
      <x:c r="A4" s="183" t="str">
        <x:v>Pilot metric</x:v>
      </x:c>
      <x:c r="B4" s="183" t="str">
        <x:v>Value</x:v>
      </x:c>
      <x:c r="C4" s="183" t="str">
        <x:v>Target</x:v>
      </x:c>
      <x:c r="D4" s="183" t="str">
        <x:v>Status</x:v>
      </x:c>
      <x:c r="E4" s="183" t="str">
        <x:v>Why this pilot</x:v>
      </x:c>
      <x:c r="F4" s="183" t="str">
        <x:v>Next milestone</x:v>
      </x:c>
    </x:row>
    <x:row r="5">
      <x:c r="A5" t="str">
        <x:v>Pilot dishes</x:v>
      </x:c>
      <x:c r="B5" t="n">
        <x:v>25</x:v>
      </x:c>
      <x:c r="C5" t="n">
        <x:v>25</x:v>
      </x:c>
      <x:c r="D5" t="str">
        <x:v>READY</x:v>
      </x:c>
      <x:c r="E5" t="str">
        <x:v>Small enough for deep QA but large enough to exercise the recommender.</x:v>
      </x:c>
      <x:c r="F5" t="str">
        <x:v>Keep pilot fixed</x:v>
      </x:c>
    </x:row>
    <x:row r="6">
      <x:c r="A6" t="str">
        <x:v>Regions represented</x:v>
      </x:c>
      <x:c r="B6" t="n">
        <x:v>8</x:v>
      </x:c>
      <x:c r="C6" t="n">
        <x:v>8</x:v>
      </x:c>
      <x:c r="D6" t="str">
        <x:v>GOOD</x:v>
      </x:c>
      <x:c r="E6" t="str">
        <x:v>Every Nom region is represented.</x:v>
      </x:c>
      <x:c r="F6" t="str">
        <x:v>No expansion needed</x:v>
      </x:c>
    </x:row>
    <x:row r="7">
      <x:c r="A7" t="str">
        <x:v>Food types represented</x:v>
      </x:c>
      <x:c r="B7" t="n">
        <x:v>5</x:v>
      </x:c>
      <x:c r="C7" t="n">
        <x:v>5</x:v>
      </x:c>
      <x:c r="D7" t="str">
        <x:v>GOOD</x:v>
      </x:c>
      <x:c r="E7" t="str">
        <x:v>Exactly 5 pilot dishes per food type.</x:v>
      </x:c>
      <x:c r="F7" t="str">
        <x:v>No expansion needed</x:v>
      </x:c>
    </x:row>
    <x:row r="8">
      <x:c r="A8" t="str">
        <x:v>Verified factual sources</x:v>
      </x:c>
      <x:c r="B8" t="n">
        <x:v>25</x:v>
      </x:c>
      <x:c r="C8" t="n">
        <x:v>25</x:v>
      </x:c>
      <x:c r="D8" t="str">
        <x:v>COMPLETE</x:v>
      </x:c>
      <x:c r="E8" t="str">
        <x:v>All 25 pilot dishes now have at least one checked factual source.</x:v>
      </x:c>
      <x:c r="F8" t="str">
        <x:v>Source phase complete</x:v>
      </x:c>
    </x:row>
    <x:row r="9">
      <x:c r="A9" t="str">
        <x:v>Exact licensed primary images verified</x:v>
      </x:c>
      <x:c r="B9" t="n">
        <x:v>0</x:v>
      </x:c>
      <x:c r="C9" t="n">
        <x:v>25</x:v>
      </x:c>
      <x:c r="D9" t="str">
        <x:v>NEXT</x:v>
      </x:c>
      <x:c r="E9" t="str">
        <x:v>Current image rows are search candidates, not exact licensed files.</x:v>
      </x:c>
      <x:c r="F9" t="str">
        <x:v>Start image licensing pass</x:v>
      </x:c>
    </x:row>
    <x:row r="10">
      <x:c r="A10" t="str">
        <x:v>Pilot dishes approved</x:v>
      </x:c>
      <x:c r="B10" t="n">
        <x:v>0</x:v>
      </x:c>
      <x:c r="C10" t="n">
        <x:v>25</x:v>
      </x:c>
      <x:c r="D10" t="str">
        <x:v>NOT STARTED</x:v>
      </x:c>
      <x:c r="E10" t="str">
        <x:v>Approval waits for exact image/license verification.</x:v>
      </x:c>
      <x:c r="F10" t="str">
        <x:v>Approve after image pass</x:v>
      </x:c>
    </x:row>
    <x:row r="13">
      <x:c r="A13" s="183" t="str">
        <x:v>#</x:v>
      </x:c>
      <x:c r="B13" s="183" t="str">
        <x:v>dishId</x:v>
      </x:c>
      <x:c r="C13" s="183" t="str">
        <x:v>Dish</x:v>
      </x:c>
      <x:c r="D13" s="183" t="str">
        <x:v>Region</x:v>
      </x:c>
      <x:c r="E13" s="183" t="str">
        <x:v>Food Type</x:v>
      </x:c>
      <x:c r="F13" s="183" t="str">
        <x:v>Current Flavors</x:v>
      </x:c>
      <x:c r="G13" s="183" t="str">
        <x:v>Adventure</x:v>
      </x:c>
      <x:c r="H13" s="183" t="str">
        <x:v>Source Status</x:v>
      </x:c>
      <x:c r="I13" s="183" t="str">
        <x:v>Authoritative Source</x:v>
      </x:c>
      <x:c r="J13" s="183" t="str">
        <x:v>Source Type</x:v>
      </x:c>
      <x:c r="K13" s="183" t="str">
        <x:v>Image Status</x:v>
      </x:c>
      <x:c r="L13" s="183" t="str">
        <x:v>Review Status</x:v>
      </x:c>
      <x:c r="M13" s="183" t="str">
        <x:v>Validation</x:v>
      </x:c>
      <x:c r="N13" s="183" t="str">
        <x:v>Next Action</x:v>
      </x:c>
    </x:row>
    <x:row r="14" ht="46" customHeight="1">
      <x:c r="A14" s="38" t="n">
        <x:v>1</x:v>
      </x:c>
      <x:c r="B14" s="38" t="str">
        <x:v>lort-cha</x:v>
      </x:c>
      <x:c r="C14" s="38" t="str">
        <x:v>Lort Cha</x:v>
      </x:c>
      <x:c r="D14" s="38" t="str">
        <x:v>southeast-asia</x:v>
      </x:c>
      <x:c r="E14" s="38" t="str">
        <x:v>noodle</x:v>
      </x:c>
      <x:c r="F14" s="38" t="str">
        <x:v>comforting</x:v>
      </x:c>
      <x:c r="G14" s="38" t="n">
        <x:v>3</x:v>
      </x:c>
      <x:c r="H14" s="38" t="str">
        <x:v>VERIFIED</x:v>
      </x:c>
      <x:c r="I14" s="38" t="str">
        <x:v>https://www.nationalgeographic.com/travel/article/culinary-guide-cambodia-ancient-recipes-street-food</x:v>
      </x:c>
      <x:c r="J14" s="38" t="str">
        <x:v>culinary-reference</x:v>
      </x:c>
      <x:c r="K14" s="38" t="str">
        <x:v>CANDIDATE SEARCH ONLY</x:v>
      </x:c>
      <x:c r="L14" s="38" t="str">
        <x:v>needs-review</x:v>
      </x:c>
      <x:c r="M14" s="38" t="str">
        <x:v>OK</x:v>
      </x:c>
      <x:c r="N14" s="38" t="str">
        <x:v>Find + verify exact licensed primary image</x:v>
      </x:c>
    </x:row>
    <x:row r="15" ht="46" customHeight="1">
      <x:c r="A15" s="38" t="n">
        <x:v>2</x:v>
      </x:c>
      <x:c r="B15" s="38" t="str">
        <x:v>hainanese-chicken-rice</x:v>
      </x:c>
      <x:c r="C15" s="38" t="str">
        <x:v>Hainanese Chicken Rice</x:v>
      </x:c>
      <x:c r="D15" s="38" t="str">
        <x:v>southeast-asia</x:v>
      </x:c>
      <x:c r="E15" s="38" t="str">
        <x:v>rice</x:v>
      </x:c>
      <x:c r="F15" s="38" t="str">
        <x:v>comforting | fresh</x:v>
      </x:c>
      <x:c r="G15" s="38" t="n">
        <x:v>1</x:v>
      </x:c>
      <x:c r="H15" s="38" t="str">
        <x:v>VERIFIED</x:v>
      </x:c>
      <x:c r="I15" s="38" t="str">
        <x:v>https://www.roots.gov.sg/ich-landing/ich/chicken-rice</x:v>
      </x:c>
      <x:c r="J15" s="38" t="str">
        <x:v>cultural-institution</x:v>
      </x:c>
      <x:c r="K15" s="38" t="str">
        <x:v>CANDIDATE SEARCH ONLY</x:v>
      </x:c>
      <x:c r="L15" s="38" t="str">
        <x:v>needs-review</x:v>
      </x:c>
      <x:c r="M15" s="38" t="str">
        <x:v>OK</x:v>
      </x:c>
      <x:c r="N15" s="38" t="str">
        <x:v>Find + verify exact licensed primary image</x:v>
      </x:c>
    </x:row>
    <x:row r="16" ht="46" customHeight="1">
      <x:c r="A16" s="38" t="n">
        <x:v>3</x:v>
      </x:c>
      <x:c r="B16" s="38" t="str">
        <x:v>sinigang</x:v>
      </x:c>
      <x:c r="C16" s="38" t="str">
        <x:v>Sinigang</x:v>
      </x:c>
      <x:c r="D16" s="38" t="str">
        <x:v>southeast-asia</x:v>
      </x:c>
      <x:c r="E16" s="38" t="str">
        <x:v>soup-broth</x:v>
      </x:c>
      <x:c r="F16" s="38" t="str">
        <x:v>tangy | comforting</x:v>
      </x:c>
      <x:c r="G16" s="38" t="n">
        <x:v>2</x:v>
      </x:c>
      <x:c r="H16" s="38" t="str">
        <x:v>VERIFIED</x:v>
      </x:c>
      <x:c r="I16" s="38" t="str">
        <x:v>https://nnc.gov.ph/mindanao-region/deconstructing-sinigang-as-a-complete-dish/</x:v>
      </x:c>
      <x:c r="J16" s="38" t="str">
        <x:v>government-tourism</x:v>
      </x:c>
      <x:c r="K16" s="38" t="str">
        <x:v>CANDIDATE SEARCH ONLY</x:v>
      </x:c>
      <x:c r="L16" s="38" t="str">
        <x:v>needs-review</x:v>
      </x:c>
      <x:c r="M16" s="38" t="str">
        <x:v>OK</x:v>
      </x:c>
      <x:c r="N16" s="38" t="str">
        <x:v>Find + verify exact licensed primary image</x:v>
      </x:c>
    </x:row>
    <x:row r="17" ht="46" customHeight="1">
      <x:c r="A17" s="38" t="n">
        <x:v>4</x:v>
      </x:c>
      <x:c r="B17" s="38" t="str">
        <x:v>banh-mi</x:v>
      </x:c>
      <x:c r="C17" s="38" t="str">
        <x:v>Bánh Mì</x:v>
      </x:c>
      <x:c r="D17" s="38" t="str">
        <x:v>southeast-asia</x:v>
      </x:c>
      <x:c r="E17" s="38" t="str">
        <x:v>handheld</x:v>
      </x:c>
      <x:c r="F17" s="38" t="str">
        <x:v>fresh | crispy | tangy</x:v>
      </x:c>
      <x:c r="G17" s="38" t="n">
        <x:v>1</x:v>
      </x:c>
      <x:c r="H17" s="38" t="str">
        <x:v>VERIFIED</x:v>
      </x:c>
      <x:c r="I17" s="38" t="str">
        <x:v>https://www.vietnam.travel/things-to-do/banh-mi-in-vietnam</x:v>
      </x:c>
      <x:c r="J17" s="38" t="str">
        <x:v>government-tourism</x:v>
      </x:c>
      <x:c r="K17" s="38" t="str">
        <x:v>CANDIDATE SEARCH ONLY</x:v>
      </x:c>
      <x:c r="L17" s="38" t="str">
        <x:v>needs-review</x:v>
      </x:c>
      <x:c r="M17" s="38" t="str">
        <x:v>OK</x:v>
      </x:c>
      <x:c r="N17" s="38" t="str">
        <x:v>Find + verify exact licensed primary image</x:v>
      </x:c>
    </x:row>
    <x:row r="18" ht="46" customHeight="1">
      <x:c r="A18" s="38" t="n">
        <x:v>5</x:v>
      </x:c>
      <x:c r="B18" s="38" t="str">
        <x:v>ramen</x:v>
      </x:c>
      <x:c r="C18" s="38" t="str">
        <x:v>Ramen</x:v>
      </x:c>
      <x:c r="D18" s="38" t="str">
        <x:v>east-asia</x:v>
      </x:c>
      <x:c r="E18" s="38" t="str">
        <x:v>noodle</x:v>
      </x:c>
      <x:c r="F18" s="38" t="str">
        <x:v>comforting</x:v>
      </x:c>
      <x:c r="G18" s="38" t="n">
        <x:v>1</x:v>
      </x:c>
      <x:c r="H18" s="38" t="str">
        <x:v>VERIFIED</x:v>
      </x:c>
      <x:c r="I18" s="38" t="str">
        <x:v>https://faq.japan-travel.jnto.go.jp/en/guide/ramen/</x:v>
      </x:c>
      <x:c r="J18" s="38" t="str">
        <x:v>government-tourism</x:v>
      </x:c>
      <x:c r="K18" s="38" t="str">
        <x:v>CANDIDATE SEARCH ONLY</x:v>
      </x:c>
      <x:c r="L18" s="38" t="str">
        <x:v>needs-review</x:v>
      </x:c>
      <x:c r="M18" s="38" t="str">
        <x:v>OK</x:v>
      </x:c>
      <x:c r="N18" s="38" t="str">
        <x:v>Find + verify exact licensed primary image</x:v>
      </x:c>
    </x:row>
    <x:row r="19" ht="46" customHeight="1">
      <x:c r="A19" s="38" t="n">
        <x:v>6</x:v>
      </x:c>
      <x:c r="B19" s="38" t="str">
        <x:v>bulgogi</x:v>
      </x:c>
      <x:c r="C19" s="38" t="str">
        <x:v>Bulgogi</x:v>
      </x:c>
      <x:c r="D19" s="38" t="str">
        <x:v>east-asia</x:v>
      </x:c>
      <x:c r="E19" s="38" t="str">
        <x:v>grilled-protein</x:v>
      </x:c>
      <x:c r="F19" s="38" t="str">
        <x:v>comforting | rich</x:v>
      </x:c>
      <x:c r="G19" s="38" t="n">
        <x:v>1</x:v>
      </x:c>
      <x:c r="H19" s="38" t="str">
        <x:v>VERIFIED</x:v>
      </x:c>
      <x:c r="I19" s="38" t="str">
        <x:v>https://english.visitkorea.or.kr/svc/sp/food/ext/special_view.do?menuSn=913&amp;vcontsId=178541</x:v>
      </x:c>
      <x:c r="J19" s="38" t="str">
        <x:v>government-tourism</x:v>
      </x:c>
      <x:c r="K19" s="38" t="str">
        <x:v>CANDIDATE SEARCH ONLY</x:v>
      </x:c>
      <x:c r="L19" s="38" t="str">
        <x:v>needs-review</x:v>
      </x:c>
      <x:c r="M19" s="38" t="str">
        <x:v>OK</x:v>
      </x:c>
      <x:c r="N19" s="38" t="str">
        <x:v>Find + verify exact licensed primary image</x:v>
      </x:c>
    </x:row>
    <x:row r="20" ht="46" customHeight="1">
      <x:c r="A20" s="38" t="n">
        <x:v>7</x:v>
      </x:c>
      <x:c r="B20" s="38" t="str">
        <x:v>gyoza</x:v>
      </x:c>
      <x:c r="C20" s="38" t="str">
        <x:v>Gyoza</x:v>
      </x:c>
      <x:c r="D20" s="38" t="str">
        <x:v>east-asia</x:v>
      </x:c>
      <x:c r="E20" s="38" t="str">
        <x:v>handheld</x:v>
      </x:c>
      <x:c r="F20" s="38" t="str">
        <x:v>crispy</x:v>
      </x:c>
      <x:c r="G20" s="38" t="n">
        <x:v>1</x:v>
      </x:c>
      <x:c r="H20" s="38" t="str">
        <x:v>VERIFIED</x:v>
      </x:c>
      <x:c r="I20" s="38" t="str">
        <x:v>https://www.japan.travel/en/spot/293/</x:v>
      </x:c>
      <x:c r="J20" s="38" t="str">
        <x:v>government-tourism</x:v>
      </x:c>
      <x:c r="K20" s="38" t="str">
        <x:v>CANDIDATE SEARCH ONLY</x:v>
      </x:c>
      <x:c r="L20" s="38" t="str">
        <x:v>needs-review</x:v>
      </x:c>
      <x:c r="M20" s="38" t="str">
        <x:v>OK</x:v>
      </x:c>
      <x:c r="N20" s="38" t="str">
        <x:v>Find + verify exact licensed primary image</x:v>
      </x:c>
    </x:row>
    <x:row r="21" ht="46" customHeight="1">
      <x:c r="A21" s="38" t="n">
        <x:v>8</x:v>
      </x:c>
      <x:c r="B21" s="38" t="str">
        <x:v>biryani</x:v>
      </x:c>
      <x:c r="C21" s="38" t="str">
        <x:v>Biryani</x:v>
      </x:c>
      <x:c r="D21" s="38" t="str">
        <x:v>south-asia</x:v>
      </x:c>
      <x:c r="E21" s="38" t="str">
        <x:v>rice</x:v>
      </x:c>
      <x:c r="F21" s="38" t="str">
        <x:v>rich</x:v>
      </x:c>
      <x:c r="G21" s="38" t="n">
        <x:v>1</x:v>
      </x:c>
      <x:c r="H21" s="38" t="str">
        <x:v>VERIFIED</x:v>
      </x:c>
      <x:c r="I21" s="38" t="str">
        <x:v>https://www.incredibleindia.gov.in/en/telangana/hyderabad/the-best-local-foods-in-hyderabad</x:v>
      </x:c>
      <x:c r="J21" s="38" t="str">
        <x:v>government-tourism</x:v>
      </x:c>
      <x:c r="K21" s="38" t="str">
        <x:v>CANDIDATE SEARCH ONLY</x:v>
      </x:c>
      <x:c r="L21" s="38" t="str">
        <x:v>needs-review</x:v>
      </x:c>
      <x:c r="M21" s="38" t="str">
        <x:v>OK</x:v>
      </x:c>
      <x:c r="N21" s="38" t="str">
        <x:v>Find + verify exact licensed primary image</x:v>
      </x:c>
    </x:row>
    <x:row r="22" ht="46" customHeight="1">
      <x:c r="A22" s="38" t="n">
        <x:v>9</x:v>
      </x:c>
      <x:c r="B22" s="38" t="str">
        <x:v>tandoori-chicken</x:v>
      </x:c>
      <x:c r="C22" s="38" t="str">
        <x:v>Tandoori Chicken</x:v>
      </x:c>
      <x:c r="D22" s="38" t="str">
        <x:v>south-asia</x:v>
      </x:c>
      <x:c r="E22" s="38" t="str">
        <x:v>grilled-protein</x:v>
      </x:c>
      <x:c r="F22" s="38" t="str">
        <x:v>tangy</x:v>
      </x:c>
      <x:c r="G22" s="38" t="n">
        <x:v>1</x:v>
      </x:c>
      <x:c r="H22" s="38" t="str">
        <x:v>VERIFIED</x:v>
      </x:c>
      <x:c r="I22" s="38" t="str">
        <x:v>https://www.prod.incredibleindia.gov.in/content/incredible-india-v2/en/destinations/delhi/food-and-cuisine.html</x:v>
      </x:c>
      <x:c r="J22" s="38" t="str">
        <x:v>government-tourism</x:v>
      </x:c>
      <x:c r="K22" s="38" t="str">
        <x:v>CANDIDATE SEARCH ONLY</x:v>
      </x:c>
      <x:c r="L22" s="38" t="str">
        <x:v>needs-review</x:v>
      </x:c>
      <x:c r="M22" s="38" t="str">
        <x:v>OK</x:v>
      </x:c>
      <x:c r="N22" s="38" t="str">
        <x:v>Find + verify exact licensed primary image</x:v>
      </x:c>
    </x:row>
    <x:row r="23" ht="46" customHeight="1">
      <x:c r="A23" s="38" t="n">
        <x:v>10</x:v>
      </x:c>
      <x:c r="B23" s="38" t="str">
        <x:v>rasam</x:v>
      </x:c>
      <x:c r="C23" s="38" t="str">
        <x:v>Rasam</x:v>
      </x:c>
      <x:c r="D23" s="38" t="str">
        <x:v>south-asia</x:v>
      </x:c>
      <x:c r="E23" s="38" t="str">
        <x:v>soup-broth</x:v>
      </x:c>
      <x:c r="F23" s="38" t="str">
        <x:v>tangy | spicy | fresh</x:v>
      </x:c>
      <x:c r="G23" s="38" t="n">
        <x:v>2</x:v>
      </x:c>
      <x:c r="H23" s="38" t="str">
        <x:v>VERIFIED</x:v>
      </x:c>
      <x:c r="I23" s="38" t="str">
        <x:v>https://pubmed.ncbi.nlm.nih.gov/28989243/</x:v>
      </x:c>
      <x:c r="J23" s="38" t="str">
        <x:v>culinary-reference</x:v>
      </x:c>
      <x:c r="K23" s="38" t="str">
        <x:v>CANDIDATE SEARCH ONLY</x:v>
      </x:c>
      <x:c r="L23" s="38" t="str">
        <x:v>needs-review</x:v>
      </x:c>
      <x:c r="M23" s="38" t="str">
        <x:v>OK</x:v>
      </x:c>
      <x:c r="N23" s="38" t="str">
        <x:v>Find + verify exact licensed primary image</x:v>
      </x:c>
    </x:row>
    <x:row r="24" ht="46" customHeight="1">
      <x:c r="A24" s="38" t="n">
        <x:v>11</x:v>
      </x:c>
      <x:c r="B24" s="38" t="str">
        <x:v>mansaf</x:v>
      </x:c>
      <x:c r="C24" s="38" t="str">
        <x:v>Mansaf</x:v>
      </x:c>
      <x:c r="D24" s="38" t="str">
        <x:v>middle-east</x:v>
      </x:c>
      <x:c r="E24" s="38" t="str">
        <x:v>rice</x:v>
      </x:c>
      <x:c r="F24" s="38" t="str">
        <x:v>rich | tangy</x:v>
      </x:c>
      <x:c r="G24" s="38" t="n">
        <x:v>3</x:v>
      </x:c>
      <x:c r="H24" s="38" t="str">
        <x:v>VERIFIED</x:v>
      </x:c>
      <x:c r="I24" s="38" t="str">
        <x:v>https://edutravel.visitjordan.com/en/page/79/Food-and-Drinks</x:v>
      </x:c>
      <x:c r="J24" s="38" t="str">
        <x:v>government-tourism</x:v>
      </x:c>
      <x:c r="K24" s="38" t="str">
        <x:v>CANDIDATE SEARCH ONLY</x:v>
      </x:c>
      <x:c r="L24" s="38" t="str">
        <x:v>needs-review</x:v>
      </x:c>
      <x:c r="M24" s="38" t="str">
        <x:v>OK</x:v>
      </x:c>
      <x:c r="N24" s="38" t="str">
        <x:v>Find + verify exact licensed primary image</x:v>
      </x:c>
    </x:row>
    <x:row r="25" ht="46" customHeight="1">
      <x:c r="A25" s="38" t="n">
        <x:v>12</x:v>
      </x:c>
      <x:c r="B25" s="38" t="str">
        <x:v>falafel</x:v>
      </x:c>
      <x:c r="C25" s="38" t="str">
        <x:v>Falafel</x:v>
      </x:c>
      <x:c r="D25" s="38" t="str">
        <x:v>middle-east</x:v>
      </x:c>
      <x:c r="E25" s="38" t="str">
        <x:v>handheld</x:v>
      </x:c>
      <x:c r="F25" s="38" t="str">
        <x:v>crispy | fresh</x:v>
      </x:c>
      <x:c r="G25" s="38" t="n">
        <x:v>1</x:v>
      </x:c>
      <x:c r="H25" s="38" t="str">
        <x:v>VERIFIED</x:v>
      </x:c>
      <x:c r="I25" s="38" t="str">
        <x:v>https://app.ckbk.com/reference/food77337c06s001e009</x:v>
      </x:c>
      <x:c r="J25" s="38" t="str">
        <x:v>encyclopedia-reference</x:v>
      </x:c>
      <x:c r="K25" s="38" t="str">
        <x:v>CANDIDATE SEARCH ONLY</x:v>
      </x:c>
      <x:c r="L25" s="38" t="str">
        <x:v>needs-review</x:v>
      </x:c>
      <x:c r="M25" s="38" t="str">
        <x:v>OK</x:v>
      </x:c>
      <x:c r="N25" s="38" t="str">
        <x:v>Find + verify exact licensed primary image</x:v>
      </x:c>
    </x:row>
    <x:row r="26" ht="46" customHeight="1">
      <x:c r="A26" s="38" t="n">
        <x:v>13</x:v>
      </x:c>
      <x:c r="B26" s="38" t="str">
        <x:v>manti</x:v>
      </x:c>
      <x:c r="C26" s="38" t="str">
        <x:v>Manti</x:v>
      </x:c>
      <x:c r="D26" s="38" t="str">
        <x:v>middle-east</x:v>
      </x:c>
      <x:c r="E26" s="38" t="str">
        <x:v>noodle</x:v>
      </x:c>
      <x:c r="F26" s="38" t="str">
        <x:v>rich | tangy</x:v>
      </x:c>
      <x:c r="G26" s="38" t="n">
        <x:v>2</x:v>
      </x:c>
      <x:c r="H26" s="38" t="str">
        <x:v>VERIFIED</x:v>
      </x:c>
      <x:c r="I26" s="38" t="str">
        <x:v>https://goturkiye.com/blog/turkish-manti</x:v>
      </x:c>
      <x:c r="J26" s="38" t="str">
        <x:v>government-tourism</x:v>
      </x:c>
      <x:c r="K26" s="38" t="str">
        <x:v>CANDIDATE SEARCH ONLY</x:v>
      </x:c>
      <x:c r="L26" s="38" t="str">
        <x:v>needs-review</x:v>
      </x:c>
      <x:c r="M26" s="38" t="str">
        <x:v>OK</x:v>
      </x:c>
      <x:c r="N26" s="38" t="str">
        <x:v>Find + verify exact licensed primary image</x:v>
      </x:c>
    </x:row>
    <x:row r="27" ht="46" customHeight="1">
      <x:c r="A27" s="38" t="n">
        <x:v>14</x:v>
      </x:c>
      <x:c r="B27" s="38" t="str">
        <x:v>jollof-rice</x:v>
      </x:c>
      <x:c r="C27" s="38" t="str">
        <x:v>Jollof Rice</x:v>
      </x:c>
      <x:c r="D27" s="38" t="str">
        <x:v>africa</x:v>
      </x:c>
      <x:c r="E27" s="38" t="str">
        <x:v>rice</x:v>
      </x:c>
      <x:c r="F27" s="38" t="str">
        <x:v>comforting</x:v>
      </x:c>
      <x:c r="G27" s="38" t="n">
        <x:v>2</x:v>
      </x:c>
      <x:c r="H27" s="38" t="str">
        <x:v>VERIFIED</x:v>
      </x:c>
      <x:c r="I27" s="38" t="str">
        <x:v>https://journals.co.za/doi/10.10520/ejc-ghajecon_v12_n1_a4</x:v>
      </x:c>
      <x:c r="J27" s="38" t="str">
        <x:v>culinary-reference</x:v>
      </x:c>
      <x:c r="K27" s="38" t="str">
        <x:v>CANDIDATE SEARCH ONLY</x:v>
      </x:c>
      <x:c r="L27" s="38" t="str">
        <x:v>needs-review</x:v>
      </x:c>
      <x:c r="M27" s="38" t="str">
        <x:v>OK</x:v>
      </x:c>
      <x:c r="N27" s="38" t="str">
        <x:v>Find + verify exact licensed primary image</x:v>
      </x:c>
    </x:row>
    <x:row r="28" ht="46" customHeight="1">
      <x:c r="A28" s="38" t="n">
        <x:v>15</x:v>
      </x:c>
      <x:c r="B28" s="38" t="str">
        <x:v>doro-wat</x:v>
      </x:c>
      <x:c r="C28" s="38" t="str">
        <x:v>Doro Wat</x:v>
      </x:c>
      <x:c r="D28" s="38" t="str">
        <x:v>africa</x:v>
      </x:c>
      <x:c r="E28" s="38" t="str">
        <x:v>grilled-protein</x:v>
      </x:c>
      <x:c r="F28" s="38" t="str">
        <x:v>spicy | rich</x:v>
      </x:c>
      <x:c r="G28" s="38" t="n">
        <x:v>3</x:v>
      </x:c>
      <x:c r="H28" s="38" t="str">
        <x:v>VERIFIED</x:v>
      </x:c>
      <x:c r="I28" s="38" t="str">
        <x:v>https://www.si.edu/object/ethiopia-recipes-and-traditions-horn-africa-yohanis-gebreyesus-jeff-koehler%3Asiris_sil_1109218</x:v>
      </x:c>
      <x:c r="J28" s="38" t="str">
        <x:v>cultural-institution</x:v>
      </x:c>
      <x:c r="K28" s="38" t="str">
        <x:v>CANDIDATE SEARCH ONLY</x:v>
      </x:c>
      <x:c r="L28" s="38" t="str">
        <x:v>needs-review</x:v>
      </x:c>
      <x:c r="M28" s="38" t="str">
        <x:v>OK</x:v>
      </x:c>
      <x:c r="N28" s="38" t="str">
        <x:v>Find + verify exact licensed primary image</x:v>
      </x:c>
    </x:row>
    <x:row r="29" ht="46" customHeight="1">
      <x:c r="A29" s="38" t="n">
        <x:v>16</x:v>
      </x:c>
      <x:c r="B29" s="38" t="str">
        <x:v>harira</x:v>
      </x:c>
      <x:c r="C29" s="38" t="str">
        <x:v>Harira</x:v>
      </x:c>
      <x:c r="D29" s="38" t="str">
        <x:v>africa</x:v>
      </x:c>
      <x:c r="E29" s="38" t="str">
        <x:v>soup-broth</x:v>
      </x:c>
      <x:c r="F29" s="38" t="str">
        <x:v>comforting</x:v>
      </x:c>
      <x:c r="G29" s="38" t="n">
        <x:v>2</x:v>
      </x:c>
      <x:c r="H29" s="38" t="str">
        <x:v>VERIFIED</x:v>
      </x:c>
      <x:c r="I29" s="38" t="str">
        <x:v>https://visitmorocco.com/en/travel-info/food-drinks</x:v>
      </x:c>
      <x:c r="J29" s="38" t="str">
        <x:v>government-tourism</x:v>
      </x:c>
      <x:c r="K29" s="38" t="str">
        <x:v>CANDIDATE SEARCH ONLY</x:v>
      </x:c>
      <x:c r="L29" s="38" t="str">
        <x:v>needs-review</x:v>
      </x:c>
      <x:c r="M29" s="38" t="str">
        <x:v>OK</x:v>
      </x:c>
      <x:c r="N29" s="38" t="str">
        <x:v>Find + verify exact licensed primary image</x:v>
      </x:c>
    </x:row>
    <x:row r="30" ht="46" customHeight="1">
      <x:c r="A30" s="38" t="n">
        <x:v>17</x:v>
      </x:c>
      <x:c r="B30" s="38" t="str">
        <x:v>carbonara</x:v>
      </x:c>
      <x:c r="C30" s="38" t="str">
        <x:v>Spaghetti Carbonara</x:v>
      </x:c>
      <x:c r="D30" s="38" t="str">
        <x:v>europe</x:v>
      </x:c>
      <x:c r="E30" s="38" t="str">
        <x:v>noodle</x:v>
      </x:c>
      <x:c r="F30" s="38" t="str">
        <x:v>rich | comforting</x:v>
      </x:c>
      <x:c r="G30" s="38" t="n">
        <x:v>1</x:v>
      </x:c>
      <x:c r="H30" s="38" t="str">
        <x:v>VERIFIED</x:v>
      </x:c>
      <x:c r="I30" s="38" t="str">
        <x:v>https://www.italia.it/en/lazio/rome/things-to-do/traditional-roman-food-districts-of-rome</x:v>
      </x:c>
      <x:c r="J30" s="38" t="str">
        <x:v>government-tourism</x:v>
      </x:c>
      <x:c r="K30" s="38" t="str">
        <x:v>CANDIDATE SEARCH ONLY</x:v>
      </x:c>
      <x:c r="L30" s="38" t="str">
        <x:v>needs-review</x:v>
      </x:c>
      <x:c r="M30" s="38" t="str">
        <x:v>OK</x:v>
      </x:c>
      <x:c r="N30" s="38" t="str">
        <x:v>Find + verify exact licensed primary image</x:v>
      </x:c>
    </x:row>
    <x:row r="31" ht="46" customHeight="1">
      <x:c r="A31" s="38" t="n">
        <x:v>18</x:v>
      </x:c>
      <x:c r="B31" s="38" t="str">
        <x:v>french-onion-soup</x:v>
      </x:c>
      <x:c r="C31" s="38" t="str">
        <x:v>French Onion Soup</x:v>
      </x:c>
      <x:c r="D31" s="38" t="str">
        <x:v>europe</x:v>
      </x:c>
      <x:c r="E31" s="38" t="str">
        <x:v>soup-broth</x:v>
      </x:c>
      <x:c r="F31" s="38" t="str">
        <x:v>rich | comforting</x:v>
      </x:c>
      <x:c r="G31" s="38" t="n">
        <x:v>1</x:v>
      </x:c>
      <x:c r="H31" s="38" t="str">
        <x:v>VERIFIED</x:v>
      </x:c>
      <x:c r="I31" s="38" t="str">
        <x:v>https://www.france.fr/en/article/try-a-french-classic-onion-soup/</x:v>
      </x:c>
      <x:c r="J31" s="38" t="str">
        <x:v>government-tourism</x:v>
      </x:c>
      <x:c r="K31" s="38" t="str">
        <x:v>CANDIDATE SEARCH ONLY</x:v>
      </x:c>
      <x:c r="L31" s="38" t="str">
        <x:v>needs-review</x:v>
      </x:c>
      <x:c r="M31" s="38" t="str">
        <x:v>OK</x:v>
      </x:c>
      <x:c r="N31" s="38" t="str">
        <x:v>Find + verify exact licensed primary image</x:v>
      </x:c>
    </x:row>
    <x:row r="32" ht="46" customHeight="1">
      <x:c r="A32" s="38" t="n">
        <x:v>19</x:v>
      </x:c>
      <x:c r="B32" s="38" t="str">
        <x:v>schnitzel</x:v>
      </x:c>
      <x:c r="C32" s="38" t="str">
        <x:v>Schnitzel</x:v>
      </x:c>
      <x:c r="D32" s="38" t="str">
        <x:v>europe</x:v>
      </x:c>
      <x:c r="E32" s="38" t="str">
        <x:v>grilled-protein</x:v>
      </x:c>
      <x:c r="F32" s="38" t="str">
        <x:v>crispy | comforting</x:v>
      </x:c>
      <x:c r="G32" s="38" t="n">
        <x:v>1</x:v>
      </x:c>
      <x:c r="H32" s="38" t="str">
        <x:v>VERIFIED</x:v>
      </x:c>
      <x:c r="I32" s="38" t="str">
        <x:v>https://www.austria.info/en-us/recipes/wiener-schnitzel/</x:v>
      </x:c>
      <x:c r="J32" s="38" t="str">
        <x:v>government-tourism</x:v>
      </x:c>
      <x:c r="K32" s="38" t="str">
        <x:v>CANDIDATE SEARCH ONLY</x:v>
      </x:c>
      <x:c r="L32" s="38" t="str">
        <x:v>needs-review</x:v>
      </x:c>
      <x:c r="M32" s="38" t="str">
        <x:v>OK</x:v>
      </x:c>
      <x:c r="N32" s="38" t="str">
        <x:v>Find + verify exact licensed primary image</x:v>
      </x:c>
    </x:row>
    <x:row r="33" ht="46" customHeight="1">
      <x:c r="A33" s="38" t="n">
        <x:v>20</x:v>
      </x:c>
      <x:c r="B33" s="38" t="str">
        <x:v>tacos-al-pastor</x:v>
      </x:c>
      <x:c r="C33" s="38" t="str">
        <x:v>Tacos al Pastor</x:v>
      </x:c>
      <x:c r="D33" s="38" t="str">
        <x:v>latin-america</x:v>
      </x:c>
      <x:c r="E33" s="38" t="str">
        <x:v>handheld</x:v>
      </x:c>
      <x:c r="F33" s="38" t="str">
        <x:v>fresh</x:v>
      </x:c>
      <x:c r="G33" s="38" t="n">
        <x:v>2</x:v>
      </x:c>
      <x:c r="H33" s="38" t="str">
        <x:v>VERIFIED</x:v>
      </x:c>
      <x:c r="I33" s="38" t="str">
        <x:v>https://mexicocity.cdmx.gob.mx/e/food-basics/street-food/?lang=en</x:v>
      </x:c>
      <x:c r="J33" s="38" t="str">
        <x:v>government-tourism</x:v>
      </x:c>
      <x:c r="K33" s="38" t="str">
        <x:v>CANDIDATE SEARCH ONLY</x:v>
      </x:c>
      <x:c r="L33" s="38" t="str">
        <x:v>needs-review</x:v>
      </x:c>
      <x:c r="M33" s="38" t="str">
        <x:v>OK</x:v>
      </x:c>
      <x:c r="N33" s="38" t="str">
        <x:v>Find + verify exact licensed primary image</x:v>
      </x:c>
    </x:row>
    <x:row r="34" ht="46" customHeight="1">
      <x:c r="A34" s="38" t="n">
        <x:v>21</x:v>
      </x:c>
      <x:c r="B34" s="38" t="str">
        <x:v>ceviche</x:v>
      </x:c>
      <x:c r="C34" s="38" t="str">
        <x:v>Ceviche</x:v>
      </x:c>
      <x:c r="D34" s="38" t="str">
        <x:v>latin-america</x:v>
      </x:c>
      <x:c r="E34" s="38" t="str">
        <x:v>grilled-protein</x:v>
      </x:c>
      <x:c r="F34" s="38" t="str">
        <x:v>fresh | tangy</x:v>
      </x:c>
      <x:c r="G34" s="38" t="n">
        <x:v>2</x:v>
      </x:c>
      <x:c r="H34" s="38" t="str">
        <x:v>VERIFIED</x:v>
      </x:c>
      <x:c r="I34" s="38" t="str">
        <x:v>https://www.peru.travel/gastronomy/en/recipes/entrees/peruvian-fish-ceviche.html</x:v>
      </x:c>
      <x:c r="J34" s="38" t="str">
        <x:v>government-tourism</x:v>
      </x:c>
      <x:c r="K34" s="38" t="str">
        <x:v>CANDIDATE SEARCH ONLY</x:v>
      </x:c>
      <x:c r="L34" s="38" t="str">
        <x:v>needs-review</x:v>
      </x:c>
      <x:c r="M34" s="38" t="str">
        <x:v>OK</x:v>
      </x:c>
      <x:c r="N34" s="38" t="str">
        <x:v>Find + verify exact licensed primary image</x:v>
      </x:c>
    </x:row>
    <x:row r="35" ht="46" customHeight="1">
      <x:c r="A35" s="38" t="n">
        <x:v>22</x:v>
      </x:c>
      <x:c r="B35" s="38" t="str">
        <x:v>arroz-con-pollo</x:v>
      </x:c>
      <x:c r="C35" s="38" t="str">
        <x:v>Arroz con Pollo</x:v>
      </x:c>
      <x:c r="D35" s="38" t="str">
        <x:v>latin-america</x:v>
      </x:c>
      <x:c r="E35" s="38" t="str">
        <x:v>rice</x:v>
      </x:c>
      <x:c r="F35" s="38" t="str">
        <x:v>comforting</x:v>
      </x:c>
      <x:c r="G35" s="38" t="n">
        <x:v>1</x:v>
      </x:c>
      <x:c r="H35" s="38" t="str">
        <x:v>VERIFIED</x:v>
      </x:c>
      <x:c r="I35" s="38" t="str">
        <x:v>https://ucanr.edu/site/agricultura-y-recursos-naturales/sabores-de-nuestras-tierras-0</x:v>
      </x:c>
      <x:c r="J35" s="38" t="str">
        <x:v>culinary-reference</x:v>
      </x:c>
      <x:c r="K35" s="38" t="str">
        <x:v>CANDIDATE SEARCH ONLY</x:v>
      </x:c>
      <x:c r="L35" s="38" t="str">
        <x:v>needs-review</x:v>
      </x:c>
      <x:c r="M35" s="38" t="str">
        <x:v>OK</x:v>
      </x:c>
      <x:c r="N35" s="38" t="str">
        <x:v>Find + verify exact licensed primary image</x:v>
      </x:c>
    </x:row>
    <x:row r="36" ht="46" customHeight="1">
      <x:c r="A36" s="38" t="n">
        <x:v>23</x:v>
      </x:c>
      <x:c r="B36" s="38" t="str">
        <x:v>macaroni-and-cheese</x:v>
      </x:c>
      <x:c r="C36" s="38" t="str">
        <x:v>Macaroni and Cheese</x:v>
      </x:c>
      <x:c r="D36" s="38" t="str">
        <x:v>north-america</x:v>
      </x:c>
      <x:c r="E36" s="38" t="str">
        <x:v>noodle</x:v>
      </x:c>
      <x:c r="F36" s="38" t="str">
        <x:v>rich | comforting</x:v>
      </x:c>
      <x:c r="G36" s="38" t="n">
        <x:v>1</x:v>
      </x:c>
      <x:c r="H36" s="38" t="str">
        <x:v>VERIFIED</x:v>
      </x:c>
      <x:c r="I36" s="38" t="str">
        <x:v>https://www.smithsonianmag.com/history/brief-history-americas-appetite-for-macaroni-cheese-180969185/</x:v>
      </x:c>
      <x:c r="J36" s="38" t="str">
        <x:v>cultural-institution</x:v>
      </x:c>
      <x:c r="K36" s="38" t="str">
        <x:v>CANDIDATE SEARCH ONLY</x:v>
      </x:c>
      <x:c r="L36" s="38" t="str">
        <x:v>needs-review</x:v>
      </x:c>
      <x:c r="M36" s="38" t="str">
        <x:v>OK</x:v>
      </x:c>
      <x:c r="N36" s="38" t="str">
        <x:v>Find + verify exact licensed primary image</x:v>
      </x:c>
    </x:row>
    <x:row r="37" ht="46" customHeight="1">
      <x:c r="A37" s="38" t="n">
        <x:v>24</x:v>
      </x:c>
      <x:c r="B37" s="38" t="str">
        <x:v>lobster-roll</x:v>
      </x:c>
      <x:c r="C37" s="38" t="str">
        <x:v>Lobster Roll</x:v>
      </x:c>
      <x:c r="D37" s="38" t="str">
        <x:v>north-america</x:v>
      </x:c>
      <x:c r="E37" s="38" t="str">
        <x:v>handheld</x:v>
      </x:c>
      <x:c r="F37" s="38" t="str">
        <x:v>rich</x:v>
      </x:c>
      <x:c r="G37" s="38" t="n">
        <x:v>1</x:v>
      </x:c>
      <x:c r="H37" s="38" t="str">
        <x:v>VERIFIED</x:v>
      </x:c>
      <x:c r="I37" s="38" t="str">
        <x:v>https://www.maine.gov/sos/maineatlas/explore-the-atlas/lobster-roll</x:v>
      </x:c>
      <x:c r="J37" s="38" t="str">
        <x:v>government-tourism</x:v>
      </x:c>
      <x:c r="K37" s="38" t="str">
        <x:v>CANDIDATE SEARCH ONLY</x:v>
      </x:c>
      <x:c r="L37" s="38" t="str">
        <x:v>needs-review</x:v>
      </x:c>
      <x:c r="M37" s="38" t="str">
        <x:v>OK</x:v>
      </x:c>
      <x:c r="N37" s="38" t="str">
        <x:v>Find + verify exact licensed primary image</x:v>
      </x:c>
    </x:row>
    <x:row r="38" ht="46" customHeight="1">
      <x:c r="A38" s="38" t="n">
        <x:v>25</x:v>
      </x:c>
      <x:c r="B38" s="38" t="str">
        <x:v>gumbo</x:v>
      </x:c>
      <x:c r="C38" s="38" t="str">
        <x:v>Gumbo</x:v>
      </x:c>
      <x:c r="D38" s="38" t="str">
        <x:v>north-america</x:v>
      </x:c>
      <x:c r="E38" s="38" t="str">
        <x:v>soup-broth</x:v>
      </x:c>
      <x:c r="F38" s="38" t="str">
        <x:v>rich</x:v>
      </x:c>
      <x:c r="G38" s="38" t="n">
        <x:v>2</x:v>
      </x:c>
      <x:c r="H38" s="38" t="str">
        <x:v>VERIFIED</x:v>
      </x:c>
      <x:c r="I38" s="38" t="str">
        <x:v>https://www.explorelouisiana.com/culinary/dish/louisiana-gumbo</x:v>
      </x:c>
      <x:c r="J38" s="38" t="str">
        <x:v>government-tourism</x:v>
      </x:c>
      <x:c r="K38" s="38" t="str">
        <x:v>CANDIDATE SEARCH ONLY</x:v>
      </x:c>
      <x:c r="L38" s="38" t="str">
        <x:v>needs-review</x:v>
      </x:c>
      <x:c r="M38" s="38" t="str">
        <x:v>OK</x:v>
      </x:c>
      <x:c r="N38" s="38" t="str">
        <x:v>Find + verify exact licensed primary image</x:v>
      </x:c>
    </x:row>
  </x:sheetData>
  <x:mergeCells>
    <x:mergeCell ref="A1:N1"/>
    <x:mergeCell ref="A2:N2"/>
  </x:mergeCells>
  <x:conditionalFormatting sqref="H14:H38">
    <x:cfRule type="expression" dxfId="55" priority="1">
      <x:formula>H14="VERIFIED"</x:formula>
    </x:cfRule>
    <x:cfRule type="expression" dxfId="56" priority="2">
      <x:formula>H14="NEEDS VERIFICATION"</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20" hidden="0" customWidth="1"/>
    <x:col min="3" max="3" width="14" hidden="0" customWidth="1"/>
    <x:col min="4" max="4" width="18" hidden="0" customWidth="1"/>
    <x:col min="5" max="5" width="58" hidden="0" customWidth="1"/>
    <x:col min="6" max="6" width="40" hidden="0" customWidth="1"/>
  </x:cols>
  <x:sheetData>
    <x:row r="1" ht="28" customHeight="1">
      <x:c r="A1" s="175" t="str">
        <x:v>Nom Catalog — Production Readiness</x:v>
      </x:c>
      <x:c r="B1" s="175"/>
      <x:c r="C1" s="175"/>
      <x:c r="D1" s="175"/>
      <x:c r="E1" s="175"/>
      <x:c r="F1" s="175"/>
      <x:c r="G1" s="175"/>
      <x:c r="H1" s="175"/>
    </x:row>
    <x:row r="2" ht="42" customHeight="1">
      <x:c r="A2" s="179" t="str">
        <x:v>Catalog design and V1 taxonomy are finished. Remaining work is operational: source verification, exact image licensing, approval/QA, and import/testing.</x:v>
      </x:c>
      <x:c r="B2" s="179"/>
      <x:c r="C2" s="179"/>
      <x:c r="D2" s="179"/>
      <x:c r="E2" s="179"/>
      <x:c r="F2" s="179"/>
      <x:c r="G2" s="179"/>
      <x:c r="H2" s="179"/>
    </x:row>
    <x:row r="4">
      <x:c r="A4" s="183" t="str">
        <x:v>Phase</x:v>
      </x:c>
      <x:c r="B4" s="183" t="str">
        <x:v>Scope</x:v>
      </x:c>
      <x:c r="C4" s="183" t="str">
        <x:v>Progress</x:v>
      </x:c>
      <x:c r="D4" s="183" t="str">
        <x:v>Status</x:v>
      </x:c>
      <x:c r="E4" s="183" t="str">
        <x:v>Definition of done</x:v>
      </x:c>
      <x:c r="F4" s="183" t="str">
        <x:v>What happens next</x:v>
      </x:c>
    </x:row>
    <x:row r="5" ht="42" customHeight="1">
      <x:c r="A5" s="38" t="str">
        <x:v>1. Catalog structure + coverage</x:v>
      </x:c>
      <x:c r="B5" s="38" t="str">
        <x:v>201 entries</x:v>
      </x:c>
      <x:c r="C5" s="38" t="str">
        <x:v>100%</x:v>
      </x:c>
      <x:c r="D5" s="38" t="str">
        <x:v>DONE</x:v>
      </x:c>
      <x:c r="E5" s="38" t="str">
        <x:v>Candidate catalog built with balanced regions/types.</x:v>
      </x:c>
      <x:c r="F5" s="38" t="str">
        <x:v>Frozen</x:v>
      </x:c>
    </x:row>
    <x:row r="6" ht="42" customHeight="1">
      <x:c r="A6" s="38" t="str">
        <x:v>2. V1 taxonomy</x:v>
      </x:c>
      <x:c r="B6" s="38" t="str">
        <x:v>6 preference flavors</x:v>
      </x:c>
      <x:c r="C6" s="38" t="str">
        <x:v>100%</x:v>
      </x:c>
      <x:c r="D6" s="38" t="str">
        <x:v>DONE</x:v>
      </x:c>
      <x:c r="E6" s="38" t="str">
        <x:v>Six-flavor taxonomy frozen and backed up.</x:v>
      </x:c>
      <x:c r="F6" s="38" t="str">
        <x:v>Frozen</x:v>
      </x:c>
    </x:row>
    <x:row r="7" ht="42" customHeight="1">
      <x:c r="A7" s="38" t="str">
        <x:v>3. Source verification</x:v>
      </x:c>
      <x:c r="B7" s="38" t="str">
        <x:v>Pilot 25</x:v>
      </x:c>
      <x:c r="C7" s="38" t="str">
        <x:v>100%</x:v>
      </x:c>
      <x:c r="D7" s="38" t="str">
        <x:v>DONE</x:v>
      </x:c>
      <x:c r="E7" s="38" t="str">
        <x:v>All 25 pilot dishes have checked factual sources; needed wording corrections applied.</x:v>
      </x:c>
      <x:c r="F7" s="38" t="str">
        <x:v>Source phase complete</x:v>
      </x:c>
    </x:row>
    <x:row r="8" ht="42" customHeight="1">
      <x:c r="A8" s="38" t="str">
        <x:v>4. Image licensing</x:v>
      </x:c>
      <x:c r="B8" s="38" t="str">
        <x:v>Pilot 25</x:v>
      </x:c>
      <x:c r="C8" s="38" t="str">
        <x:v>0%</x:v>
      </x:c>
      <x:c r="D8" s="38" t="str">
        <x:v>NEXT</x:v>
      </x:c>
      <x:c r="E8" s="38" t="str">
        <x:v>Each pilot dish needs one exact image page + creator + accepted license + direct URL.</x:v>
      </x:c>
      <x:c r="F8" s="38" t="str">
        <x:v>Start now</x:v>
      </x:c>
    </x:row>
    <x:row r="9" ht="42" customHeight="1">
      <x:c r="A9" s="38" t="str">
        <x:v>5. Pilot approval + import</x:v>
      </x:c>
      <x:c r="B9" s="38" t="str">
        <x:v>Pilot 25</x:v>
      </x:c>
      <x:c r="C9" s="38" t="str">
        <x:v>0%</x:v>
      </x:c>
      <x:c r="D9" s="38" t="str">
        <x:v>UPCOMING</x:v>
      </x:c>
      <x:c r="E9" s="38" t="str">
        <x:v>25 dishes approved and loaded into Nom; recommendation paths tested.</x:v>
      </x:c>
      <x:c r="F9" s="38" t="str">
        <x:v>Then scale workflow</x:v>
      </x:c>
    </x:row>
    <x:row r="10" ht="42" customHeight="1">
      <x:c r="A10" s="38" t="str">
        <x:v>6. Full catalog production pass</x:v>
      </x:c>
      <x:c r="B10" s="38" t="str">
        <x:v>Remaining 176</x:v>
      </x:c>
      <x:c r="C10" s="38" t="str">
        <x:v>0%</x:v>
      </x:c>
      <x:c r="D10" s="38" t="str">
        <x:v>LATER</x:v>
      </x:c>
      <x:c r="E10" s="38" t="str">
        <x:v>All remaining dishes verified, imaged, approved, and imported.</x:v>
      </x:c>
      <x:c r="F10" s="38" t="str">
        <x:v>Repeat proven pilot workflow</x:v>
      </x:c>
    </x:row>
    <x:row r="11">
      <x:c r="A11" s="38"/>
      <x:c r="B11" s="38"/>
      <x:c r="C11" s="38"/>
      <x:c r="D11" s="38"/>
      <x:c r="E11" s="38"/>
      <x:c r="F11" s="38"/>
    </x:row>
    <x:row r="12">
      <x:c r="A12" s="38"/>
      <x:c r="B12" s="38"/>
      <x:c r="C12" s="38"/>
      <x:c r="D12" s="38"/>
      <x:c r="E12" s="38"/>
      <x:c r="F12" s="38"/>
    </x:row>
    <x:row r="13">
      <x:c r="A13" s="183" t="str">
        <x:v>Current state</x:v>
      </x:c>
      <x:c r="B13" s="183" t="str">
        <x:v>Count</x:v>
      </x:c>
      <x:c r="C13" s="183" t="str">
        <x:v>Target</x:v>
      </x:c>
      <x:c r="D13" s="183" t="str">
        <x:v>Meaning</x:v>
      </x:c>
      <x:c r="E13" s="38"/>
      <x:c r="F13" s="38"/>
    </x:row>
    <x:row r="14">
      <x:c r="A14" s="38" t="str">
        <x:v>Catalog candidates</x:v>
      </x:c>
      <x:c r="B14" s="38" t="n">
        <x:v>201</x:v>
      </x:c>
      <x:c r="C14" s="38" t="n">
        <x:v>201</x:v>
      </x:c>
      <x:c r="D14" s="38" t="str">
        <x:v>Complete</x:v>
      </x:c>
      <x:c r="E14" s="38"/>
      <x:c r="F14" s="38"/>
    </x:row>
    <x:row r="15">
      <x:c r="A15" s="38" t="str">
        <x:v>Pilot selected</x:v>
      </x:c>
      <x:c r="B15" s="38" t="n">
        <x:v>25</x:v>
      </x:c>
      <x:c r="C15" s="38" t="n">
        <x:v>25</x:v>
      </x:c>
      <x:c r="D15" s="38" t="str">
        <x:v>Complete</x:v>
      </x:c>
      <x:c r="E15" s="38"/>
      <x:c r="F15" s="38"/>
    </x:row>
    <x:row r="16">
      <x:c r="A16" s="38" t="str">
        <x:v>Pilot sources verified</x:v>
      </x:c>
      <x:c r="B16" s="38" t="n">
        <x:v>25</x:v>
      </x:c>
      <x:c r="C16" s="38" t="n">
        <x:v>25</x:v>
      </x:c>
      <x:c r="D16" s="38" t="str">
        <x:v>Complete</x:v>
      </x:c>
      <x:c r="E16" s="38"/>
      <x:c r="F16" s="38"/>
    </x:row>
    <x:row r="17">
      <x:c r="A17" s="38" t="str">
        <x:v>Pilot images licensed</x:v>
      </x:c>
      <x:c r="B17" s="38" t="n">
        <x:v>0</x:v>
      </x:c>
      <x:c r="C17" s="38" t="n">
        <x:v>25</x:v>
      </x:c>
      <x:c r="D17" s="38" t="str">
        <x:v>Not started</x:v>
      </x:c>
      <x:c r="E17" s="38"/>
      <x:c r="F17" s="38"/>
    </x:row>
    <x:row r="18">
      <x:c r="A18" s="38" t="str">
        <x:v>Pilot approved</x:v>
      </x:c>
      <x:c r="B18" s="38" t="n">
        <x:v>0</x:v>
      </x:c>
      <x:c r="C18" s="38" t="n">
        <x:v>25</x:v>
      </x:c>
      <x:c r="D18" s="38" t="str">
        <x:v>Not started</x:v>
      </x:c>
      <x:c r="E18" s="38"/>
      <x:c r="F18" s="38"/>
    </x:row>
  </x:sheetData>
  <x:mergeCells>
    <x:mergeCell ref="A1:H1"/>
    <x:mergeCell ref="A2:H2"/>
  </x:mergeCells>
  <x:conditionalFormatting sqref="D5:D10">
    <x:cfRule type="expression" dxfId="57" priority="1">
      <x:formula>D5="DONE"</x:formula>
    </x:cfRule>
    <x:cfRule type="expression" dxfId="58" priority="2">
      <x:formula>D5="IN PROGRESS"</x:formula>
    </x:cfRule>
    <x:cfRule type="expression" dxfId="59" priority="3">
      <x:formula>D5="NEXT"</x:formula>
    </x:cfRule>
  </x:conditionalFormatting>
  <x:pageMargins left="0.7" right="0.7" top="0.75" bottom="0.75" header="0.3" footer="0.3"/>
</x:worksheet>
</file>

<file path=xl/worksheets/sheet17.xml><?xml version="1.0" encoding="utf-8"?>
<x:worksheet xmlns:x="http://schemas.openxmlformats.org/spreadsheetml/2006/main">
  <x:sheetFormatPr defaultRowHeight="15"/>
  <x:cols>
    <x:col min="1" max="1" width="5" hidden="0" customWidth="1"/>
    <x:col min="2" max="2" width="24" hidden="0" customWidth="1"/>
    <x:col min="3" max="3" width="24" hidden="0" customWidth="1"/>
    <x:col min="4" max="4" width="62" hidden="0" customWidth="1"/>
    <x:col min="5" max="5" width="22" hidden="0" customWidth="1"/>
    <x:col min="6" max="6" width="16" hidden="0" customWidth="1"/>
    <x:col min="7" max="7" width="20" hidden="0" customWidth="1"/>
    <x:col min="8" max="8" width="64" hidden="0" customWidth="1"/>
    <x:col min="9" max="9" width="18" hidden="0" customWidth="1"/>
    <x:col min="10" max="10" width="34" hidden="0" customWidth="1"/>
  </x:cols>
  <x:sheetData>
    <x:row r="1" ht="28" customHeight="1">
      <x:c r="A1" s="186" t="str">
        <x:v>Nom Pilot — Final 13 Factual Source Checks</x:v>
      </x:c>
      <x:c r="B1" s="186"/>
      <x:c r="C1" s="186"/>
      <x:c r="D1" s="186"/>
      <x:c r="E1" s="186"/>
      <x:c r="F1" s="186"/>
      <x:c r="G1" s="186"/>
      <x:c r="H1" s="186"/>
      <x:c r="I1" s="186"/>
      <x:c r="J1" s="186"/>
    </x:row>
    <x:row r="2" ht="46" customHeight="1">
      <x:c r="A2" s="190" t="str">
        <x:v>The remaining 13 pilot dishes were checked against government, academic, cultural-institution, or established reference sources. Corrections were made only where the catalog wording was broader or more specific than the verified source support.</x:v>
      </x:c>
      <x:c r="B2" s="190"/>
      <x:c r="C2" s="190"/>
      <x:c r="D2" s="190"/>
      <x:c r="E2" s="190"/>
      <x:c r="F2" s="190"/>
      <x:c r="G2" s="190"/>
      <x:c r="H2" s="190"/>
      <x:c r="I2" s="190"/>
      <x:c r="J2" s="190"/>
    </x:row>
    <x:row r="4">
      <x:c r="A4" s="194" t="str">
        <x:v>#</x:v>
      </x:c>
      <x:c r="B4" s="194" t="str">
        <x:v>dishId</x:v>
      </x:c>
      <x:c r="C4" s="194" t="str">
        <x:v>Dish</x:v>
      </x:c>
      <x:c r="D4" s="194" t="str">
        <x:v>Source</x:v>
      </x:c>
      <x:c r="E4" s="194" t="str">
        <x:v>Source Type</x:v>
      </x:c>
      <x:c r="F4" s="194" t="str">
        <x:v>Verification</x:v>
      </x:c>
      <x:c r="G4" s="194" t="str">
        <x:v>Correction Needed?</x:v>
      </x:c>
      <x:c r="H4" s="194" t="str">
        <x:v>Correction / Decision</x:v>
      </x:c>
      <x:c r="I4" s="194" t="str">
        <x:v>Current Review Status</x:v>
      </x:c>
      <x:c r="J4" s="194" t="str">
        <x:v>Next Action</x:v>
      </x:c>
    </x:row>
    <x:row r="5" ht="58" customHeight="1">
      <x:c r="A5" s="38" t="n">
        <x:v>1</x:v>
      </x:c>
      <x:c r="B5" s="38" t="str">
        <x:v>lort-cha</x:v>
      </x:c>
      <x:c r="C5" s="38" t="str">
        <x:v>Lort Cha</x:v>
      </x:c>
      <x:c r="D5" s="38" t="str">
        <x:v>https://www.nationalgeographic.com/travel/article/culinary-guide-cambodia-ancient-recipes-street-food</x:v>
      </x:c>
      <x:c r="E5" s="38" t="str">
        <x:v>culinary-reference</x:v>
      </x:c>
      <x:c r="F5" s="38" t="str">
        <x:v>VERIFIED</x:v>
      </x:c>
      <x:c r="G5" s="38" t="str">
        <x:v>YES</x:v>
      </x:c>
      <x:c r="H5" s="38" t="str">
        <x:v>YES — made the description less beef-specific because meat varies by vendor.</x:v>
      </x:c>
      <x:c r="I5" s="38" t="str">
        <x:v>needs-review</x:v>
      </x:c>
      <x:c r="J5" s="38" t="str">
        <x:v>Verify exact licensed primary image</x:v>
      </x:c>
    </x:row>
    <x:row r="6" ht="58" customHeight="1">
      <x:c r="A6" s="38" t="n">
        <x:v>2</x:v>
      </x:c>
      <x:c r="B6" s="38" t="str">
        <x:v>sinigang</x:v>
      </x:c>
      <x:c r="C6" s="38" t="str">
        <x:v>Sinigang</x:v>
      </x:c>
      <x:c r="D6" s="38" t="str">
        <x:v>https://nnc.gov.ph/mindanao-region/deconstructing-sinigang-as-a-complete-dish/</x:v>
      </x:c>
      <x:c r="E6" s="38" t="str">
        <x:v>government-tourism</x:v>
      </x:c>
      <x:c r="F6" s="38" t="str">
        <x:v>VERIFIED</x:v>
      </x:c>
      <x:c r="G6" s="38" t="str">
        <x:v>YES</x:v>
      </x:c>
      <x:c r="H6" s="38" t="str">
        <x:v>YES — broadened the short description so tamarind is not treated as the only defining souring agent.</x:v>
      </x:c>
      <x:c r="I6" s="38" t="str">
        <x:v>needs-review</x:v>
      </x:c>
      <x:c r="J6" s="38" t="str">
        <x:v>Verify exact licensed primary image</x:v>
      </x:c>
    </x:row>
    <x:row r="7" ht="58" customHeight="1">
      <x:c r="A7" s="38" t="n">
        <x:v>3</x:v>
      </x:c>
      <x:c r="B7" s="38" t="str">
        <x:v>biryani</x:v>
      </x:c>
      <x:c r="C7" s="38" t="str">
        <x:v>Biryani</x:v>
      </x:c>
      <x:c r="D7" s="38" t="str">
        <x:v>https://www.incredibleindia.gov.in/en/telangana/hyderabad/the-best-local-foods-in-hyderabad</x:v>
      </x:c>
      <x:c r="E7" s="38" t="str">
        <x:v>government-tourism</x:v>
      </x:c>
      <x:c r="F7" s="38" t="str">
        <x:v>VERIFIED</x:v>
      </x:c>
      <x:c r="G7" s="38" t="str">
        <x:v>NO</x:v>
      </x:c>
      <x:c r="H7" s="38" t="str">
        <x:v>NO — current broad description remains accurate; official source is a regional example.</x:v>
      </x:c>
      <x:c r="I7" s="38" t="str">
        <x:v>needs-review</x:v>
      </x:c>
      <x:c r="J7" s="38" t="str">
        <x:v>Verify exact licensed primary image</x:v>
      </x:c>
    </x:row>
    <x:row r="8" ht="58" customHeight="1">
      <x:c r="A8" s="38" t="n">
        <x:v>4</x:v>
      </x:c>
      <x:c r="B8" s="38" t="str">
        <x:v>tandoori-chicken</x:v>
      </x:c>
      <x:c r="C8" s="38" t="str">
        <x:v>Tandoori Chicken</x:v>
      </x:c>
      <x:c r="D8" s="38" t="str">
        <x:v>https://www.prod.incredibleindia.gov.in/content/incredible-india-v2/en/destinations/delhi/food-and-cuisine.html</x:v>
      </x:c>
      <x:c r="E8" s="38" t="str">
        <x:v>government-tourism</x:v>
      </x:c>
      <x:c r="F8" s="38" t="str">
        <x:v>VERIFIED</x:v>
      </x:c>
      <x:c r="G8" s="38" t="str">
        <x:v>NO</x:v>
      </x:c>
      <x:c r="H8" s="38" t="str">
        <x:v>NO — core preparation is directly supported.</x:v>
      </x:c>
      <x:c r="I8" s="38" t="str">
        <x:v>needs-review</x:v>
      </x:c>
      <x:c r="J8" s="38" t="str">
        <x:v>Verify exact licensed primary image</x:v>
      </x:c>
    </x:row>
    <x:row r="9" ht="58" customHeight="1">
      <x:c r="A9" s="38" t="n">
        <x:v>5</x:v>
      </x:c>
      <x:c r="B9" s="38" t="str">
        <x:v>rasam</x:v>
      </x:c>
      <x:c r="C9" s="38" t="str">
        <x:v>Rasam</x:v>
      </x:c>
      <x:c r="D9" s="38" t="str">
        <x:v>https://pubmed.ncbi.nlm.nih.gov/28989243/</x:v>
      </x:c>
      <x:c r="E9" s="38" t="str">
        <x:v>culinary-reference</x:v>
      </x:c>
      <x:c r="F9" s="38" t="str">
        <x:v>VERIFIED</x:v>
      </x:c>
      <x:c r="G9" s="38" t="str">
        <x:v>YES</x:v>
      </x:c>
      <x:c r="H9" s="38" t="str">
        <x:v>YES — removed lentils from the generic description because they are not universal to rasam.</x:v>
      </x:c>
      <x:c r="I9" s="38" t="str">
        <x:v>needs-review</x:v>
      </x:c>
      <x:c r="J9" s="38" t="str">
        <x:v>Verify exact licensed primary image</x:v>
      </x:c>
    </x:row>
    <x:row r="10" ht="58" customHeight="1">
      <x:c r="A10" s="38" t="n">
        <x:v>6</x:v>
      </x:c>
      <x:c r="B10" s="38" t="str">
        <x:v>falafel</x:v>
      </x:c>
      <x:c r="C10" s="38" t="str">
        <x:v>Falafel</x:v>
      </x:c>
      <x:c r="D10" s="38" t="str">
        <x:v>https://app.ckbk.com/reference/food77337c06s001e009</x:v>
      </x:c>
      <x:c r="E10" s="38" t="str">
        <x:v>encyclopedia-reference</x:v>
      </x:c>
      <x:c r="F10" s="38" t="str">
        <x:v>VERIFIED</x:v>
      </x:c>
      <x:c r="G10" s="38" t="str">
        <x:v>NO</x:v>
      </x:c>
      <x:c r="H10" s="38" t="str">
        <x:v>NO — current broad Middle Eastern wording and Lebanon grouping note are appropriate.</x:v>
      </x:c>
      <x:c r="I10" s="38" t="str">
        <x:v>needs-review</x:v>
      </x:c>
      <x:c r="J10" s="38" t="str">
        <x:v>Verify exact licensed primary image</x:v>
      </x:c>
    </x:row>
    <x:row r="11" ht="58" customHeight="1">
      <x:c r="A11" s="38" t="n">
        <x:v>7</x:v>
      </x:c>
      <x:c r="B11" s="38" t="str">
        <x:v>manti</x:v>
      </x:c>
      <x:c r="C11" s="38" t="str">
        <x:v>Manti</x:v>
      </x:c>
      <x:c r="D11" s="38" t="str">
        <x:v>https://goturkiye.com/blog/turkish-manti</x:v>
      </x:c>
      <x:c r="E11" s="38" t="str">
        <x:v>government-tourism</x:v>
      </x:c>
      <x:c r="F11" s="38" t="str">
        <x:v>VERIFIED</x:v>
      </x:c>
      <x:c r="G11" s="38" t="str">
        <x:v>NO</x:v>
      </x:c>
      <x:c r="H11" s="38" t="str">
        <x:v>NO — current Turkish mantı description is supported.</x:v>
      </x:c>
      <x:c r="I11" s="38" t="str">
        <x:v>needs-review</x:v>
      </x:c>
      <x:c r="J11" s="38" t="str">
        <x:v>Verify exact licensed primary image</x:v>
      </x:c>
    </x:row>
    <x:row r="12" ht="58" customHeight="1">
      <x:c r="A12" s="38" t="n">
        <x:v>8</x:v>
      </x:c>
      <x:c r="B12" s="38" t="str">
        <x:v>jollof-rice</x:v>
      </x:c>
      <x:c r="C12" s="38" t="str">
        <x:v>Jollof Rice</x:v>
      </x:c>
      <x:c r="D12" s="38" t="str">
        <x:v>https://journals.co.za/doi/10.10520/ejc-ghajecon_v12_n1_a4</x:v>
      </x:c>
      <x:c r="E12" s="38" t="str">
        <x:v>culinary-reference</x:v>
      </x:c>
      <x:c r="F12" s="38" t="str">
        <x:v>VERIFIED</x:v>
      </x:c>
      <x:c r="G12" s="38" t="str">
        <x:v>NOTE</x:v>
      </x:c>
      <x:c r="H12" s="38" t="str">
        <x:v>NOTE REFINED — origin remains explicitly described as debated; Senegal stays a catalog grouping rather than an exclusive-origin claim.</x:v>
      </x:c>
      <x:c r="I12" s="38" t="str">
        <x:v>needs-review</x:v>
      </x:c>
      <x:c r="J12" s="38" t="str">
        <x:v>Verify exact licensed primary image</x:v>
      </x:c>
    </x:row>
    <x:row r="13" ht="58" customHeight="1">
      <x:c r="A13" s="38" t="n">
        <x:v>9</x:v>
      </x:c>
      <x:c r="B13" s="38" t="str">
        <x:v>doro-wat</x:v>
      </x:c>
      <x:c r="C13" s="38" t="str">
        <x:v>Doro Wat</x:v>
      </x:c>
      <x:c r="D13" s="38" t="str">
        <x:v>https://www.si.edu/object/ethiopia-recipes-and-traditions-horn-africa-yohanis-gebreyesus-jeff-koehler%3Asiris_sil_1109218</x:v>
      </x:c>
      <x:c r="E13" s="38" t="str">
        <x:v>cultural-institution</x:v>
      </x:c>
      <x:c r="F13" s="38" t="str">
        <x:v>VERIFIED</x:v>
      </x:c>
      <x:c r="G13" s="38" t="str">
        <x:v>NO</x:v>
      </x:c>
      <x:c r="H13" s="38" t="str">
        <x:v>NO — current core description is consistent with the Smithsonian reference.</x:v>
      </x:c>
      <x:c r="I13" s="38" t="str">
        <x:v>needs-review</x:v>
      </x:c>
      <x:c r="J13" s="38" t="str">
        <x:v>Verify exact licensed primary image</x:v>
      </x:c>
    </x:row>
    <x:row r="14" ht="58" customHeight="1">
      <x:c r="A14" s="38" t="n">
        <x:v>10</x:v>
      </x:c>
      <x:c r="B14" s="38" t="str">
        <x:v>tacos-al-pastor</x:v>
      </x:c>
      <x:c r="C14" s="38" t="str">
        <x:v>Tacos al Pastor</x:v>
      </x:c>
      <x:c r="D14" s="38" t="str">
        <x:v>https://mexicocity.cdmx.gob.mx/e/food-basics/street-food/?lang=en</x:v>
      </x:c>
      <x:c r="E14" s="38" t="str">
        <x:v>government-tourism</x:v>
      </x:c>
      <x:c r="F14" s="38" t="str">
        <x:v>VERIFIED</x:v>
      </x:c>
      <x:c r="G14" s="38" t="str">
        <x:v>NO</x:v>
      </x:c>
      <x:c r="H14" s="38" t="str">
        <x:v>NO — current description and Lebanese-shawarma influence note are supported; pineapple remains noted as common rather than universal.</x:v>
      </x:c>
      <x:c r="I14" s="38" t="str">
        <x:v>needs-review</x:v>
      </x:c>
      <x:c r="J14" s="38" t="str">
        <x:v>Verify exact licensed primary image</x:v>
      </x:c>
    </x:row>
    <x:row r="15" ht="58" customHeight="1">
      <x:c r="A15" s="38" t="n">
        <x:v>11</x:v>
      </x:c>
      <x:c r="B15" s="38" t="str">
        <x:v>arroz-con-pollo</x:v>
      </x:c>
      <x:c r="C15" s="38" t="str">
        <x:v>Arroz con Pollo</x:v>
      </x:c>
      <x:c r="D15" s="38" t="str">
        <x:v>https://ucanr.edu/site/agricultura-y-recursos-naturales/sabores-de-nuestras-tierras-0</x:v>
      </x:c>
      <x:c r="E15" s="38" t="str">
        <x:v>culinary-reference</x:v>
      </x:c>
      <x:c r="F15" s="38" t="str">
        <x:v>VERIFIED</x:v>
      </x:c>
      <x:c r="G15" s="38" t="str">
        <x:v>NO</x:v>
      </x:c>
      <x:c r="H15" s="38" t="str">
        <x:v>NO — current broad wording is compatible; Colombia remains a catalog grouping rather than an exclusive-origin claim.</x:v>
      </x:c>
      <x:c r="I15" s="38" t="str">
        <x:v>needs-review</x:v>
      </x:c>
      <x:c r="J15" s="38" t="str">
        <x:v>Verify exact licensed primary image</x:v>
      </x:c>
    </x:row>
    <x:row r="16" ht="58" customHeight="1">
      <x:c r="A16" s="38" t="n">
        <x:v>12</x:v>
      </x:c>
      <x:c r="B16" s="38" t="str">
        <x:v>macaroni-and-cheese</x:v>
      </x:c>
      <x:c r="C16" s="38" t="str">
        <x:v>Macaroni and Cheese</x:v>
      </x:c>
      <x:c r="D16" s="38" t="str">
        <x:v>https://www.smithsonianmag.com/history/brief-history-americas-appetite-for-macaroni-cheese-180969185/</x:v>
      </x:c>
      <x:c r="E16" s="38" t="str">
        <x:v>cultural-institution</x:v>
      </x:c>
      <x:c r="F16" s="38" t="str">
        <x:v>VERIFIED</x:v>
      </x:c>
      <x:c r="G16" s="38" t="str">
        <x:v>NO</x:v>
      </x:c>
      <x:c r="H16" s="38" t="str">
        <x:v>NO — current North American grouping note already handles the older European precedents.</x:v>
      </x:c>
      <x:c r="I16" s="38" t="str">
        <x:v>needs-review</x:v>
      </x:c>
      <x:c r="J16" s="38" t="str">
        <x:v>Verify exact licensed primary image</x:v>
      </x:c>
    </x:row>
    <x:row r="17" ht="58" customHeight="1">
      <x:c r="A17" s="38" t="n">
        <x:v>13</x:v>
      </x:c>
      <x:c r="B17" s="38" t="str">
        <x:v>gumbo</x:v>
      </x:c>
      <x:c r="C17" s="38" t="str">
        <x:v>Gumbo</x:v>
      </x:c>
      <x:c r="D17" s="38" t="str">
        <x:v>https://www.explorelouisiana.com/culinary/dish/louisiana-gumbo</x:v>
      </x:c>
      <x:c r="E17" s="38" t="str">
        <x:v>government-tourism</x:v>
      </x:c>
      <x:c r="F17" s="38" t="str">
        <x:v>VERIFIED</x:v>
      </x:c>
      <x:c r="G17" s="38" t="str">
        <x:v>NO</x:v>
      </x:c>
      <x:c r="H17" s="38" t="str">
        <x:v>NO — current description is directly supported.</x:v>
      </x:c>
      <x:c r="I17" s="38" t="str">
        <x:v>needs-review</x:v>
      </x:c>
      <x:c r="J17" s="38" t="str">
        <x:v>Verify exact licensed primary image</x:v>
      </x:c>
    </x:row>
  </x:sheetData>
  <x:mergeCells>
    <x:mergeCell ref="A1:J1"/>
    <x:mergeCell ref="A2:J2"/>
  </x:mergeCells>
  <x:conditionalFormatting sqref="F5:F17">
    <x:cfRule type="expression" dxfId="60" priority="1">
      <x:formula>F5="VERIFIED"</x:formula>
    </x:cfRule>
  </x:conditionalFormatting>
  <x:conditionalFormatting sqref="G5:G17">
    <x:cfRule type="expression" dxfId="61" priority="2">
      <x:formula>G5="YES"</x:formula>
    </x:cfRule>
  </x:conditionalFormatting>
  <x:pageMargins left="0.7" right="0.7" top="0.75" bottom="0.75" header="0.3" footer="0.3"/>
</x:worksheet>
</file>